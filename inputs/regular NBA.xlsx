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uzanneendtz/Desktop/Open Classrooms /Projets/Projet 10  Code Source/inputs/"/>
    </mc:Choice>
  </mc:AlternateContent>
  <xr:revisionPtr revIDLastSave="0" documentId="13_ncr:1_{9D96AE3B-2DF8-5943-B060-5709B80F236F}" xr6:coauthVersionLast="47" xr6:coauthVersionMax="47" xr10:uidLastSave="{00000000-0000-0000-0000-000000000000}"/>
  <bookViews>
    <workbookView xWindow="14440" yWindow="-19360" windowWidth="30240" windowHeight="17700" xr2:uid="{00000000-000D-0000-FFFF-FFFF00000000}"/>
  </bookViews>
  <sheets>
    <sheet name="Données NBA" sheetId="1" r:id="rId1"/>
    <sheet name="Analyse" sheetId="2" r:id="rId2"/>
    <sheet name="Analyse Vide" sheetId="3" r:id="rId3"/>
    <sheet name="Equipe" sheetId="4" r:id="rId4"/>
    <sheet name="Dictionnaire des données" sheetId="5" r:id="rId5"/>
  </sheets>
  <definedNames>
    <definedName name="_xlnm._FilterDatabase" localSheetId="1" hidden="1">Analyse!$A$6:$D$36</definedName>
    <definedName name="_xlnm._FilterDatabase" localSheetId="2" hidden="1">'Analyse Vide'!$A$6:$D$36</definedName>
    <definedName name="_xlnm._FilterDatabase" localSheetId="0" hidden="1">'Données NBA'!$A$2:$AS$571</definedName>
  </definedNames>
  <calcPr calcId="191029"/>
  <pivotCaches>
    <pivotCache cacheId="2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5" l="1"/>
  <c r="H104" i="2"/>
  <c r="G104" i="2"/>
  <c r="F104" i="2"/>
  <c r="E104" i="2"/>
  <c r="D104" i="2"/>
  <c r="C104" i="2"/>
  <c r="B104" i="2"/>
  <c r="H103" i="2"/>
  <c r="G103" i="2"/>
  <c r="F103" i="2"/>
  <c r="E103" i="2"/>
  <c r="D103" i="2"/>
  <c r="C103" i="2"/>
  <c r="B103" i="2"/>
  <c r="H102" i="2"/>
  <c r="G102" i="2"/>
  <c r="F102" i="2"/>
  <c r="E102" i="2"/>
  <c r="D102" i="2"/>
  <c r="C102" i="2"/>
  <c r="B102" i="2"/>
  <c r="H101" i="2"/>
  <c r="G101" i="2"/>
  <c r="F101" i="2"/>
  <c r="E101" i="2"/>
  <c r="D101" i="2"/>
  <c r="C101" i="2"/>
  <c r="B101" i="2"/>
  <c r="H100" i="2"/>
  <c r="G100" i="2"/>
  <c r="F100" i="2"/>
  <c r="E100" i="2"/>
  <c r="D100" i="2"/>
  <c r="C100" i="2"/>
  <c r="B100" i="2"/>
  <c r="H99" i="2"/>
  <c r="G99" i="2"/>
  <c r="F99" i="2"/>
  <c r="E99" i="2"/>
  <c r="D99" i="2"/>
  <c r="C99" i="2"/>
  <c r="B99" i="2"/>
  <c r="H98" i="2"/>
  <c r="G98" i="2"/>
  <c r="F98" i="2"/>
  <c r="E98" i="2"/>
  <c r="D98" i="2"/>
  <c r="C98" i="2"/>
  <c r="B98" i="2"/>
  <c r="H97" i="2"/>
  <c r="G97" i="2"/>
  <c r="F97" i="2"/>
  <c r="E97" i="2"/>
  <c r="D97" i="2"/>
  <c r="C97" i="2"/>
  <c r="B97" i="2"/>
  <c r="H96" i="2"/>
  <c r="G96" i="2"/>
  <c r="F96" i="2"/>
  <c r="E96" i="2"/>
  <c r="D96" i="2"/>
  <c r="C96" i="2"/>
  <c r="B96" i="2"/>
  <c r="H95" i="2"/>
  <c r="G95" i="2"/>
  <c r="F95" i="2"/>
  <c r="E95" i="2"/>
  <c r="D95" i="2"/>
  <c r="C95" i="2"/>
  <c r="B95" i="2"/>
  <c r="H94" i="2"/>
  <c r="G94" i="2"/>
  <c r="F94" i="2"/>
  <c r="E94" i="2"/>
  <c r="D94" i="2"/>
  <c r="C94" i="2"/>
  <c r="B94" i="2"/>
  <c r="H93" i="2"/>
  <c r="G93" i="2"/>
  <c r="F93" i="2"/>
  <c r="E93" i="2"/>
  <c r="D93" i="2"/>
  <c r="C93" i="2"/>
  <c r="B93" i="2"/>
  <c r="H92" i="2"/>
  <c r="G92" i="2"/>
  <c r="F92" i="2"/>
  <c r="E92" i="2"/>
  <c r="D92" i="2"/>
  <c r="C92" i="2"/>
  <c r="B92" i="2"/>
  <c r="H91" i="2"/>
  <c r="G91" i="2"/>
  <c r="F91" i="2"/>
  <c r="E91" i="2"/>
  <c r="D91" i="2"/>
  <c r="C91" i="2"/>
  <c r="B91" i="2"/>
  <c r="H90" i="2"/>
  <c r="G90" i="2"/>
  <c r="F90" i="2"/>
  <c r="E90" i="2"/>
  <c r="D90" i="2"/>
  <c r="C90" i="2"/>
  <c r="B90" i="2"/>
  <c r="D36" i="2"/>
  <c r="C36" i="2"/>
  <c r="B36" i="2"/>
  <c r="B35" i="2"/>
  <c r="B34" i="2"/>
  <c r="B33" i="2"/>
  <c r="D32" i="2"/>
  <c r="C32" i="2"/>
  <c r="B32" i="2"/>
  <c r="B31" i="2"/>
  <c r="B30" i="2"/>
  <c r="C29" i="2"/>
  <c r="B29" i="2"/>
  <c r="D28" i="2"/>
  <c r="B28" i="2"/>
  <c r="B27" i="2"/>
  <c r="B26" i="2"/>
  <c r="D25" i="2"/>
  <c r="C25" i="2"/>
  <c r="B25" i="2"/>
  <c r="B24" i="2"/>
  <c r="B23" i="2"/>
  <c r="D22" i="2"/>
  <c r="B22" i="2"/>
  <c r="D21" i="2"/>
  <c r="C21" i="2"/>
  <c r="B21" i="2"/>
  <c r="B20" i="2"/>
  <c r="B19" i="2"/>
  <c r="C18" i="2"/>
  <c r="B18" i="2"/>
  <c r="D17" i="2"/>
  <c r="B17" i="2"/>
  <c r="B16" i="2"/>
  <c r="C15" i="2"/>
  <c r="B15" i="2"/>
  <c r="D14" i="2"/>
  <c r="C14" i="2"/>
  <c r="B14" i="2"/>
  <c r="B13" i="2"/>
  <c r="B12" i="2"/>
  <c r="D11" i="2"/>
  <c r="B11" i="2"/>
  <c r="D10" i="2"/>
  <c r="C10" i="2"/>
  <c r="B10" i="2"/>
  <c r="B9" i="2"/>
  <c r="B8" i="2"/>
  <c r="C7" i="2"/>
  <c r="B7" i="2"/>
  <c r="AC2" i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1" i="1"/>
  <c r="C35" i="2" s="1"/>
  <c r="D13" i="2" l="1"/>
  <c r="C17" i="2"/>
  <c r="D24" i="2"/>
  <c r="C28" i="2"/>
  <c r="D35" i="2"/>
  <c r="D7" i="2"/>
  <c r="C11" i="2"/>
  <c r="D18" i="2"/>
  <c r="C22" i="2"/>
  <c r="D29" i="2"/>
  <c r="C33" i="2"/>
  <c r="C23" i="2"/>
  <c r="D30" i="2"/>
  <c r="C34" i="2"/>
  <c r="C12" i="2"/>
  <c r="D19" i="2"/>
  <c r="D12" i="2"/>
  <c r="C16" i="2"/>
  <c r="D23" i="2"/>
  <c r="C27" i="2"/>
  <c r="D34" i="2"/>
  <c r="C9" i="2"/>
  <c r="D16" i="2"/>
  <c r="C20" i="2"/>
  <c r="D27" i="2"/>
  <c r="C31" i="2"/>
  <c r="C26" i="2"/>
  <c r="D33" i="2"/>
  <c r="C8" i="2"/>
  <c r="D15" i="2"/>
  <c r="C19" i="2"/>
  <c r="D26" i="2"/>
  <c r="C30" i="2"/>
  <c r="D8" i="2"/>
  <c r="D9" i="2"/>
  <c r="C13" i="2"/>
  <c r="D20" i="2"/>
  <c r="C24" i="2"/>
  <c r="D31" i="2"/>
</calcChain>
</file>

<file path=xl/sharedStrings.xml><?xml version="1.0" encoding="utf-8"?>
<sst xmlns="http://schemas.openxmlformats.org/spreadsheetml/2006/main" count="1469" uniqueCount="1341">
  <si>
    <t>Player</t>
  </si>
  <si>
    <t>Team</t>
  </si>
  <si>
    <t>Age</t>
  </si>
  <si>
    <t>GP</t>
  </si>
  <si>
    <t>W</t>
  </si>
  <si>
    <t>L</t>
  </si>
  <si>
    <t>Min</t>
  </si>
  <si>
    <t>PTS</t>
  </si>
  <si>
    <t>FGM</t>
  </si>
  <si>
    <t>FGA</t>
  </si>
  <si>
    <t>FG%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</si>
  <si>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</si>
  <si>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</si>
  <si>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</si>
  <si>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</si>
  <si>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</si>
  <si>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</si>
  <si>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</si>
  <si>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</si>
  <si>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</si>
  <si>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</si>
  <si>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</si>
  <si>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</si>
  <si>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PF</t>
  </si>
  <si>
    <t>FP</t>
  </si>
  <si>
    <t>DD2</t>
  </si>
  <si>
    <t>TD3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</si>
  <si>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</si>
  <si>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</si>
  <si>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</si>
  <si>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</si>
  <si>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</si>
  <si>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</si>
  <si>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</si>
  <si>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</si>
  <si>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</si>
  <si>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</si>
  <si>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</si>
  <si>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</si>
  <si>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USG%</t>
  </si>
  <si>
    <t>PACE</t>
  </si>
  <si>
    <t>PIE</t>
  </si>
  <si>
    <t>POSS</t>
  </si>
  <si>
    <r>
      <rPr>
        <u/>
        <sz val="10"/>
        <color rgb="FF1155CC"/>
        <rFont val="Arial"/>
        <family val="2"/>
        <scheme val="minor"/>
      </rPr>
      <t>Shai Gilgeous-Alexander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</si>
  <si>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</si>
  <si>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Anthony Edwards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</si>
  <si>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</si>
  <si>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Nikola Jokić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</si>
  <si>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</si>
  <si>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Giannis Antetokounmpo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</si>
  <si>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</si>
  <si>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Jayson Tatum</t>
    </r>
  </si>
  <si>
    <r>
      <rPr>
        <u/>
        <sz val="10"/>
        <color rgb="FF1155CC"/>
        <rFont val="Arial"/>
        <family val="2"/>
        <scheme val="minor"/>
      </rPr>
      <t>BOS</t>
    </r>
  </si>
  <si>
    <t>Devin Booker</t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</si>
  <si>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</si>
  <si>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Tyler Herro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</si>
  <si>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</si>
  <si>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Trae Young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</si>
  <si>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</si>
  <si>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Cade Cunningham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</si>
  <si>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</si>
  <si>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James Harden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</si>
  <si>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</si>
  <si>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Karl-Anthony Towns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</si>
  <si>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</si>
  <si>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Zach LaVine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</si>
  <si>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</si>
  <si>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Jalen Green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</si>
  <si>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</si>
  <si>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Stephen Curry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</si>
  <si>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</si>
  <si>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DeMar DeRozan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</si>
  <si>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</si>
  <si>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LeBron James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</si>
  <si>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</si>
  <si>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Donovan Mitchell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</si>
  <si>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</si>
  <si>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Jalen Brunson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</si>
  <si>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</si>
  <si>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Kevin Durant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</si>
  <si>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</si>
  <si>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Jaren Jackson Jr,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</si>
  <si>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</si>
  <si>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Pascal Siakam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</si>
  <si>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</si>
  <si>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Darius Garland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</si>
  <si>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</si>
  <si>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Coby White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</si>
  <si>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</si>
  <si>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Jalen Williams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</si>
  <si>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</si>
  <si>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Austin Reaves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</si>
  <si>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</si>
  <si>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De'Aaron Fox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</si>
  <si>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</si>
  <si>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Alperen Sengun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</si>
  <si>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</si>
  <si>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Franz Wagner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</si>
  <si>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</si>
  <si>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Damian Lillard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</si>
  <si>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</si>
  <si>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Mikal Bridges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</si>
  <si>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</si>
  <si>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Jamal Murray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</si>
  <si>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</si>
  <si>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Bam Adebayo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</si>
  <si>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</si>
  <si>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Luka Dončić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</si>
  <si>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</si>
  <si>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Michael Porter Jr,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</si>
  <si>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</si>
  <si>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Jaylen Brown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</si>
  <si>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</si>
  <si>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Jordan Poole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</si>
  <si>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</si>
  <si>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Tyrese Maxey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</si>
  <si>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</si>
  <si>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Tyrese Haliburton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</si>
  <si>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</si>
  <si>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Nikola Vučević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</si>
  <si>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</si>
  <si>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Anfernee Simons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</si>
  <si>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</si>
  <si>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Ivica Zubac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</si>
  <si>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</si>
  <si>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Malik Beasley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</si>
  <si>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</si>
  <si>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Domantas Sabonis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</si>
  <si>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</si>
  <si>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OG Anunoby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</si>
  <si>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</si>
  <si>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Shaedon Sharpe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</si>
  <si>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</si>
  <si>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Desmond Bane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</si>
  <si>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</si>
  <si>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Evan Mobley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</si>
  <si>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</si>
  <si>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Norman Powell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</si>
  <si>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</si>
  <si>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Miles Bridges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</si>
  <si>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</si>
  <si>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Julius Randle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</si>
  <si>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</si>
  <si>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Anthony Davis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</si>
  <si>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</si>
  <si>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Scottie Barnes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</si>
  <si>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</si>
  <si>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Derrick White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</si>
  <si>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</si>
  <si>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Kyrie Irving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</si>
  <si>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</si>
  <si>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RJ Barrett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</si>
  <si>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</si>
  <si>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Christian Braun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</si>
  <si>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</si>
  <si>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Deni Avdija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</si>
  <si>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</si>
  <si>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Paolo Banchero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</si>
  <si>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</si>
  <si>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Stephon Castle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</si>
  <si>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</si>
  <si>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LaMelo Ball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</si>
  <si>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</si>
  <si>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CJ McCollum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</si>
  <si>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</si>
  <si>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Ja Morant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</si>
  <si>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</si>
  <si>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Bennedict Mathurin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</si>
  <si>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</si>
  <si>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Collin Sexton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</si>
  <si>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</si>
  <si>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Payton Pritchard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</si>
  <si>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</si>
  <si>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Naz Reid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</si>
  <si>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</si>
  <si>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Keyonte George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</si>
  <si>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</si>
  <si>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Trey Murphy III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</si>
  <si>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</si>
  <si>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Myles Turner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</si>
  <si>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</si>
  <si>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Malik Monk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</si>
  <si>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</si>
  <si>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Victor Wembanyama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</si>
  <si>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</si>
  <si>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Jarrett Allen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</si>
  <si>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</si>
  <si>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Quentin Grimes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</si>
  <si>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</si>
  <si>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De'Andre Hunter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</si>
  <si>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</si>
  <si>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Andrew Wiggins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</si>
  <si>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</si>
  <si>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Dyson Daniels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</si>
  <si>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</si>
  <si>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Cameron Johnson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</si>
  <si>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</si>
  <si>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Dillon Brooks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</si>
  <si>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</si>
  <si>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Josh Hart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</si>
  <si>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</si>
  <si>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Devin Vassell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</si>
  <si>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</si>
  <si>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Brook Lopez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</si>
  <si>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</si>
  <si>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Josh Giddey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</si>
  <si>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</si>
  <si>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Harrison Barnes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</si>
  <si>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</si>
  <si>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Klay Thompson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</si>
  <si>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</si>
  <si>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Tobias Harris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</si>
  <si>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</si>
  <si>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Jaden McDaniels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</si>
  <si>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</si>
  <si>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Russell Westbrook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</si>
  <si>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</si>
  <si>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Onyeka Okongwu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</si>
  <si>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</si>
  <si>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Dennis Schröder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</si>
  <si>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</si>
  <si>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Keldon Johnson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</si>
  <si>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</si>
  <si>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Amen Thompson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</si>
  <si>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</si>
  <si>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Jimmy Butler III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</si>
  <si>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</si>
  <si>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Kyle Kuzma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</si>
  <si>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</si>
  <si>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Zaccharie Risacher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</si>
  <si>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</si>
  <si>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Keegan Murray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</si>
  <si>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</si>
  <si>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Jalen Duren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</si>
  <si>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</si>
  <si>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Aaron Wiggins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</si>
  <si>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</si>
  <si>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Naji Marshall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</si>
  <si>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</si>
  <si>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Buddy Hield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</si>
  <si>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</si>
  <si>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Kelly Oubre Jr,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</si>
  <si>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</si>
  <si>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Bradley Beal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</si>
  <si>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</si>
  <si>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Lauri Markkanen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</si>
  <si>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</si>
  <si>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Toumani Camara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</si>
  <si>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</si>
  <si>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Ty Jerome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</si>
  <si>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</si>
  <si>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Alex Sarr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</si>
  <si>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</si>
  <si>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Spencer Dinwiddie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</si>
  <si>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</si>
  <si>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Rudy Gobert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</si>
  <si>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</si>
  <si>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Tim Hardaway Jr,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</si>
  <si>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</si>
  <si>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Fred VanVleet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</si>
  <si>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</si>
  <si>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Jonas Valančiūnas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</si>
  <si>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</si>
  <si>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P,J, Washington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</si>
  <si>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</si>
  <si>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Scoot Henderson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</si>
  <si>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</si>
  <si>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Keon Johnson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</si>
  <si>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</si>
  <si>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Obi Toppin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</si>
  <si>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</si>
  <si>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Jakob Poeltl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</si>
  <si>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</si>
  <si>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Tyus Jones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</si>
  <si>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</si>
  <si>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Jaylen Wells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</si>
  <si>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</si>
  <si>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Gary Trent Jr,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</si>
  <si>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</si>
  <si>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Kristaps Porziņģis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</si>
  <si>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</si>
  <si>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Duncan Robinson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</si>
  <si>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</si>
  <si>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Santi Aldama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</si>
  <si>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</si>
  <si>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Julian Champagnie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</si>
  <si>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</si>
  <si>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Bub Carrington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</si>
  <si>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</si>
  <si>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Kawhi Leonard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</si>
  <si>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</si>
  <si>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Georges Niang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</si>
  <si>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</si>
  <si>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Scotty Pippen Jr,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</si>
  <si>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</si>
  <si>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Derrick Jones Jr,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</si>
  <si>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</si>
  <si>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Gradey Dick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</si>
  <si>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</si>
  <si>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Caris LeVert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</si>
  <si>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</si>
  <si>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Brice Sensabaugh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</si>
  <si>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</si>
  <si>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Rui Hachimura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</si>
  <si>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</si>
  <si>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Kevin Porter Jr,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</si>
  <si>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</si>
  <si>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Nickeil Alexander-Walker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</si>
  <si>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</si>
  <si>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Guerschon Yabusele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</si>
  <si>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</si>
  <si>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John Collins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</si>
  <si>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</si>
  <si>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Isaiah Joe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</si>
  <si>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</si>
  <si>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Jalen Wilson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</si>
  <si>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</si>
  <si>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Aaron Gordon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</si>
  <si>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</si>
  <si>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Max Christie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</si>
  <si>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</si>
  <si>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Brandin Podziemski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</si>
  <si>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</si>
  <si>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Zion Williamson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</si>
  <si>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</si>
  <si>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Anthony Black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</si>
  <si>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</si>
  <si>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D'Angelo Russell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</si>
  <si>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</si>
  <si>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Bilal Coulibaly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</si>
  <si>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</si>
  <si>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Moses Moody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</si>
  <si>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</si>
  <si>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Donte DiVincenzo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</si>
  <si>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</si>
  <si>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Chris Paul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</si>
  <si>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</si>
  <si>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Nic Claxton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</si>
  <si>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</si>
  <si>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Jonathan Kuminga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</si>
  <si>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</si>
  <si>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T,J, McConnell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</si>
  <si>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</si>
  <si>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Luguentz Dort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</si>
  <si>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</si>
  <si>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Dalton Knecht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</si>
  <si>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</si>
  <si>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Corey Kispert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</si>
  <si>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</si>
  <si>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Daniel Gafford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</si>
  <si>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</si>
  <si>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Amir Coffey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</si>
  <si>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</si>
  <si>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Jabari Smith Jr,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</si>
  <si>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</si>
  <si>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Kyle Filipowski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</si>
  <si>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</si>
  <si>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Jrue Holiday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</si>
  <si>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</si>
  <si>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Matas Buzelis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</si>
  <si>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</si>
  <si>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Tari Eason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</si>
  <si>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</si>
  <si>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Kevin Huerter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</si>
  <si>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</si>
  <si>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Royce O'Neale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</si>
  <si>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</si>
  <si>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Bobby Portis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</si>
  <si>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</si>
  <si>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Jalen Johnson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</si>
  <si>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</si>
  <si>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Terry Rozier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</si>
  <si>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</si>
  <si>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Grayson Allen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</si>
  <si>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</si>
  <si>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Jerami Grant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</si>
  <si>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</si>
  <si>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Mark Williams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</si>
  <si>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</si>
  <si>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Kentavious Caldwell-Pope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</si>
  <si>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</si>
  <si>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Ochai Agbaji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</si>
  <si>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</si>
  <si>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Yves Missi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</si>
  <si>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</si>
  <si>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Paul George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</si>
  <si>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</si>
  <si>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Keon Ellis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</si>
  <si>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</si>
  <si>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Taurean Prince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</si>
  <si>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</si>
  <si>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Andrew Nembhard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</si>
  <si>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</si>
  <si>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Walker Kessler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</si>
  <si>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</si>
  <si>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Isaiah Hartenstein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</si>
  <si>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</si>
  <si>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Ziaire Williams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</si>
  <si>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</si>
  <si>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Cole Anthony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</si>
  <si>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</si>
  <si>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Wendell Carter Jr,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</si>
  <si>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</si>
  <si>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Isaiah Collier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</si>
  <si>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</si>
  <si>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Jeremy Sochan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</si>
  <si>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</si>
  <si>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Draymond Green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</si>
  <si>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</si>
  <si>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Miles McBride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</si>
  <si>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</si>
  <si>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Zach Edey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</si>
  <si>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</si>
  <si>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Jordan Hawkins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</si>
  <si>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</si>
  <si>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Sam Hauser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</si>
  <si>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</si>
  <si>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Cam Thomas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</si>
  <si>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</si>
  <si>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Jordan Clarkson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</si>
  <si>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</si>
  <si>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Ausar Thompson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</si>
  <si>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</si>
  <si>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Kel'el Ware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</si>
  <si>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</si>
  <si>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Nick Smith Jr,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</si>
  <si>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</si>
  <si>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Kyshawn George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</si>
  <si>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</si>
  <si>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Julian Strawther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</si>
  <si>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</si>
  <si>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Davion Mitchell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</si>
  <si>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</si>
  <si>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Bogdan Bogdanović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</si>
  <si>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</si>
  <si>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Mike Conley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</si>
  <si>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</si>
  <si>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Luke Kennard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</si>
  <si>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</si>
  <si>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Jose Alvarado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</si>
  <si>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</si>
  <si>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Deandre Ayton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</si>
  <si>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</si>
  <si>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Cason Wallace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</si>
  <si>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</si>
  <si>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Johnny Juzang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</si>
  <si>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</si>
  <si>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Jaime Jaquez Jr,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</si>
  <si>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</si>
  <si>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Brandon Miller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</si>
  <si>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</si>
  <si>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Patrick Williams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</si>
  <si>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</si>
  <si>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Jalen Suggs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</si>
  <si>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</si>
  <si>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Ayo Dosunmu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</si>
  <si>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</si>
  <si>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Immanuel Quickley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</si>
  <si>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</si>
  <si>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Dalano Banton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</si>
  <si>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</si>
  <si>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Peyton Watson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</si>
  <si>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</si>
  <si>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Dorian Finney-Smith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</si>
  <si>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</si>
  <si>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Justin Champagnie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</si>
  <si>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</si>
  <si>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Dejounte Murray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</si>
  <si>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</si>
  <si>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Al Horford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</si>
  <si>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</si>
  <si>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Aaron Nesmith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</si>
  <si>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</si>
  <si>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AJ Green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</si>
  <si>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</si>
  <si>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Jared Butler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</si>
  <si>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</si>
  <si>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Tristan da Silva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</si>
  <si>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</si>
  <si>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Ricky Council IV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</si>
  <si>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</si>
  <si>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Jamal Shead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</si>
  <si>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</si>
  <si>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Brandon Clarke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</si>
  <si>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</si>
  <si>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Nick Richards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</si>
  <si>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</si>
  <si>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Jaden Ivey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</si>
  <si>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</si>
  <si>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Jalen Smith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</si>
  <si>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</si>
  <si>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Tyrese Martin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</si>
  <si>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</si>
  <si>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Ronald Holland II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</si>
  <si>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</si>
  <si>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Terance Mann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</si>
  <si>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</si>
  <si>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Sam Merrill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</si>
  <si>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</si>
  <si>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Ryan Dunn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</si>
  <si>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</si>
  <si>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Goga Bitadze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</si>
  <si>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</si>
  <si>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Josh Green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</si>
  <si>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</si>
  <si>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Chris Boucher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</si>
  <si>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</si>
  <si>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Cameron Payne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</si>
  <si>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</si>
  <si>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Jaden Hardy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</si>
  <si>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</si>
  <si>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Nikola Jović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</si>
  <si>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</si>
  <si>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Clint Capela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</si>
  <si>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</si>
  <si>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Haywood Highsmith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</si>
  <si>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</si>
  <si>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Chet Holmgren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</si>
  <si>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</si>
  <si>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Cam Whitmore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</si>
  <si>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</si>
  <si>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Kris Dunn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</si>
  <si>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</si>
  <si>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Max Strus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</si>
  <si>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</si>
  <si>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Gabe Vincent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</si>
  <si>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</si>
  <si>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Jarace Walker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</si>
  <si>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</si>
  <si>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Jake LaRavia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</si>
  <si>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</si>
  <si>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Jusuf Nurkić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</si>
  <si>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</si>
  <si>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Joel Embiid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</si>
  <si>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</si>
  <si>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Trendon Watford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</si>
  <si>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</si>
  <si>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Brandon Boston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</si>
  <si>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</si>
  <si>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Trey Lyles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</si>
  <si>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</si>
  <si>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Ja'Kobe Walter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</si>
  <si>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</si>
  <si>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Justin Edwards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</si>
  <si>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</si>
  <si>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Simone Fontecchio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</si>
  <si>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</si>
  <si>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Seth Curry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</si>
  <si>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</si>
  <si>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Jay Huff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</si>
  <si>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</si>
  <si>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Khris Middleton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</si>
  <si>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</si>
  <si>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Luke Kornet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</si>
  <si>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</si>
  <si>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Donovan Clingan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</si>
  <si>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</si>
  <si>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Kenrich Williams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</si>
  <si>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</si>
  <si>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Isaiah Stewart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</si>
  <si>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</si>
  <si>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Thomas Bryant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</si>
  <si>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</si>
  <si>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Noah Clowney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</si>
  <si>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</si>
  <si>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Jamison Battle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</si>
  <si>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</si>
  <si>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Jeremiah Robinson-Earl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</si>
  <si>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</si>
  <si>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Vít Krejčí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</si>
  <si>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</si>
  <si>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Zach Collins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</si>
  <si>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</si>
  <si>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Trayce Jackson-Davis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</si>
  <si>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</si>
  <si>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Moussa Diabaté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</si>
  <si>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</si>
  <si>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Gary Payton II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</si>
  <si>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</si>
  <si>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Brandon Ingram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</si>
  <si>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</si>
  <si>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Day'Ron Sharpe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</si>
  <si>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</si>
  <si>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Jonathan Mogbo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</si>
  <si>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</si>
  <si>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Moritz Wagner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</si>
  <si>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</si>
  <si>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Sandro Mamukelashvili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</si>
  <si>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</si>
  <si>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Kelly Olynyk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</si>
  <si>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</si>
  <si>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Alex Caruso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</si>
  <si>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</si>
  <si>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Jonathan Isaac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</si>
  <si>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</si>
  <si>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Jaxson Hayes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</si>
  <si>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</si>
  <si>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Talen Horton-Tucker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</si>
  <si>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</si>
  <si>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Marcus Sasser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</si>
  <si>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</si>
  <si>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Precious Achiuwa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</si>
  <si>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</si>
  <si>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Julian Phillips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</si>
  <si>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</si>
  <si>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Kyle Anderson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</si>
  <si>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</si>
  <si>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Cody Martin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</si>
  <si>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</si>
  <si>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Alec Burks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</si>
  <si>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</si>
  <si>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Caleb Martin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</si>
  <si>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</si>
  <si>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Tidjane Salaün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</si>
  <si>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</si>
  <si>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Garrison Mathews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</si>
  <si>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</si>
  <si>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Jared McCain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</si>
  <si>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</si>
  <si>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Javonte Green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</si>
  <si>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</si>
  <si>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Ryan Rollins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</si>
  <si>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</si>
  <si>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Kevon Looney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</si>
  <si>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</si>
  <si>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Aaron Holiday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</si>
  <si>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</si>
  <si>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Quinten Post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</si>
  <si>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</si>
  <si>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Bruce Brown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</si>
  <si>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</si>
  <si>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Isaac Okoro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</si>
  <si>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</si>
  <si>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Adem Bona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</si>
  <si>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</si>
  <si>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Ben Sheppard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</si>
  <si>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</si>
  <si>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Svi Mykhailiuk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</si>
  <si>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</si>
  <si>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Mason Plumlee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</si>
  <si>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</si>
  <si>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Tre Jones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</si>
  <si>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</si>
  <si>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Dalen Terry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</si>
  <si>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</si>
  <si>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Tristan Vukcevic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</si>
  <si>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</si>
  <si>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Karlo Matković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</si>
  <si>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</si>
  <si>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Dean Wade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</si>
  <si>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</si>
  <si>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DaQuan Jeffries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</si>
  <si>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</si>
  <si>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Shake Milton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</si>
  <si>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</si>
  <si>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Dereck Lively II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</si>
  <si>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</si>
  <si>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Nicolas Batum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</si>
  <si>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</si>
  <si>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Jabari Walker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</si>
  <si>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</si>
  <si>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Neemias Queta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</si>
  <si>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</si>
  <si>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Marcus Smart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</si>
  <si>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</si>
  <si>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Malcolm Brogdon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</si>
  <si>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</si>
  <si>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Antonio Reeves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</si>
  <si>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</si>
  <si>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Orlando Robinson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</si>
  <si>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</si>
  <si>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Andre Drummond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</si>
  <si>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</si>
  <si>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Kris Murray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</si>
  <si>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</si>
  <si>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Jeff Dowtin Jr,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</si>
  <si>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</si>
  <si>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Landry Shamet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</si>
  <si>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</si>
  <si>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Josh Okogie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</si>
  <si>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</si>
  <si>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KJ Simpson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</si>
  <si>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</si>
  <si>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Drew Eubanks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</si>
  <si>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</si>
  <si>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Jaylin Williams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</si>
  <si>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</si>
  <si>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KJ Martin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</si>
  <si>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</si>
  <si>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Brandon Williams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</si>
  <si>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</si>
  <si>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Vasilije Micić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</si>
  <si>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</si>
  <si>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Jett Howard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</si>
  <si>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</si>
  <si>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Tosan Evbuomwan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</si>
  <si>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</si>
  <si>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Lonzo Ball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</si>
  <si>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</si>
  <si>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Eric Gordon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</si>
  <si>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</si>
  <si>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Oso Ighodaro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</si>
  <si>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</si>
  <si>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Lindy Waters III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</si>
  <si>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</si>
  <si>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Ben Simmons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</si>
  <si>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</si>
  <si>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Pelle Larsson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</si>
  <si>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</si>
  <si>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Lonnie Walker IV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</si>
  <si>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</si>
  <si>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Bol Bol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</si>
  <si>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</si>
  <si>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Caleb Houstan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</si>
  <si>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</si>
  <si>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A,J, Lawson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</si>
  <si>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</si>
  <si>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Malaki Branham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</si>
  <si>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</si>
  <si>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Ajay Mitchell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</si>
  <si>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</si>
  <si>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Monté Morris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</si>
  <si>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</si>
  <si>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Gui Santos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</si>
  <si>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</si>
  <si>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Cody Williams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</si>
  <si>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</si>
  <si>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Reed Sheppard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</si>
  <si>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</si>
  <si>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Richaun Holmes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</si>
  <si>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</si>
  <si>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Andre Jackson Jr,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</si>
  <si>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</si>
  <si>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Steven Adams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</si>
  <si>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</si>
  <si>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Rob Dillingham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</si>
  <si>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</si>
  <si>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AJ Johnson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</si>
  <si>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</si>
  <si>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Pat Connaughton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</si>
  <si>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</si>
  <si>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Blake Wesley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</si>
  <si>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</si>
  <si>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GG Jackson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</si>
  <si>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</si>
  <si>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DeAndre Jordan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</si>
  <si>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</si>
  <si>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Herbert Jones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</si>
  <si>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</si>
  <si>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Larry Nance Jr,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</si>
  <si>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</si>
  <si>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Olivier-Maxence Prosper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</si>
  <si>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</si>
  <si>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Jock Landale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</si>
  <si>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</si>
  <si>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Jalen Pickett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</si>
  <si>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</si>
  <si>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Kai Jones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</si>
  <si>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</si>
  <si>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Mouhamed Gueye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</si>
  <si>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</si>
  <si>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Jamal Cain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</si>
  <si>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</si>
  <si>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Collin Gillespie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</si>
  <si>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</si>
  <si>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Duop Reath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</si>
  <si>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</si>
  <si>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Craig Porter Jr,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</si>
  <si>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</si>
  <si>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Jae'Sean Tate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</si>
  <si>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</si>
  <si>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Paul Reed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</si>
  <si>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</si>
  <si>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Tre Mann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</si>
  <si>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</si>
  <si>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Zeke Nnaji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</si>
  <si>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</si>
  <si>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Vince Williams Jr,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</si>
  <si>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</si>
  <si>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Cory Joseph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</si>
  <si>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</si>
  <si>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Danté Exum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</si>
  <si>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</si>
  <si>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Jeff Green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</si>
  <si>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</si>
  <si>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Jaylon Tyson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</si>
  <si>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</si>
  <si>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Kessler Edwards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</si>
  <si>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</si>
  <si>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Keaton Wallace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</si>
  <si>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</si>
  <si>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Grant Williams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</si>
  <si>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</si>
  <si>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Jaylen Clark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</si>
  <si>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</si>
  <si>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Daniel Theis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</si>
  <si>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</si>
  <si>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Micah Potter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</si>
  <si>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</si>
  <si>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Quenton Jackson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</si>
  <si>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</si>
  <si>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Jordan Goodwin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</si>
  <si>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</si>
  <si>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Charles Bassey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</si>
  <si>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</si>
  <si>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Rayan Rupert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</si>
  <si>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</si>
  <si>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Colby Jones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</si>
  <si>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</si>
  <si>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Jevon Carter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</si>
  <si>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</si>
  <si>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David Roddy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</si>
  <si>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</si>
  <si>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Jordan Miller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</si>
  <si>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</si>
  <si>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Trevelin Queen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</si>
  <si>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</si>
  <si>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Wendell Moore Jr,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</si>
  <si>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</si>
  <si>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Bones Hyland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</si>
  <si>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</si>
  <si>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Jarred Vanderbilt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</si>
  <si>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</si>
  <si>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Dominick Barlow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</si>
  <si>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</si>
  <si>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Doug McDermott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</si>
  <si>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</si>
  <si>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Gary Harris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</si>
  <si>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</si>
  <si>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Bismack Biyombo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</si>
  <si>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</si>
  <si>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Keion Brooks Jr,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</si>
  <si>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</si>
  <si>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Ousmane Dieng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</si>
  <si>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</si>
  <si>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Terrence Shannon Jr,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</si>
  <si>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</si>
  <si>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Mo Bamba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</si>
  <si>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</si>
  <si>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Luka Garza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</si>
  <si>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</si>
  <si>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Kyle Lowry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</si>
  <si>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</si>
  <si>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Devin Carter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</si>
  <si>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</si>
  <si>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Marvin Bagley III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</si>
  <si>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</si>
  <si>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Reggie Jackson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</si>
  <si>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</si>
  <si>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Isaac Jones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</si>
  <si>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</si>
  <si>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Dillon Jones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</si>
  <si>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</si>
  <si>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Hunter Tyson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</si>
  <si>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</si>
  <si>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Anthony Gill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</si>
  <si>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</si>
  <si>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Delon Wright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</si>
  <si>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</si>
  <si>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Kevin Love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</si>
  <si>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</si>
  <si>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Branden Carlson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</si>
  <si>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</si>
  <si>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Colin Castleton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</si>
  <si>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</si>
  <si>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Isaiah Wong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</si>
  <si>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</si>
  <si>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Josh Minott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</si>
  <si>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</si>
  <si>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Jared Rhoden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</si>
  <si>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</si>
  <si>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Dwight Powell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</si>
  <si>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</si>
  <si>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Robert Williams III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</si>
  <si>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</si>
  <si>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Maxwell Lewis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</si>
  <si>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</si>
  <si>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Dariq Whitehead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</si>
  <si>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</si>
  <si>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Matisse Thybulle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</si>
  <si>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</si>
  <si>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Baylor Scheierman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</si>
  <si>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</si>
  <si>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Damion Baugh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</si>
  <si>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</si>
  <si>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Patty Mills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</si>
  <si>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</si>
  <si>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John Konchar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</si>
  <si>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</si>
  <si>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Drew Timme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</si>
  <si>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</si>
  <si>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Torrey Craig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</si>
  <si>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</si>
  <si>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Jaden Springer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</si>
  <si>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</si>
  <si>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Taj Gibson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</si>
  <si>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</si>
  <si>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Jalen Hood-Schifino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</si>
  <si>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</si>
  <si>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Cam Reddish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</si>
  <si>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</si>
  <si>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Oscar Tshiebwe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</si>
  <si>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</si>
  <si>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Johnny Furphy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</si>
  <si>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</si>
  <si>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Cam Spencer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</si>
  <si>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</si>
  <si>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Maxi Kleber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</si>
  <si>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</si>
  <si>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Pat Spencer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</si>
  <si>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</si>
  <si>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Jordan McLaughlin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</si>
  <si>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</si>
  <si>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Trey Jemison III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</si>
  <si>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</si>
  <si>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Jericho Sims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</si>
  <si>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</si>
  <si>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Reece Beekman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</si>
  <si>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</si>
  <si>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Christian Koloko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</si>
  <si>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</si>
  <si>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Dru Smith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</si>
  <si>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</si>
  <si>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Mitchell Robinson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</si>
  <si>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</si>
  <si>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Lester Quinones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</si>
  <si>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</si>
  <si>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Elfrid Payton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</si>
  <si>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</si>
  <si>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Jordan Walsh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</si>
  <si>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</si>
  <si>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Damion Lee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</si>
  <si>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</si>
  <si>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Tyler Kolek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</si>
  <si>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</si>
  <si>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Johnny Davis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</si>
  <si>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</si>
  <si>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MarJon Beauchamp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</si>
  <si>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</si>
  <si>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Jaylen Martin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</si>
  <si>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</si>
  <si>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Alex Reese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</si>
  <si>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</si>
  <si>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Kobe Brown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</si>
  <si>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</si>
  <si>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Moses Brown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</si>
  <si>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</si>
  <si>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Lamar Stevens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</si>
  <si>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</si>
  <si>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Alex Len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</si>
  <si>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</si>
  <si>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JT Thor</t>
    </r>
  </si>
  <si>
    <r>
      <rPr>
        <u/>
        <sz val="10"/>
        <color rgb="FF1155CC"/>
        <rFont val="Arial"/>
        <family val="2"/>
        <scheme val="minor"/>
      </rPr>
      <t>WAS</t>
    </r>
  </si>
  <si>
    <r>
      <rPr>
        <u/>
        <sz val="10"/>
        <color rgb="FF1155CC"/>
        <rFont val="Arial"/>
        <family val="2"/>
        <scheme val="minor"/>
      </rPr>
      <t>Tristan Thompson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</si>
  <si>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</si>
  <si>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Tyler Smith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</si>
  <si>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</si>
  <si>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Jaylen Nowell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</si>
  <si>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</si>
  <si>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Adam Flagler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</si>
  <si>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</si>
  <si>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Marcus Bagley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</si>
  <si>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</si>
  <si>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Nate Williams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</si>
  <si>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</si>
  <si>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De'Anthony Melton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</si>
  <si>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</si>
  <si>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Tony Bradley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</si>
  <si>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</si>
  <si>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Bronny James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</si>
  <si>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</si>
  <si>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Markelle Fultz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</si>
  <si>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</si>
  <si>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Cole Swider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</si>
  <si>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</si>
  <si>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Bruno Fernando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</si>
  <si>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</si>
  <si>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Dario Šarić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</si>
  <si>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</si>
  <si>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Markieff Morris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</si>
  <si>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</si>
  <si>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Tyson Etienne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</si>
  <si>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</si>
  <si>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Drew Peterson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</si>
  <si>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</si>
  <si>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Killian Hayes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</si>
  <si>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</si>
  <si>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Kobe Bufkin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</si>
  <si>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</si>
  <si>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Chuma Okeke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</si>
  <si>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</si>
  <si>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Patrick Baldwin Jr,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</si>
  <si>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</si>
  <si>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Garrett Temple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</si>
  <si>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</si>
  <si>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Oshae Brissett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</si>
  <si>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</si>
  <si>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Ariel Hukporti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</si>
  <si>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</si>
  <si>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Kevin Knox II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</si>
  <si>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</si>
  <si>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Enrique Freeman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</si>
  <si>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</si>
  <si>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Daeqwon Plowden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</si>
  <si>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</si>
  <si>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Keshad Johnson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</si>
  <si>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</si>
  <si>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Jaylen Sims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</si>
  <si>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</si>
  <si>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Pete Nance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</si>
  <si>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</si>
  <si>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Emoni Bates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</si>
  <si>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</si>
  <si>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Chris Duarte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</si>
  <si>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</si>
  <si>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Nae'Qwan Tomlin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</si>
  <si>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</si>
  <si>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Alex Ducas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</si>
  <si>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</si>
  <si>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Isaiah Jackson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</si>
  <si>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</si>
  <si>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Yuki Kawamura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</si>
  <si>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</si>
  <si>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TyTy Washington Jr,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</si>
  <si>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</si>
  <si>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JD Davison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</si>
  <si>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</si>
  <si>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Kylor Kelley</t>
    </r>
  </si>
  <si>
    <r>
      <rPr>
        <u/>
        <sz val="10"/>
        <color rgb="FF1155CC"/>
        <rFont val="Arial"/>
        <family val="2"/>
        <scheme val="minor"/>
      </rPr>
      <t>NOP</t>
    </r>
  </si>
  <si>
    <r>
      <rPr>
        <u/>
        <sz val="10"/>
        <color rgb="FF1155CC"/>
        <rFont val="Arial"/>
        <family val="2"/>
        <scheme val="minor"/>
      </rPr>
      <t>Xavier Tillman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</si>
  <si>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</si>
  <si>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Sidy Cissoko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</si>
  <si>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</si>
  <si>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PJ Hall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</si>
  <si>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</si>
  <si>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Josh Richardson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</si>
  <si>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</si>
  <si>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Elijah Harkless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</si>
  <si>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</si>
  <si>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Trey Alexander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</si>
  <si>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</si>
  <si>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Pacôme Dadiet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</si>
  <si>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</si>
  <si>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RayJ Dennis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</si>
  <si>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</si>
  <si>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Chris Livingston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</si>
  <si>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</si>
  <si>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Matt Ryan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</si>
  <si>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</si>
  <si>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Marcus Garrett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</si>
  <si>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</si>
  <si>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Josh Christopher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</si>
  <si>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</si>
  <si>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Spencer Jones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</si>
  <si>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</si>
  <si>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Jacob Toppin</t>
    </r>
  </si>
  <si>
    <r>
      <rPr>
        <u/>
        <sz val="10"/>
        <color rgb="FF1155CC"/>
        <rFont val="Arial"/>
        <family val="2"/>
        <scheme val="minor"/>
      </rPr>
      <t>ATL</t>
    </r>
  </si>
  <si>
    <r>
      <rPr>
        <u/>
        <sz val="10"/>
        <color rgb="FF1155CC"/>
        <rFont val="Arial"/>
        <family val="2"/>
        <scheme val="minor"/>
      </rPr>
      <t>Jazian Gortman</t>
    </r>
  </si>
  <si>
    <r>
      <rPr>
        <u/>
        <sz val="10"/>
        <color rgb="FF1155CC"/>
        <rFont val="Arial"/>
        <family val="2"/>
        <scheme val="minor"/>
      </rPr>
      <t>DAL</t>
    </r>
  </si>
  <si>
    <r>
      <rPr>
        <u/>
        <sz val="10"/>
        <color rgb="FF1155CC"/>
        <rFont val="Arial"/>
        <family val="2"/>
        <scheme val="minor"/>
      </rPr>
      <t>N'Faly Dante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</si>
  <si>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</si>
  <si>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Vlatko Čančar</t>
    </r>
  </si>
  <si>
    <r>
      <rPr>
        <u/>
        <sz val="10"/>
        <color rgb="FF1155CC"/>
        <rFont val="Arial"/>
        <family val="2"/>
        <scheme val="minor"/>
      </rPr>
      <t>DEN</t>
    </r>
  </si>
  <si>
    <r>
      <rPr>
        <u/>
        <sz val="10"/>
        <color rgb="FF1155CC"/>
        <rFont val="Arial"/>
        <family val="2"/>
        <scheme val="minor"/>
      </rPr>
      <t>Jae Crowder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</si>
  <si>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</si>
  <si>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Mason Jones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</si>
  <si>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</si>
  <si>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E,J, Liddell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</si>
  <si>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</si>
  <si>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Jackson Rowe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</si>
  <si>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</si>
  <si>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Leonard Miller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</si>
  <si>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</si>
  <si>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Cam Christie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</si>
  <si>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</si>
  <si>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Jamaree Bouyea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</si>
  <si>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</si>
  <si>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Justin Minaya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</si>
  <si>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</si>
  <si>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Malachi Flynn</t>
    </r>
  </si>
  <si>
    <r>
      <rPr>
        <u/>
        <sz val="10"/>
        <color rgb="FF1155CC"/>
        <rFont val="Arial"/>
        <family val="2"/>
        <scheme val="minor"/>
      </rPr>
      <t>CHA</t>
    </r>
  </si>
  <si>
    <r>
      <rPr>
        <u/>
        <sz val="10"/>
        <color rgb="FF1155CC"/>
        <rFont val="Arial"/>
        <family val="2"/>
        <scheme val="minor"/>
      </rPr>
      <t>David Duke Jr,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</si>
  <si>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</si>
  <si>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Bobi Klintman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</si>
  <si>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</si>
  <si>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Stanley Umude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</si>
  <si>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</si>
  <si>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Joe Ingles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</si>
  <si>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</si>
  <si>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Tolu Smith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</si>
  <si>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</si>
  <si>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Jack McVeigh</t>
    </r>
  </si>
  <si>
    <r>
      <rPr>
        <u/>
        <sz val="10"/>
        <color rgb="FF1155CC"/>
        <rFont val="Arial"/>
        <family val="2"/>
        <scheme val="minor"/>
      </rPr>
      <t>HOU</t>
    </r>
  </si>
  <si>
    <r>
      <rPr>
        <u/>
        <sz val="10"/>
        <color rgb="FF1155CC"/>
        <rFont val="Arial"/>
        <family val="2"/>
        <scheme val="minor"/>
      </rPr>
      <t>Armel Traoré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</si>
  <si>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</si>
  <si>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Isaiah Crawford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</si>
  <si>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</si>
  <si>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Taylor Hendricks</t>
    </r>
  </si>
  <si>
    <r>
      <rPr>
        <u/>
        <sz val="10"/>
        <color rgb="FF1155CC"/>
        <rFont val="Arial"/>
        <family val="2"/>
        <scheme val="minor"/>
      </rPr>
      <t>UTA</t>
    </r>
  </si>
  <si>
    <r>
      <rPr>
        <u/>
        <sz val="10"/>
        <color rgb="FF1155CC"/>
        <rFont val="Arial"/>
        <family val="2"/>
        <scheme val="minor"/>
      </rPr>
      <t>Bryce McGowens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</si>
  <si>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</si>
  <si>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Luke Travers</t>
    </r>
  </si>
  <si>
    <r>
      <rPr>
        <u/>
        <sz val="10"/>
        <color rgb="FF1155CC"/>
        <rFont val="Arial"/>
        <family val="2"/>
        <scheme val="minor"/>
      </rPr>
      <t>CLE</t>
    </r>
  </si>
  <si>
    <r>
      <rPr>
        <u/>
        <sz val="10"/>
        <color rgb="FF1155CC"/>
        <rFont val="Arial"/>
        <family val="2"/>
        <scheme val="minor"/>
      </rPr>
      <t>Jahmir Young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</si>
  <si>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</si>
  <si>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Trentyn Flowers</t>
    </r>
  </si>
  <si>
    <r>
      <rPr>
        <u/>
        <sz val="10"/>
        <color rgb="FF1155CC"/>
        <rFont val="Arial"/>
        <family val="2"/>
        <scheme val="minor"/>
      </rPr>
      <t>LAC</t>
    </r>
  </si>
  <si>
    <r>
      <rPr>
        <u/>
        <sz val="10"/>
        <color rgb="FF1155CC"/>
        <rFont val="Arial"/>
        <family val="2"/>
        <scheme val="minor"/>
      </rPr>
      <t>Emanuel Miller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</si>
  <si>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</si>
  <si>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Liam Robbins</t>
    </r>
  </si>
  <si>
    <r>
      <rPr>
        <u/>
        <sz val="10"/>
        <color rgb="FF1155CC"/>
        <rFont val="Arial"/>
        <family val="2"/>
        <scheme val="minor"/>
      </rPr>
      <t>MIL</t>
    </r>
  </si>
  <si>
    <r>
      <rPr>
        <u/>
        <sz val="10"/>
        <color rgb="FF1155CC"/>
        <rFont val="Arial"/>
        <family val="2"/>
        <scheme val="minor"/>
      </rPr>
      <t>P,J, Tucker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</si>
  <si>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</si>
  <si>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Jalen Bridges</t>
    </r>
  </si>
  <si>
    <r>
      <rPr>
        <u/>
        <sz val="10"/>
        <color rgb="FF1155CC"/>
        <rFont val="Arial"/>
        <family val="2"/>
        <scheme val="minor"/>
      </rPr>
      <t>PHX</t>
    </r>
  </si>
  <si>
    <r>
      <rPr>
        <u/>
        <sz val="10"/>
        <color rgb="FF1155CC"/>
        <rFont val="Arial"/>
        <family val="2"/>
        <scheme val="minor"/>
      </rPr>
      <t>Adama Sanogo</t>
    </r>
  </si>
  <si>
    <r>
      <rPr>
        <u/>
        <sz val="10"/>
        <color rgb="FF1155CC"/>
        <rFont val="Arial"/>
        <family val="2"/>
        <scheme val="minor"/>
      </rPr>
      <t>CHI</t>
    </r>
  </si>
  <si>
    <r>
      <rPr>
        <u/>
        <sz val="10"/>
        <color rgb="FF1155CC"/>
        <rFont val="Arial"/>
        <family val="2"/>
        <scheme val="minor"/>
      </rPr>
      <t>James Johnson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</si>
  <si>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</si>
  <si>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Anton Watson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</si>
  <si>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</si>
  <si>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Phillip Wheeler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</si>
  <si>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</si>
  <si>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Miles Norris</t>
    </r>
  </si>
  <si>
    <r>
      <rPr>
        <u/>
        <sz val="10"/>
        <color rgb="FF1155CC"/>
        <rFont val="Arial"/>
        <family val="2"/>
        <scheme val="minor"/>
      </rPr>
      <t>BOS</t>
    </r>
  </si>
  <si>
    <r>
      <rPr>
        <u/>
        <sz val="10"/>
        <color rgb="FF1155CC"/>
        <rFont val="Arial"/>
        <family val="2"/>
        <scheme val="minor"/>
      </rPr>
      <t>Daniss Jenkins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</si>
  <si>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</si>
  <si>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PJ Dozier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</si>
  <si>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</si>
  <si>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James Wiseman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</si>
  <si>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</si>
  <si>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Kevin McCullar Jr,</t>
    </r>
  </si>
  <si>
    <r>
      <rPr>
        <u/>
        <sz val="10"/>
        <color rgb="FF1155CC"/>
        <rFont val="Arial"/>
        <family val="2"/>
        <scheme val="minor"/>
      </rPr>
      <t>NYK</t>
    </r>
  </si>
  <si>
    <r>
      <rPr>
        <u/>
        <sz val="10"/>
        <color rgb="FF1155CC"/>
        <rFont val="Arial"/>
        <family val="2"/>
        <scheme val="minor"/>
      </rPr>
      <t>Isaiah Mobley</t>
    </r>
  </si>
  <si>
    <r>
      <rPr>
        <u/>
        <sz val="10"/>
        <color rgb="FF1155CC"/>
        <rFont val="Arial"/>
        <family val="2"/>
        <scheme val="minor"/>
      </rPr>
      <t>PHI</t>
    </r>
  </si>
  <si>
    <r>
      <rPr>
        <u/>
        <sz val="10"/>
        <color rgb="FF1155CC"/>
        <rFont val="Arial"/>
        <family val="2"/>
        <scheme val="minor"/>
      </rPr>
      <t>Tazé Moore</t>
    </r>
  </si>
  <si>
    <r>
      <rPr>
        <u/>
        <sz val="10"/>
        <color rgb="FF1155CC"/>
        <rFont val="Arial"/>
        <family val="2"/>
        <scheme val="minor"/>
      </rPr>
      <t>POR</t>
    </r>
  </si>
  <si>
    <r>
      <rPr>
        <u/>
        <sz val="10"/>
        <color rgb="FF1155CC"/>
        <rFont val="Arial"/>
        <family val="2"/>
        <scheme val="minor"/>
      </rPr>
      <t>Alondes Williams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</si>
  <si>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</si>
  <si>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Skal Labissiere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</si>
  <si>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</si>
  <si>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Ulrich Chomche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</si>
  <si>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</si>
  <si>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Ron Harper Jr,</t>
    </r>
  </si>
  <si>
    <r>
      <rPr>
        <u/>
        <sz val="10"/>
        <color rgb="FF1155CC"/>
        <rFont val="Arial"/>
        <family val="2"/>
        <scheme val="minor"/>
      </rPr>
      <t>DET</t>
    </r>
  </si>
  <si>
    <r>
      <rPr>
        <u/>
        <sz val="10"/>
        <color rgb="FF1155CC"/>
        <rFont val="Arial"/>
        <family val="2"/>
        <scheme val="minor"/>
      </rPr>
      <t>Harrison Ingram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</si>
  <si>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</si>
  <si>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Cui Yongxi</t>
    </r>
  </si>
  <si>
    <r>
      <rPr>
        <u/>
        <sz val="10"/>
        <color rgb="FF1155CC"/>
        <rFont val="Arial"/>
        <family val="2"/>
        <scheme val="minor"/>
      </rPr>
      <t>BKN</t>
    </r>
  </si>
  <si>
    <r>
      <rPr>
        <u/>
        <sz val="10"/>
        <color rgb="FF1155CC"/>
        <rFont val="Arial"/>
        <family val="2"/>
        <scheme val="minor"/>
      </rPr>
      <t>Braxton Key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</si>
  <si>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</si>
  <si>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Quincy Olivari</t>
    </r>
  </si>
  <si>
    <r>
      <rPr>
        <u/>
        <sz val="10"/>
        <color rgb="FF1155CC"/>
        <rFont val="Arial"/>
        <family val="2"/>
        <scheme val="minor"/>
      </rPr>
      <t>LAL</t>
    </r>
  </si>
  <si>
    <r>
      <rPr>
        <u/>
        <sz val="10"/>
        <color rgb="FF1155CC"/>
        <rFont val="Arial"/>
        <family val="2"/>
        <scheme val="minor"/>
      </rPr>
      <t>Tristen Newton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</si>
  <si>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</si>
  <si>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D,J, Carton</t>
    </r>
  </si>
  <si>
    <r>
      <rPr>
        <u/>
        <sz val="10"/>
        <color rgb="FF1155CC"/>
        <rFont val="Arial"/>
        <family val="2"/>
        <scheme val="minor"/>
      </rPr>
      <t>TOR</t>
    </r>
  </si>
  <si>
    <r>
      <rPr>
        <u/>
        <sz val="10"/>
        <color rgb="FF1155CC"/>
        <rFont val="Arial"/>
        <family val="2"/>
        <scheme val="minor"/>
      </rPr>
      <t>Yuri Collins</t>
    </r>
  </si>
  <si>
    <r>
      <rPr>
        <u/>
        <sz val="10"/>
        <color rgb="FF1155CC"/>
        <rFont val="Arial"/>
        <family val="2"/>
        <scheme val="minor"/>
      </rPr>
      <t>GSW</t>
    </r>
  </si>
  <si>
    <r>
      <rPr>
        <u/>
        <sz val="10"/>
        <color rgb="FF1155CC"/>
        <rFont val="Arial"/>
        <family val="2"/>
        <scheme val="minor"/>
      </rPr>
      <t>Malevy Leons</t>
    </r>
  </si>
  <si>
    <r>
      <rPr>
        <u/>
        <sz val="10"/>
        <color rgb="FF1155CC"/>
        <rFont val="Arial"/>
        <family val="2"/>
        <scheme val="minor"/>
      </rPr>
      <t>OKC</t>
    </r>
  </si>
  <si>
    <r>
      <rPr>
        <u/>
        <sz val="10"/>
        <color rgb="FF1155CC"/>
        <rFont val="Arial"/>
        <family val="2"/>
        <scheme val="minor"/>
      </rPr>
      <t>Daishen Nix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</si>
  <si>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</si>
  <si>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Jahlil Okafor</t>
    </r>
  </si>
  <si>
    <r>
      <rPr>
        <u/>
        <sz val="10"/>
        <color rgb="FF1155CC"/>
        <rFont val="Arial"/>
        <family val="2"/>
        <scheme val="minor"/>
      </rPr>
      <t>IND</t>
    </r>
  </si>
  <si>
    <r>
      <rPr>
        <u/>
        <sz val="10"/>
        <color rgb="FF1155CC"/>
        <rFont val="Arial"/>
        <family val="2"/>
        <scheme val="minor"/>
      </rPr>
      <t>Zyon Pullin</t>
    </r>
  </si>
  <si>
    <r>
      <rPr>
        <u/>
        <sz val="10"/>
        <color rgb="FF1155CC"/>
        <rFont val="Arial"/>
        <family val="2"/>
        <scheme val="minor"/>
      </rPr>
      <t>MEM</t>
    </r>
  </si>
  <si>
    <r>
      <rPr>
        <u/>
        <sz val="10"/>
        <color rgb="FF1155CC"/>
        <rFont val="Arial"/>
        <family val="2"/>
        <scheme val="minor"/>
      </rPr>
      <t>Isaiah Stevens</t>
    </r>
  </si>
  <si>
    <r>
      <rPr>
        <u/>
        <sz val="10"/>
        <color rgb="FF1155CC"/>
        <rFont val="Arial"/>
        <family val="2"/>
        <scheme val="minor"/>
      </rPr>
      <t>MIA</t>
    </r>
  </si>
  <si>
    <r>
      <rPr>
        <u/>
        <sz val="10"/>
        <color rgb="FF1155CC"/>
        <rFont val="Arial"/>
        <family val="2"/>
        <scheme val="minor"/>
      </rPr>
      <t>Jesse Edwards</t>
    </r>
  </si>
  <si>
    <r>
      <rPr>
        <u/>
        <sz val="10"/>
        <color rgb="FF1155CC"/>
        <rFont val="Arial"/>
        <family val="2"/>
        <scheme val="minor"/>
      </rPr>
      <t>MIN</t>
    </r>
  </si>
  <si>
    <r>
      <rPr>
        <u/>
        <sz val="10"/>
        <color rgb="FF1155CC"/>
        <rFont val="Arial"/>
        <family val="2"/>
        <scheme val="minor"/>
      </rPr>
      <t>Mac McClung</t>
    </r>
  </si>
  <si>
    <r>
      <rPr>
        <u/>
        <sz val="10"/>
        <color rgb="FF1155CC"/>
        <rFont val="Arial"/>
        <family val="2"/>
        <scheme val="minor"/>
      </rPr>
      <t>ORL</t>
    </r>
  </si>
  <si>
    <r>
      <rPr>
        <u/>
        <sz val="10"/>
        <color rgb="FF1155CC"/>
        <rFont val="Arial"/>
        <family val="2"/>
        <scheme val="minor"/>
      </rPr>
      <t>Terence Davis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</si>
  <si>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</si>
  <si>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Terry Taylor</t>
    </r>
  </si>
  <si>
    <r>
      <rPr>
        <u/>
        <sz val="10"/>
        <color rgb="FF1155CC"/>
        <rFont val="Arial"/>
        <family val="2"/>
        <scheme val="minor"/>
      </rPr>
      <t>SAC</t>
    </r>
  </si>
  <si>
    <r>
      <rPr>
        <u/>
        <sz val="10"/>
        <color rgb="FF1155CC"/>
        <rFont val="Arial"/>
        <family val="2"/>
        <scheme val="minor"/>
      </rPr>
      <t>Riley Minix</t>
    </r>
  </si>
  <si>
    <r>
      <rPr>
        <u/>
        <sz val="10"/>
        <color rgb="FF1155CC"/>
        <rFont val="Arial"/>
        <family val="2"/>
        <scheme val="minor"/>
      </rPr>
      <t>SAS</t>
    </r>
  </si>
  <si>
    <r>
      <rPr>
        <u/>
        <sz val="10"/>
        <color rgb="FF1155CC"/>
        <rFont val="Arial"/>
        <family val="2"/>
        <scheme val="minor"/>
      </rPr>
      <t>Jalen McDaniels</t>
    </r>
  </si>
  <si>
    <r>
      <rPr>
        <u/>
        <sz val="10"/>
        <color rgb="FF1155CC"/>
        <rFont val="Arial"/>
        <family val="2"/>
        <scheme val="minor"/>
      </rPr>
      <t>WAS</t>
    </r>
  </si>
  <si>
    <t>Analyse de la saison de NBA</t>
  </si>
  <si>
    <t>Code</t>
  </si>
  <si>
    <t>Nom complet de l'équipe</t>
  </si>
  <si>
    <t>Nombre de joueur par équipe</t>
  </si>
  <si>
    <t>Nombre de point total par équipe</t>
  </si>
  <si>
    <t>MIA</t>
  </si>
  <si>
    <t>OKC</t>
  </si>
  <si>
    <t>LAC</t>
  </si>
  <si>
    <t>BKN</t>
  </si>
  <si>
    <t>ATL</t>
  </si>
  <si>
    <t>ORL</t>
  </si>
  <si>
    <t>BOS</t>
  </si>
  <si>
    <t>CLE</t>
  </si>
  <si>
    <t>DET</t>
  </si>
  <si>
    <t>MIN</t>
  </si>
  <si>
    <t>UTA</t>
  </si>
  <si>
    <t>SAC</t>
  </si>
  <si>
    <t>NYK</t>
  </si>
  <si>
    <t>HOU</t>
  </si>
  <si>
    <t>LAL</t>
  </si>
  <si>
    <t>CHI</t>
  </si>
  <si>
    <t>DEN</t>
  </si>
  <si>
    <t>SAS</t>
  </si>
  <si>
    <t>POR</t>
  </si>
  <si>
    <t>DAL</t>
  </si>
  <si>
    <t>PHI</t>
  </si>
  <si>
    <t>WAS</t>
  </si>
  <si>
    <t>NOP</t>
  </si>
  <si>
    <t>TOR</t>
  </si>
  <si>
    <t>CHA</t>
  </si>
  <si>
    <t>IND</t>
  </si>
  <si>
    <t>PHX</t>
  </si>
  <si>
    <t>GSW</t>
  </si>
  <si>
    <t>MIL</t>
  </si>
  <si>
    <t>MEM</t>
  </si>
  <si>
    <t>Analyse d'une équipe</t>
  </si>
  <si>
    <t>Alex Len</t>
  </si>
  <si>
    <t>Armel Traoré</t>
  </si>
  <si>
    <t>Austin Reaves</t>
  </si>
  <si>
    <t>Bronny James</t>
  </si>
  <si>
    <t>Cam Reddish</t>
  </si>
  <si>
    <t>Christian Koloko</t>
  </si>
  <si>
    <t>Dalton Knecht</t>
  </si>
  <si>
    <t>Dorian Finney-Smith</t>
  </si>
  <si>
    <t>Gabe Vincent</t>
  </si>
  <si>
    <t>Jarred Vanderbilt</t>
  </si>
  <si>
    <t>Jaxson Hayes</t>
  </si>
  <si>
    <t>Jordan Goodwin</t>
  </si>
  <si>
    <t>LeBron James</t>
  </si>
  <si>
    <t>Luka Dončić</t>
  </si>
  <si>
    <t>Markieff Morris</t>
  </si>
  <si>
    <t>Maxi Kleber</t>
  </si>
  <si>
    <t>Quincy Olivari</t>
  </si>
  <si>
    <t>Rui Hachimura</t>
  </si>
  <si>
    <t>Shake Milton</t>
  </si>
  <si>
    <t>Trey Jemison III</t>
  </si>
  <si>
    <t>Analyse du top 15 des joueurs en nombre de points</t>
  </si>
  <si>
    <t>Players</t>
  </si>
  <si>
    <t>Nombre de point total</t>
  </si>
  <si>
    <t>Pourcentage de tirs réussis</t>
  </si>
  <si>
    <t>Pourcentage de réussite aux tirs à 3 points</t>
  </si>
  <si>
    <t>Pourcentage de réussite aux lancers francs</t>
  </si>
  <si>
    <t>Rebonds offensifs</t>
  </si>
  <si>
    <t>Estimation de l’impact du joueur</t>
  </si>
  <si>
    <t>Shai Gilgeous-Alexander</t>
  </si>
  <si>
    <t>Anthony Edwards</t>
  </si>
  <si>
    <t>Nikola Jokić</t>
  </si>
  <si>
    <t>Giannis Antetokounmpo</t>
  </si>
  <si>
    <t>Jayson Tatum</t>
  </si>
  <si>
    <t>Tyler Herro</t>
  </si>
  <si>
    <t>Trae Young</t>
  </si>
  <si>
    <t>Cade Cunningham</t>
  </si>
  <si>
    <t>James Harden</t>
  </si>
  <si>
    <t>Karl-Anthony Towns</t>
  </si>
  <si>
    <t>Zach LaVine</t>
  </si>
  <si>
    <t>Jalen Green</t>
  </si>
  <si>
    <t>Stephen Curry</t>
  </si>
  <si>
    <t>DeMar DeRozan</t>
  </si>
  <si>
    <t>Analyse(s) complémentaire(s)</t>
  </si>
  <si>
    <t>Atlanta Hawks</t>
  </si>
  <si>
    <t>Brooklyn Nets</t>
  </si>
  <si>
    <t>Boston Celtics</t>
  </si>
  <si>
    <t>Charlotte Hornets</t>
  </si>
  <si>
    <t>Chicago Bulls</t>
  </si>
  <si>
    <t>Cleveland Cavaliers</t>
  </si>
  <si>
    <t>Dallas Mavericks</t>
  </si>
  <si>
    <t>Denver Nuggets</t>
  </si>
  <si>
    <t>Detroit Pistons</t>
  </si>
  <si>
    <t>Golden State Warriors</t>
  </si>
  <si>
    <t>Houston Rockets</t>
  </si>
  <si>
    <t>Indiana Pacers</t>
  </si>
  <si>
    <t>Los Angeles Clippers</t>
  </si>
  <si>
    <t>Los Angeles Lakers</t>
  </si>
  <si>
    <t>Memphis Grizzlies</t>
  </si>
  <si>
    <t>Miami Heat</t>
  </si>
  <si>
    <t>Milwaukee Bucks</t>
  </si>
  <si>
    <t>Minnesota Timberwolves</t>
  </si>
  <si>
    <t>New Orleans Pelicans</t>
  </si>
  <si>
    <t>New York Knicks</t>
  </si>
  <si>
    <t>Oklahoma City Thunder</t>
  </si>
  <si>
    <t>Orlando Magic</t>
  </si>
  <si>
    <t>Philadelphia 76ers</t>
  </si>
  <si>
    <t>Phoenix Suns</t>
  </si>
  <si>
    <t>Portland Trail Blazers</t>
  </si>
  <si>
    <t>Sacramento Kings</t>
  </si>
  <si>
    <t>San Antonio Spurs</t>
  </si>
  <si>
    <t>Toronto Raptors</t>
  </si>
  <si>
    <t>Utah Jazz</t>
  </si>
  <si>
    <t>Washington Wizards</t>
  </si>
  <si>
    <t>Dictionnaire des données</t>
  </si>
  <si>
    <t>Nom du joueur</t>
  </si>
  <si>
    <t>Équipe du joueur (code à 3 lettres)</t>
  </si>
  <si>
    <t>Âge du joueur</t>
  </si>
  <si>
    <t>Nombre de matchs joués (Games Played)</t>
  </si>
  <si>
    <t>Nombre de victoires de l'équipe lors des matchs joués</t>
  </si>
  <si>
    <t>Nombre de défaites</t>
  </si>
  <si>
    <t>Minutes moyennes jouées par match</t>
  </si>
  <si>
    <t>Points marqués en moyenne par match</t>
  </si>
  <si>
    <t>Tirs réussis par match (Field Goals Made)</t>
  </si>
  <si>
    <t>Tirs tentés par match (Field Goals Attempted)</t>
  </si>
  <si>
    <t>Pourcentage de réussite aux tirs</t>
  </si>
  <si>
    <t>Minutes jouées après 15:00 de jeu</t>
  </si>
  <si>
    <t>Tirs à 3 points tentés par match</t>
  </si>
  <si>
    <t>Pourcentage de réussite à 3 points</t>
  </si>
  <si>
    <t>Lancers francs réussis (Free Throws Made)</t>
  </si>
  <si>
    <t>Lancers francs tentés</t>
  </si>
  <si>
    <t>Rebonds défensifs</t>
  </si>
  <si>
    <t>Rebonds totaux</t>
  </si>
  <si>
    <t>Passes décisives (Assists)</t>
  </si>
  <si>
    <t>Balles perdues (Turnovers)</t>
  </si>
  <si>
    <t>Interceptions (Steals)</t>
  </si>
  <si>
    <t>Contres (Blocks)</t>
  </si>
  <si>
    <t>Fautes personnelles</t>
  </si>
  <si>
    <t>Fantasy Points</t>
  </si>
  <si>
    <t>Double-doubles (≥10 dans deux catégories principales)</t>
  </si>
  <si>
    <t>Triple-doubles (≥10 dans trois catégories principales)</t>
  </si>
  <si>
    <t>Plus-Minus (écart de score lorsque le joueur est sur le terrain)</t>
  </si>
  <si>
    <t>Offensive Rating (points marqués par 100 possessions)</t>
  </si>
  <si>
    <t>Defensive Rating (points encaissés par 100 possessions)</t>
  </si>
  <si>
    <t>Net Rating = OFFRTG - DEFRTG</t>
  </si>
  <si>
    <t>Pourcentage d'assists – implication dans les passes décisives</t>
  </si>
  <si>
    <t>Ratio passes / pertes de balle</t>
  </si>
  <si>
    <t>Ratio d’assists pour 100 possessions</t>
  </si>
  <si>
    <t>Pourcentage de rebonds offensifs parmi ceux disponibles</t>
  </si>
  <si>
    <t>Idem en défensif</t>
  </si>
  <si>
    <t>Pourcentage de rebonds totaux parmi ceux disponibles</t>
  </si>
  <si>
    <t>Turnover Ratio – pertes de balle par 100 possessions</t>
  </si>
  <si>
    <t>Effective Field Goal % (pondère les 3 points)</t>
  </si>
  <si>
    <t>True Shooting % (inclut FG et FT dans l'efficacité)</t>
  </si>
  <si>
    <t>Usage Rate – % des actions utilisées par le joueur</t>
  </si>
  <si>
    <t>Rythme de jeu (possessions par 48 minutes)</t>
  </si>
  <si>
    <t>Player Impact Estimate – évaluation globale de l’impact</t>
  </si>
  <si>
    <t>Nombre total de possessions jouées</t>
  </si>
  <si>
    <t/>
  </si>
  <si>
    <t>SUM of OREB</t>
  </si>
  <si>
    <t>SUM of DREB</t>
  </si>
  <si>
    <t>SUM of PIE</t>
  </si>
  <si>
    <t>SUM of AST</t>
  </si>
  <si>
    <t>SUM of STL</t>
  </si>
  <si>
    <t>SUM of BLK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</si>
</sst>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8"/>
      <color rgb="FF343232"/>
      <name val="&quot;Roboto Condensed&quot;"/>
    </font>
    <font>
      <u/>
      <sz val="10"/>
      <color rgb="FF0000FF"/>
      <name val="&quot;Roboto Condensed&quot;"/>
    </font>
    <font>
      <sz val="10"/>
      <color rgb="FF000000"/>
      <name val="&quot;Roboto Condensed&quot;"/>
    </font>
    <font>
      <sz val="10"/>
      <color theme="1"/>
      <name val="&quot;Roboto Condensed&quot;"/>
    </font>
    <font>
      <u/>
      <sz val="10"/>
      <color rgb="FF0000FF"/>
      <name val="Arial"/>
      <family val="2"/>
    </font>
    <font>
      <u/>
      <sz val="10"/>
      <color rgb="FF0000FF"/>
      <name val="&quot;Roboto Condensed&quot;"/>
    </font>
    <font>
      <b/>
      <sz val="17"/>
      <color rgb="FFFFFFFF"/>
      <name val="Arial"/>
      <family val="2"/>
      <scheme val="minor"/>
    </font>
    <font>
      <b/>
      <sz val="10"/>
      <color rgb="FFFFFFFF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4A86E8"/>
      <name val="Arial"/>
      <family val="2"/>
      <scheme val="minor"/>
    </font>
    <font>
      <sz val="10"/>
      <name val="Arial"/>
      <family val="2"/>
    </font>
    <font>
      <u/>
      <sz val="10"/>
      <color rgb="FF1155CC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BE9E7"/>
        <bgColor rgb="FFEBE9E7"/>
      </patternFill>
    </fill>
    <fill>
      <patternFill patternType="solid">
        <fgColor rgb="FFDFE7F1"/>
        <bgColor rgb="FFDFE7F1"/>
      </patternFill>
    </fill>
    <fill>
      <patternFill patternType="solid">
        <fgColor rgb="FF4A86E8"/>
        <bgColor rgb="FF4A86E8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</fills>
  <borders count="23">
    <border>
      <left/>
      <right/>
      <top/>
      <bottom/>
      <diagonal/>
    </border>
    <border>
      <left/>
      <right/>
      <top style="thin">
        <color rgb="FFEBE9E7"/>
      </top>
      <bottom/>
      <diagonal/>
    </border>
    <border>
      <left/>
      <right/>
      <top style="thin">
        <color rgb="FFEBE9E7"/>
      </top>
      <bottom style="thin">
        <color rgb="FFEBE9E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20" fontId="1" fillId="0" borderId="0" xfId="0" applyNumberFormat="1" applyFont="1" applyAlignment="1">
      <alignment horizontal="right"/>
    </xf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2" borderId="0" xfId="0" applyFont="1" applyFill="1" applyAlignment="1">
      <alignment horizontal="righ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3" fillId="2" borderId="2" xfId="0" applyFont="1" applyFill="1" applyBorder="1" applyAlignment="1">
      <alignment horizontal="right"/>
    </xf>
    <xf numFmtId="0" fontId="3" fillId="4" borderId="0" xfId="0" applyFont="1" applyFill="1" applyAlignment="1">
      <alignment horizontal="right"/>
    </xf>
    <xf numFmtId="0" fontId="3" fillId="4" borderId="1" xfId="0" applyFont="1" applyFill="1" applyBorder="1" applyAlignment="1">
      <alignment horizontal="right"/>
    </xf>
    <xf numFmtId="0" fontId="8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7" borderId="0" xfId="0" applyFont="1" applyFill="1" applyAlignment="1">
      <alignment horizontal="center"/>
    </xf>
    <xf numFmtId="0" fontId="9" fillId="0" borderId="0" xfId="0" applyFont="1"/>
    <xf numFmtId="0" fontId="8" fillId="6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9" fillId="0" borderId="3" xfId="0" applyFont="1" applyBorder="1"/>
    <xf numFmtId="20" fontId="9" fillId="0" borderId="3" xfId="0" applyNumberFormat="1" applyFont="1" applyBorder="1" applyAlignment="1">
      <alignment horizontal="left"/>
    </xf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6" xfId="0" pivotButton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7" fillId="5" borderId="0" xfId="0" applyFont="1" applyFill="1" applyAlignment="1">
      <alignment horizontal="center" vertical="center"/>
    </xf>
    <xf numFmtId="0" fontId="0" fillId="0" borderId="0" xfId="0"/>
    <xf numFmtId="0" fontId="10" fillId="0" borderId="4" xfId="0" applyFont="1" applyBorder="1" applyAlignment="1">
      <alignment horizontal="center" vertical="center"/>
    </xf>
    <xf numFmtId="0" fontId="11" fillId="0" borderId="5" xfId="0" applyFont="1" applyBorder="1"/>
    <xf numFmtId="0" fontId="0" fillId="0" borderId="6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0" xfId="0" applyNumberFormat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Visualisation des équipes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1"/>
          <c:order val="1"/>
          <c:tx>
            <c:strRef>
              <c:f>Analyse!$D$6</c:f>
              <c:strCache>
                <c:ptCount val="1"/>
                <c:pt idx="0">
                  <c:v>Nombre de point total par équipe</c:v>
                </c:pt>
              </c:strCache>
            </c:strRef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Analyse!$B$7:$B$36</c:f>
              <c:strCache>
                <c:ptCount val="30"/>
                <c:pt idx="0">
                  <c:v>Miami Heat</c:v>
                </c:pt>
                <c:pt idx="1">
                  <c:v>Oklahoma City Thunder</c:v>
                </c:pt>
                <c:pt idx="2">
                  <c:v>Los Angeles Clippers</c:v>
                </c:pt>
                <c:pt idx="3">
                  <c:v>Brooklyn Nets</c:v>
                </c:pt>
                <c:pt idx="4">
                  <c:v>Atlanta Hawks</c:v>
                </c:pt>
                <c:pt idx="5">
                  <c:v>Orlando Magic</c:v>
                </c:pt>
                <c:pt idx="6">
                  <c:v>Boston Celtics</c:v>
                </c:pt>
                <c:pt idx="7">
                  <c:v>Cleveland Cavaliers</c:v>
                </c:pt>
                <c:pt idx="8">
                  <c:v>Detroit Pistons</c:v>
                </c:pt>
                <c:pt idx="9">
                  <c:v>Minnesota Timberwolves</c:v>
                </c:pt>
                <c:pt idx="10">
                  <c:v>Utah Jazz</c:v>
                </c:pt>
                <c:pt idx="11">
                  <c:v>Sacramento Kings</c:v>
                </c:pt>
                <c:pt idx="12">
                  <c:v>New York Knicks</c:v>
                </c:pt>
                <c:pt idx="13">
                  <c:v>Houston Rockets</c:v>
                </c:pt>
                <c:pt idx="14">
                  <c:v>Los Angeles Lakers</c:v>
                </c:pt>
                <c:pt idx="15">
                  <c:v>Chicago Bulls</c:v>
                </c:pt>
                <c:pt idx="16">
                  <c:v>Denver Nuggets</c:v>
                </c:pt>
                <c:pt idx="17">
                  <c:v>San Antonio Spurs</c:v>
                </c:pt>
                <c:pt idx="18">
                  <c:v>Portland Trail Blazers</c:v>
                </c:pt>
                <c:pt idx="19">
                  <c:v>Dallas Mavericks</c:v>
                </c:pt>
                <c:pt idx="20">
                  <c:v>Philadelphia 76ers</c:v>
                </c:pt>
                <c:pt idx="21">
                  <c:v>Washington Wizards</c:v>
                </c:pt>
                <c:pt idx="22">
                  <c:v>New Orleans Pelicans</c:v>
                </c:pt>
                <c:pt idx="23">
                  <c:v>Toronto Raptors</c:v>
                </c:pt>
                <c:pt idx="24">
                  <c:v>Charlotte Hornets</c:v>
                </c:pt>
                <c:pt idx="25">
                  <c:v>Indiana Pacers</c:v>
                </c:pt>
                <c:pt idx="26">
                  <c:v>Phoenix Suns</c:v>
                </c:pt>
                <c:pt idx="27">
                  <c:v>Golden State Warriors</c:v>
                </c:pt>
                <c:pt idx="28">
                  <c:v>Milwaukee Bucks</c:v>
                </c:pt>
                <c:pt idx="29">
                  <c:v>Memphis Grizzlies</c:v>
                </c:pt>
              </c:strCache>
            </c:strRef>
          </c:cat>
          <c:val>
            <c:numRef>
              <c:f>Analyse!$D$7:$D$36</c:f>
              <c:numCache>
                <c:formatCode>General</c:formatCode>
                <c:ptCount val="30"/>
                <c:pt idx="0">
                  <c:v>9828</c:v>
                </c:pt>
                <c:pt idx="1">
                  <c:v>9880</c:v>
                </c:pt>
                <c:pt idx="2">
                  <c:v>9050</c:v>
                </c:pt>
                <c:pt idx="3">
                  <c:v>7999</c:v>
                </c:pt>
                <c:pt idx="4">
                  <c:v>9689</c:v>
                </c:pt>
                <c:pt idx="5">
                  <c:v>8648</c:v>
                </c:pt>
                <c:pt idx="6">
                  <c:v>9551</c:v>
                </c:pt>
                <c:pt idx="7">
                  <c:v>10180</c:v>
                </c:pt>
                <c:pt idx="8">
                  <c:v>10292</c:v>
                </c:pt>
                <c:pt idx="9">
                  <c:v>9523</c:v>
                </c:pt>
                <c:pt idx="10">
                  <c:v>9096</c:v>
                </c:pt>
                <c:pt idx="11">
                  <c:v>9786</c:v>
                </c:pt>
                <c:pt idx="12">
                  <c:v>9540</c:v>
                </c:pt>
                <c:pt idx="13">
                  <c:v>9515</c:v>
                </c:pt>
                <c:pt idx="14">
                  <c:v>8691</c:v>
                </c:pt>
                <c:pt idx="15">
                  <c:v>9230</c:v>
                </c:pt>
                <c:pt idx="16">
                  <c:v>9899</c:v>
                </c:pt>
                <c:pt idx="17">
                  <c:v>10198</c:v>
                </c:pt>
                <c:pt idx="18">
                  <c:v>9113</c:v>
                </c:pt>
                <c:pt idx="19">
                  <c:v>9970</c:v>
                </c:pt>
                <c:pt idx="20">
                  <c:v>9142</c:v>
                </c:pt>
                <c:pt idx="21">
                  <c:v>7986</c:v>
                </c:pt>
                <c:pt idx="22">
                  <c:v>8763</c:v>
                </c:pt>
                <c:pt idx="23">
                  <c:v>8963</c:v>
                </c:pt>
                <c:pt idx="24">
                  <c:v>8278</c:v>
                </c:pt>
                <c:pt idx="25">
                  <c:v>9630</c:v>
                </c:pt>
                <c:pt idx="26">
                  <c:v>9719</c:v>
                </c:pt>
                <c:pt idx="27">
                  <c:v>8288</c:v>
                </c:pt>
                <c:pt idx="28">
                  <c:v>10016</c:v>
                </c:pt>
                <c:pt idx="29">
                  <c:v>9552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526-0C42-A2DA-FC1690138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8174753"/>
        <c:axId val="1477231964"/>
      </c:barChart>
      <c:lineChart>
        <c:grouping val="standard"/>
        <c:varyColors val="0"/>
        <c:ser>
          <c:idx val="0"/>
          <c:order val="0"/>
          <c:tx>
            <c:strRef>
              <c:f>Analyse!$C$6</c:f>
              <c:strCache>
                <c:ptCount val="1"/>
                <c:pt idx="0">
                  <c:v>Nombre de joueur par équipe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Analyse!$B$7:$B$36</c:f>
              <c:strCache>
                <c:ptCount val="30"/>
                <c:pt idx="0">
                  <c:v>Miami Heat</c:v>
                </c:pt>
                <c:pt idx="1">
                  <c:v>Oklahoma City Thunder</c:v>
                </c:pt>
                <c:pt idx="2">
                  <c:v>Los Angeles Clippers</c:v>
                </c:pt>
                <c:pt idx="3">
                  <c:v>Brooklyn Nets</c:v>
                </c:pt>
                <c:pt idx="4">
                  <c:v>Atlanta Hawks</c:v>
                </c:pt>
                <c:pt idx="5">
                  <c:v>Orlando Magic</c:v>
                </c:pt>
                <c:pt idx="6">
                  <c:v>Boston Celtics</c:v>
                </c:pt>
                <c:pt idx="7">
                  <c:v>Cleveland Cavaliers</c:v>
                </c:pt>
                <c:pt idx="8">
                  <c:v>Detroit Pistons</c:v>
                </c:pt>
                <c:pt idx="9">
                  <c:v>Minnesota Timberwolves</c:v>
                </c:pt>
                <c:pt idx="10">
                  <c:v>Utah Jazz</c:v>
                </c:pt>
                <c:pt idx="11">
                  <c:v>Sacramento Kings</c:v>
                </c:pt>
                <c:pt idx="12">
                  <c:v>New York Knicks</c:v>
                </c:pt>
                <c:pt idx="13">
                  <c:v>Houston Rockets</c:v>
                </c:pt>
                <c:pt idx="14">
                  <c:v>Los Angeles Lakers</c:v>
                </c:pt>
                <c:pt idx="15">
                  <c:v>Chicago Bulls</c:v>
                </c:pt>
                <c:pt idx="16">
                  <c:v>Denver Nuggets</c:v>
                </c:pt>
                <c:pt idx="17">
                  <c:v>San Antonio Spurs</c:v>
                </c:pt>
                <c:pt idx="18">
                  <c:v>Portland Trail Blazers</c:v>
                </c:pt>
                <c:pt idx="19">
                  <c:v>Dallas Mavericks</c:v>
                </c:pt>
                <c:pt idx="20">
                  <c:v>Philadelphia 76ers</c:v>
                </c:pt>
                <c:pt idx="21">
                  <c:v>Washington Wizards</c:v>
                </c:pt>
                <c:pt idx="22">
                  <c:v>New Orleans Pelicans</c:v>
                </c:pt>
                <c:pt idx="23">
                  <c:v>Toronto Raptors</c:v>
                </c:pt>
                <c:pt idx="24">
                  <c:v>Charlotte Hornets</c:v>
                </c:pt>
                <c:pt idx="25">
                  <c:v>Indiana Pacers</c:v>
                </c:pt>
                <c:pt idx="26">
                  <c:v>Phoenix Suns</c:v>
                </c:pt>
                <c:pt idx="27">
                  <c:v>Golden State Warriors</c:v>
                </c:pt>
                <c:pt idx="28">
                  <c:v>Milwaukee Bucks</c:v>
                </c:pt>
                <c:pt idx="29">
                  <c:v>Memphis Grizzlies</c:v>
                </c:pt>
              </c:strCache>
            </c:strRef>
          </c:cat>
          <c:val>
            <c:numRef>
              <c:f>Analyse!$C$7:$C$36</c:f>
              <c:numCache>
                <c:formatCode>General</c:formatCode>
                <c:ptCount val="30"/>
                <c:pt idx="0">
                  <c:v>19</c:v>
                </c:pt>
                <c:pt idx="1">
                  <c:v>18</c:v>
                </c:pt>
                <c:pt idx="2">
                  <c:v>17</c:v>
                </c:pt>
                <c:pt idx="3">
                  <c:v>20</c:v>
                </c:pt>
                <c:pt idx="4">
                  <c:v>18</c:v>
                </c:pt>
                <c:pt idx="5">
                  <c:v>17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18</c:v>
                </c:pt>
                <c:pt idx="14">
                  <c:v>20</c:v>
                </c:pt>
                <c:pt idx="15">
                  <c:v>20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19</c:v>
                </c:pt>
                <c:pt idx="20">
                  <c:v>23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22</c:v>
                </c:pt>
                <c:pt idx="25">
                  <c:v>20</c:v>
                </c:pt>
                <c:pt idx="26">
                  <c:v>18</c:v>
                </c:pt>
                <c:pt idx="27">
                  <c:v>17</c:v>
                </c:pt>
                <c:pt idx="28">
                  <c:v>19</c:v>
                </c:pt>
                <c:pt idx="29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26-0C42-A2DA-FC1690138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6024410"/>
        <c:axId val="801669707"/>
      </c:lineChart>
      <c:catAx>
        <c:axId val="1818174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77231964"/>
        <c:crosses val="autoZero"/>
        <c:auto val="1"/>
        <c:lblAlgn val="ctr"/>
        <c:lblOffset val="100"/>
        <c:noMultiLvlLbl val="1"/>
      </c:catAx>
      <c:valAx>
        <c:axId val="14772319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818174753"/>
        <c:crosses val="autoZero"/>
        <c:crossBetween val="between"/>
      </c:valAx>
      <c:catAx>
        <c:axId val="13060244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01669707"/>
        <c:crosses val="autoZero"/>
        <c:auto val="1"/>
        <c:lblAlgn val="ctr"/>
        <c:lblOffset val="100"/>
        <c:noMultiLvlLbl val="1"/>
      </c:catAx>
      <c:valAx>
        <c:axId val="80166970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306024410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Analyse des rebonds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2"/>
          <c:order val="2"/>
          <c:tx>
            <c:strRef>
              <c:f>Analyse!$D$42</c:f>
              <c:strCache>
                <c:ptCount val="1"/>
              </c:strCache>
            </c:strRef>
          </c:tx>
          <c:spPr>
            <a:solidFill>
              <a:srgbClr val="FBBC04">
                <a:alpha val="30000"/>
              </a:srgbClr>
            </a:solidFill>
            <a:ln cmpd="sng">
              <a:solidFill>
                <a:srgbClr val="FBBC04"/>
              </a:solidFill>
            </a:ln>
          </c:spPr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Analyse!$D$43:$D$62</c:f>
              <c:numCache>
                <c:formatCode>General</c:formatCode>
                <c:ptCount val="20"/>
                <c:pt idx="0">
                  <c:v>0</c:v>
                </c:pt>
                <c:pt idx="1">
                  <c:v>5.7</c:v>
                </c:pt>
                <c:pt idx="2">
                  <c:v>2.7</c:v>
                </c:pt>
                <c:pt idx="3">
                  <c:v>11.8</c:v>
                </c:pt>
                <c:pt idx="4">
                  <c:v>5</c:v>
                </c:pt>
                <c:pt idx="5">
                  <c:v>4</c:v>
                </c:pt>
                <c:pt idx="6">
                  <c:v>8.1999999999999993</c:v>
                </c:pt>
                <c:pt idx="7">
                  <c:v>8.6999999999999993</c:v>
                </c:pt>
                <c:pt idx="8">
                  <c:v>6</c:v>
                </c:pt>
                <c:pt idx="9">
                  <c:v>3.9</c:v>
                </c:pt>
                <c:pt idx="10">
                  <c:v>8.1999999999999993</c:v>
                </c:pt>
                <c:pt idx="11">
                  <c:v>9.6999999999999993</c:v>
                </c:pt>
                <c:pt idx="12">
                  <c:v>8</c:v>
                </c:pt>
                <c:pt idx="13">
                  <c:v>16.899999999999999</c:v>
                </c:pt>
                <c:pt idx="14">
                  <c:v>17</c:v>
                </c:pt>
                <c:pt idx="15">
                  <c:v>4.5</c:v>
                </c:pt>
                <c:pt idx="16">
                  <c:v>3.5</c:v>
                </c:pt>
                <c:pt idx="17">
                  <c:v>-2.2000000000000002</c:v>
                </c:pt>
                <c:pt idx="18">
                  <c:v>8.6</c:v>
                </c:pt>
                <c:pt idx="19">
                  <c:v>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E0-1A47-821F-7D41626D5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500919"/>
        <c:axId val="1450677643"/>
      </c:areaChart>
      <c:barChart>
        <c:barDir val="col"/>
        <c:grouping val="clustered"/>
        <c:varyColors val="1"/>
        <c:ser>
          <c:idx val="0"/>
          <c:order val="0"/>
          <c:tx>
            <c:strRef>
              <c:f>Analyse!$B$42</c:f>
              <c:strCache>
                <c:ptCount val="1"/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Analyse!$B$43:$B$62</c:f>
              <c:numCache>
                <c:formatCode>General</c:formatCode>
                <c:ptCount val="20"/>
                <c:pt idx="0">
                  <c:v>0</c:v>
                </c:pt>
                <c:pt idx="1">
                  <c:v>37</c:v>
                </c:pt>
                <c:pt idx="2">
                  <c:v>2</c:v>
                </c:pt>
                <c:pt idx="3">
                  <c:v>58</c:v>
                </c:pt>
                <c:pt idx="4">
                  <c:v>3</c:v>
                </c:pt>
                <c:pt idx="5">
                  <c:v>17</c:v>
                </c:pt>
                <c:pt idx="6">
                  <c:v>33</c:v>
                </c:pt>
                <c:pt idx="7">
                  <c:v>39</c:v>
                </c:pt>
                <c:pt idx="8">
                  <c:v>82</c:v>
                </c:pt>
                <c:pt idx="9">
                  <c:v>22</c:v>
                </c:pt>
                <c:pt idx="10">
                  <c:v>68</c:v>
                </c:pt>
                <c:pt idx="11">
                  <c:v>78</c:v>
                </c:pt>
                <c:pt idx="12">
                  <c:v>38</c:v>
                </c:pt>
                <c:pt idx="13">
                  <c:v>70</c:v>
                </c:pt>
                <c:pt idx="14">
                  <c:v>40</c:v>
                </c:pt>
                <c:pt idx="15">
                  <c:v>3</c:v>
                </c:pt>
                <c:pt idx="16">
                  <c:v>24</c:v>
                </c:pt>
                <c:pt idx="17">
                  <c:v>0</c:v>
                </c:pt>
                <c:pt idx="18">
                  <c:v>77</c:v>
                </c:pt>
                <c:pt idx="19">
                  <c:v>29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4E0-1A47-821F-7D41626D5F81}"/>
            </c:ext>
          </c:extLst>
        </c:ser>
        <c:ser>
          <c:idx val="1"/>
          <c:order val="1"/>
          <c:tx>
            <c:strRef>
              <c:f>Analyse!$C$42</c:f>
              <c:strCache>
                <c:ptCount val="1"/>
              </c:strCache>
            </c:strRef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Analyse!$C$43:$C$62</c:f>
              <c:numCache>
                <c:formatCode>General</c:formatCode>
                <c:ptCount val="20"/>
                <c:pt idx="0">
                  <c:v>0</c:v>
                </c:pt>
                <c:pt idx="1">
                  <c:v>55</c:v>
                </c:pt>
                <c:pt idx="2">
                  <c:v>13</c:v>
                </c:pt>
                <c:pt idx="3">
                  <c:v>270</c:v>
                </c:pt>
                <c:pt idx="4">
                  <c:v>14</c:v>
                </c:pt>
                <c:pt idx="5">
                  <c:v>50</c:v>
                </c:pt>
                <c:pt idx="6">
                  <c:v>56</c:v>
                </c:pt>
                <c:pt idx="7">
                  <c:v>179</c:v>
                </c:pt>
                <c:pt idx="8">
                  <c:v>170</c:v>
                </c:pt>
                <c:pt idx="9">
                  <c:v>72</c:v>
                </c:pt>
                <c:pt idx="10">
                  <c:v>115</c:v>
                </c:pt>
                <c:pt idx="11">
                  <c:v>190</c:v>
                </c:pt>
                <c:pt idx="12">
                  <c:v>75</c:v>
                </c:pt>
                <c:pt idx="13">
                  <c:v>476</c:v>
                </c:pt>
                <c:pt idx="14">
                  <c:v>370</c:v>
                </c:pt>
                <c:pt idx="15">
                  <c:v>20</c:v>
                </c:pt>
                <c:pt idx="16">
                  <c:v>71</c:v>
                </c:pt>
                <c:pt idx="17">
                  <c:v>0</c:v>
                </c:pt>
                <c:pt idx="18">
                  <c:v>218</c:v>
                </c:pt>
                <c:pt idx="19">
                  <c:v>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4E0-1A47-821F-7D41626D5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4966956"/>
        <c:axId val="1845977707"/>
      </c:barChart>
      <c:catAx>
        <c:axId val="364966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Player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845977707"/>
        <c:crosses val="autoZero"/>
        <c:auto val="1"/>
        <c:lblAlgn val="ctr"/>
        <c:lblOffset val="100"/>
        <c:noMultiLvlLbl val="1"/>
      </c:catAx>
      <c:valAx>
        <c:axId val="1845977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64966956"/>
        <c:crosses val="autoZero"/>
        <c:crossBetween val="between"/>
      </c:valAx>
      <c:catAx>
        <c:axId val="14985009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50677643"/>
        <c:crosses val="autoZero"/>
        <c:auto val="1"/>
        <c:lblAlgn val="ctr"/>
        <c:lblOffset val="100"/>
        <c:noMultiLvlLbl val="1"/>
      </c:catAx>
      <c:valAx>
        <c:axId val="1450677643"/>
        <c:scaling>
          <c:orientation val="minMax"/>
          <c:min val="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98500919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Nombre de point total et Pourcentage de tirs réussis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Analyse!$B$89</c:f>
              <c:strCache>
                <c:ptCount val="1"/>
                <c:pt idx="0">
                  <c:v>Nombre de point total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Analyse!$A$90:$A$104</c:f>
              <c:strCache>
                <c:ptCount val="15"/>
                <c:pt idx="0">
                  <c:v>Shai Gilgeous-Alexander</c:v>
                </c:pt>
                <c:pt idx="1">
                  <c:v>Anthony Edwards</c:v>
                </c:pt>
                <c:pt idx="2">
                  <c:v>Nikola Jokić</c:v>
                </c:pt>
                <c:pt idx="3">
                  <c:v>Giannis Antetokounmpo</c:v>
                </c:pt>
                <c:pt idx="4">
                  <c:v>Jayson Tatum</c:v>
                </c:pt>
                <c:pt idx="5">
                  <c:v>Devin Booker</c:v>
                </c:pt>
                <c:pt idx="6">
                  <c:v>Tyler Herro</c:v>
                </c:pt>
                <c:pt idx="7">
                  <c:v>Trae Young</c:v>
                </c:pt>
                <c:pt idx="8">
                  <c:v>Cade Cunningham</c:v>
                </c:pt>
                <c:pt idx="9">
                  <c:v>James Harden</c:v>
                </c:pt>
                <c:pt idx="10">
                  <c:v>Karl-Anthony Towns</c:v>
                </c:pt>
                <c:pt idx="11">
                  <c:v>Zach LaVine</c:v>
                </c:pt>
                <c:pt idx="12">
                  <c:v>Jalen Green</c:v>
                </c:pt>
                <c:pt idx="13">
                  <c:v>Stephen Curry</c:v>
                </c:pt>
                <c:pt idx="14">
                  <c:v>DeMar DeRozan</c:v>
                </c:pt>
              </c:strCache>
            </c:strRef>
          </c:cat>
          <c:val>
            <c:numRef>
              <c:f>Analyse!$B$90:$B$104</c:f>
              <c:numCache>
                <c:formatCode>General</c:formatCode>
                <c:ptCount val="15"/>
                <c:pt idx="0">
                  <c:v>2485</c:v>
                </c:pt>
                <c:pt idx="1">
                  <c:v>2180</c:v>
                </c:pt>
                <c:pt idx="2">
                  <c:v>2072</c:v>
                </c:pt>
                <c:pt idx="3">
                  <c:v>2037</c:v>
                </c:pt>
                <c:pt idx="4">
                  <c:v>1930</c:v>
                </c:pt>
                <c:pt idx="5">
                  <c:v>1920</c:v>
                </c:pt>
                <c:pt idx="6">
                  <c:v>1840</c:v>
                </c:pt>
                <c:pt idx="7">
                  <c:v>1839</c:v>
                </c:pt>
                <c:pt idx="8">
                  <c:v>1827</c:v>
                </c:pt>
                <c:pt idx="9">
                  <c:v>1801</c:v>
                </c:pt>
                <c:pt idx="10">
                  <c:v>1757</c:v>
                </c:pt>
                <c:pt idx="11">
                  <c:v>1724</c:v>
                </c:pt>
                <c:pt idx="12">
                  <c:v>1722</c:v>
                </c:pt>
                <c:pt idx="13">
                  <c:v>1715</c:v>
                </c:pt>
                <c:pt idx="14">
                  <c:v>1709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1ED-174D-A726-B558B160B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9919874"/>
        <c:axId val="2014872420"/>
      </c:barChart>
      <c:lineChart>
        <c:grouping val="standard"/>
        <c:varyColors val="0"/>
        <c:ser>
          <c:idx val="1"/>
          <c:order val="1"/>
          <c:tx>
            <c:strRef>
              <c:f>Analyse!$D$89</c:f>
              <c:strCache>
                <c:ptCount val="1"/>
                <c:pt idx="0">
                  <c:v>Pourcentage de tirs réussis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Analyse!$A$90:$A$104</c:f>
              <c:strCache>
                <c:ptCount val="15"/>
                <c:pt idx="0">
                  <c:v>Shai Gilgeous-Alexander</c:v>
                </c:pt>
                <c:pt idx="1">
                  <c:v>Anthony Edwards</c:v>
                </c:pt>
                <c:pt idx="2">
                  <c:v>Nikola Jokić</c:v>
                </c:pt>
                <c:pt idx="3">
                  <c:v>Giannis Antetokounmpo</c:v>
                </c:pt>
                <c:pt idx="4">
                  <c:v>Jayson Tatum</c:v>
                </c:pt>
                <c:pt idx="5">
                  <c:v>Devin Booker</c:v>
                </c:pt>
                <c:pt idx="6">
                  <c:v>Tyler Herro</c:v>
                </c:pt>
                <c:pt idx="7">
                  <c:v>Trae Young</c:v>
                </c:pt>
                <c:pt idx="8">
                  <c:v>Cade Cunningham</c:v>
                </c:pt>
                <c:pt idx="9">
                  <c:v>James Harden</c:v>
                </c:pt>
                <c:pt idx="10">
                  <c:v>Karl-Anthony Towns</c:v>
                </c:pt>
                <c:pt idx="11">
                  <c:v>Zach LaVine</c:v>
                </c:pt>
                <c:pt idx="12">
                  <c:v>Jalen Green</c:v>
                </c:pt>
                <c:pt idx="13">
                  <c:v>Stephen Curry</c:v>
                </c:pt>
                <c:pt idx="14">
                  <c:v>DeMar DeRozan</c:v>
                </c:pt>
              </c:strCache>
            </c:strRef>
          </c:cat>
          <c:val>
            <c:numRef>
              <c:f>Analyse!$D$90:$D$104</c:f>
              <c:numCache>
                <c:formatCode>General</c:formatCode>
                <c:ptCount val="15"/>
                <c:pt idx="0">
                  <c:v>51.9</c:v>
                </c:pt>
                <c:pt idx="1">
                  <c:v>44.7</c:v>
                </c:pt>
                <c:pt idx="2">
                  <c:v>57.6</c:v>
                </c:pt>
                <c:pt idx="3">
                  <c:v>60.1</c:v>
                </c:pt>
                <c:pt idx="4">
                  <c:v>45.2</c:v>
                </c:pt>
                <c:pt idx="5">
                  <c:v>46.1</c:v>
                </c:pt>
                <c:pt idx="6">
                  <c:v>47.2</c:v>
                </c:pt>
                <c:pt idx="7">
                  <c:v>41.1</c:v>
                </c:pt>
                <c:pt idx="8">
                  <c:v>46.9</c:v>
                </c:pt>
                <c:pt idx="9">
                  <c:v>41</c:v>
                </c:pt>
                <c:pt idx="10">
                  <c:v>52.6</c:v>
                </c:pt>
                <c:pt idx="11">
                  <c:v>51.1</c:v>
                </c:pt>
                <c:pt idx="12">
                  <c:v>42.3</c:v>
                </c:pt>
                <c:pt idx="13">
                  <c:v>44.8</c:v>
                </c:pt>
                <c:pt idx="14">
                  <c:v>47.7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ED-174D-A726-B558B160B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0447584"/>
        <c:axId val="1749076708"/>
      </c:lineChart>
      <c:catAx>
        <c:axId val="1169919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Players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14872420"/>
        <c:crosses val="autoZero"/>
        <c:auto val="1"/>
        <c:lblAlgn val="ctr"/>
        <c:lblOffset val="100"/>
        <c:noMultiLvlLbl val="1"/>
      </c:catAx>
      <c:valAx>
        <c:axId val="20148724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69919874"/>
        <c:crosses val="autoZero"/>
        <c:crossBetween val="between"/>
      </c:valAx>
      <c:catAx>
        <c:axId val="7004475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49076708"/>
        <c:crosses val="autoZero"/>
        <c:auto val="1"/>
        <c:lblAlgn val="ctr"/>
        <c:lblOffset val="100"/>
        <c:noMultiLvlLbl val="1"/>
      </c:catAx>
      <c:valAx>
        <c:axId val="174907670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00447584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Analyse des Passes décisives, Interceptions et Contres 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3"/>
          <c:order val="3"/>
          <c:tx>
            <c:strRef>
              <c:f>Analyse!$H$42</c:f>
              <c:strCache>
                <c:ptCount val="1"/>
              </c:strCache>
            </c:strRef>
          </c:tx>
          <c:spPr>
            <a:solidFill>
              <a:srgbClr val="6AA84F">
                <a:alpha val="30000"/>
              </a:srgbClr>
            </a:solidFill>
            <a:ln cmpd="sng">
              <a:solidFill>
                <a:srgbClr val="6AA84F">
                  <a:alpha val="100000"/>
                </a:srgbClr>
              </a:solidFill>
            </a:ln>
          </c:spPr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Analyse!$H$43:$H$62</c:f>
              <c:numCache>
                <c:formatCode>General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3-694D-5D42-BCFF-10FDA1DF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0732068"/>
        <c:axId val="1137951457"/>
      </c:areaChart>
      <c:barChart>
        <c:barDir val="col"/>
        <c:grouping val="clustered"/>
        <c:varyColors val="1"/>
        <c:ser>
          <c:idx val="0"/>
          <c:order val="0"/>
          <c:tx>
            <c:strRef>
              <c:f>Analyse!$E$42</c:f>
              <c:strCache>
                <c:ptCount val="1"/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Analyse!$E$43:$E$62</c:f>
              <c:numCache>
                <c:formatCode>General</c:formatCode>
                <c:ptCount val="20"/>
                <c:pt idx="0">
                  <c:v>0</c:v>
                </c:pt>
                <c:pt idx="1">
                  <c:v>37</c:v>
                </c:pt>
                <c:pt idx="2">
                  <c:v>1</c:v>
                </c:pt>
                <c:pt idx="3">
                  <c:v>423</c:v>
                </c:pt>
                <c:pt idx="4">
                  <c:v>22</c:v>
                </c:pt>
                <c:pt idx="5">
                  <c:v>23</c:v>
                </c:pt>
                <c:pt idx="6">
                  <c:v>15</c:v>
                </c:pt>
                <c:pt idx="7">
                  <c:v>62</c:v>
                </c:pt>
                <c:pt idx="8">
                  <c:v>88</c:v>
                </c:pt>
                <c:pt idx="9">
                  <c:v>101</c:v>
                </c:pt>
                <c:pt idx="10">
                  <c:v>40</c:v>
                </c:pt>
                <c:pt idx="11">
                  <c:v>56</c:v>
                </c:pt>
                <c:pt idx="12">
                  <c:v>41</c:v>
                </c:pt>
                <c:pt idx="13">
                  <c:v>574</c:v>
                </c:pt>
                <c:pt idx="14">
                  <c:v>385</c:v>
                </c:pt>
                <c:pt idx="15">
                  <c:v>21</c:v>
                </c:pt>
                <c:pt idx="16">
                  <c:v>44</c:v>
                </c:pt>
                <c:pt idx="17">
                  <c:v>1</c:v>
                </c:pt>
                <c:pt idx="18">
                  <c:v>83</c:v>
                </c:pt>
                <c:pt idx="19">
                  <c:v>103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4D-5D42-BCFF-10FDA1DFC7C8}"/>
            </c:ext>
          </c:extLst>
        </c:ser>
        <c:ser>
          <c:idx val="1"/>
          <c:order val="1"/>
          <c:tx>
            <c:strRef>
              <c:f>Analyse!$F$42</c:f>
              <c:strCache>
                <c:ptCount val="1"/>
              </c:strCache>
            </c:strRef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Analyse!$F$43:$F$62</c:f>
              <c:numCache>
                <c:formatCode>General</c:formatCode>
                <c:ptCount val="20"/>
                <c:pt idx="0">
                  <c:v>0</c:v>
                </c:pt>
                <c:pt idx="1">
                  <c:v>9</c:v>
                </c:pt>
                <c:pt idx="2">
                  <c:v>4</c:v>
                </c:pt>
                <c:pt idx="3">
                  <c:v>80</c:v>
                </c:pt>
                <c:pt idx="4">
                  <c:v>8</c:v>
                </c:pt>
                <c:pt idx="5">
                  <c:v>33</c:v>
                </c:pt>
                <c:pt idx="6">
                  <c:v>7</c:v>
                </c:pt>
                <c:pt idx="7">
                  <c:v>23</c:v>
                </c:pt>
                <c:pt idx="8">
                  <c:v>57</c:v>
                </c:pt>
                <c:pt idx="9">
                  <c:v>50</c:v>
                </c:pt>
                <c:pt idx="10">
                  <c:v>36</c:v>
                </c:pt>
                <c:pt idx="11">
                  <c:v>34</c:v>
                </c:pt>
                <c:pt idx="12">
                  <c:v>29</c:v>
                </c:pt>
                <c:pt idx="13">
                  <c:v>70</c:v>
                </c:pt>
                <c:pt idx="14">
                  <c:v>90</c:v>
                </c:pt>
                <c:pt idx="15">
                  <c:v>2</c:v>
                </c:pt>
                <c:pt idx="16">
                  <c:v>10</c:v>
                </c:pt>
                <c:pt idx="17">
                  <c:v>0</c:v>
                </c:pt>
                <c:pt idx="18">
                  <c:v>47</c:v>
                </c:pt>
                <c:pt idx="19">
                  <c:v>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94D-5D42-BCFF-10FDA1DFC7C8}"/>
            </c:ext>
          </c:extLst>
        </c:ser>
        <c:ser>
          <c:idx val="2"/>
          <c:order val="2"/>
          <c:tx>
            <c:strRef>
              <c:f>Analyse!$G$42</c:f>
              <c:strCache>
                <c:ptCount val="1"/>
              </c:strCache>
            </c:strRef>
          </c:tx>
          <c:spPr>
            <a:solidFill>
              <a:srgbClr val="FBBC0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Analyse!$A$43:$A$62</c:f>
              <c:strCache>
                <c:ptCount val="20"/>
                <c:pt idx="0">
                  <c:v>Player</c:v>
                </c:pt>
                <c:pt idx="1">
                  <c:v>Alex Len</c:v>
                </c:pt>
                <c:pt idx="2">
                  <c:v>Armel Traoré</c:v>
                </c:pt>
                <c:pt idx="3">
                  <c:v>Austin Reaves</c:v>
                </c:pt>
                <c:pt idx="4">
                  <c:v>Bronny James</c:v>
                </c:pt>
                <c:pt idx="5">
                  <c:v>Cam Reddish</c:v>
                </c:pt>
                <c:pt idx="6">
                  <c:v>Christian Koloko</c:v>
                </c:pt>
                <c:pt idx="7">
                  <c:v>Dalton Knecht</c:v>
                </c:pt>
                <c:pt idx="8">
                  <c:v>Dorian Finney-Smith</c:v>
                </c:pt>
                <c:pt idx="9">
                  <c:v>Gabe Vincent</c:v>
                </c:pt>
                <c:pt idx="10">
                  <c:v>Jarred Vanderbilt</c:v>
                </c:pt>
                <c:pt idx="11">
                  <c:v>Jaxson Hayes</c:v>
                </c:pt>
                <c:pt idx="12">
                  <c:v>Jordan Goodwin</c:v>
                </c:pt>
                <c:pt idx="13">
                  <c:v>LeBron James</c:v>
                </c:pt>
                <c:pt idx="14">
                  <c:v>Luka Dončić</c:v>
                </c:pt>
                <c:pt idx="15">
                  <c:v>Markieff Morris</c:v>
                </c:pt>
                <c:pt idx="16">
                  <c:v>Maxi Kleber</c:v>
                </c:pt>
                <c:pt idx="17">
                  <c:v>Quincy Olivari</c:v>
                </c:pt>
                <c:pt idx="18">
                  <c:v>Rui Hachimura</c:v>
                </c:pt>
                <c:pt idx="19">
                  <c:v>Shake Milton</c:v>
                </c:pt>
              </c:strCache>
            </c:strRef>
          </c:cat>
          <c:val>
            <c:numRef>
              <c:f>Analyse!$G$43:$G$62</c:f>
              <c:numCache>
                <c:formatCode>General</c:formatCode>
                <c:ptCount val="20"/>
                <c:pt idx="0">
                  <c:v>0</c:v>
                </c:pt>
                <c:pt idx="1">
                  <c:v>23</c:v>
                </c:pt>
                <c:pt idx="2">
                  <c:v>2</c:v>
                </c:pt>
                <c:pt idx="3">
                  <c:v>22</c:v>
                </c:pt>
                <c:pt idx="4">
                  <c:v>3</c:v>
                </c:pt>
                <c:pt idx="5">
                  <c:v>10</c:v>
                </c:pt>
                <c:pt idx="6">
                  <c:v>15</c:v>
                </c:pt>
                <c:pt idx="7">
                  <c:v>8</c:v>
                </c:pt>
                <c:pt idx="8">
                  <c:v>25</c:v>
                </c:pt>
                <c:pt idx="9">
                  <c:v>14</c:v>
                </c:pt>
                <c:pt idx="10">
                  <c:v>11</c:v>
                </c:pt>
                <c:pt idx="11">
                  <c:v>50</c:v>
                </c:pt>
                <c:pt idx="12">
                  <c:v>12</c:v>
                </c:pt>
                <c:pt idx="13">
                  <c:v>42</c:v>
                </c:pt>
                <c:pt idx="14">
                  <c:v>20</c:v>
                </c:pt>
                <c:pt idx="15">
                  <c:v>3</c:v>
                </c:pt>
                <c:pt idx="16">
                  <c:v>17</c:v>
                </c:pt>
                <c:pt idx="17">
                  <c:v>0</c:v>
                </c:pt>
                <c:pt idx="18">
                  <c:v>24</c:v>
                </c:pt>
                <c:pt idx="19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94D-5D42-BCFF-10FDA1DF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5478059"/>
        <c:axId val="848197213"/>
      </c:barChart>
      <c:catAx>
        <c:axId val="12754780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Player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848197213"/>
        <c:crosses val="autoZero"/>
        <c:auto val="1"/>
        <c:lblAlgn val="ctr"/>
        <c:lblOffset val="100"/>
        <c:noMultiLvlLbl val="1"/>
      </c:catAx>
      <c:valAx>
        <c:axId val="8481972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275478059"/>
        <c:crosses val="autoZero"/>
        <c:crossBetween val="between"/>
      </c:valAx>
      <c:catAx>
        <c:axId val="19507320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37951457"/>
        <c:crosses val="autoZero"/>
        <c:auto val="1"/>
        <c:lblAlgn val="ctr"/>
        <c:lblOffset val="100"/>
        <c:noMultiLvlLbl val="1"/>
      </c:catAx>
      <c:valAx>
        <c:axId val="1137951457"/>
        <c:scaling>
          <c:orientation val="minMax"/>
          <c:min val="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950732068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Pourcentage de tirs, de 3 points et le lancers francs réussis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Analyse!$D$89</c:f>
              <c:strCache>
                <c:ptCount val="1"/>
                <c:pt idx="0">
                  <c:v>Pourcentage de tirs réussis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Analyse!$A$90:$A$104</c:f>
              <c:strCache>
                <c:ptCount val="15"/>
                <c:pt idx="0">
                  <c:v>Shai Gilgeous-Alexander</c:v>
                </c:pt>
                <c:pt idx="1">
                  <c:v>Anthony Edwards</c:v>
                </c:pt>
                <c:pt idx="2">
                  <c:v>Nikola Jokić</c:v>
                </c:pt>
                <c:pt idx="3">
                  <c:v>Giannis Antetokounmpo</c:v>
                </c:pt>
                <c:pt idx="4">
                  <c:v>Jayson Tatum</c:v>
                </c:pt>
                <c:pt idx="5">
                  <c:v>Devin Booker</c:v>
                </c:pt>
                <c:pt idx="6">
                  <c:v>Tyler Herro</c:v>
                </c:pt>
                <c:pt idx="7">
                  <c:v>Trae Young</c:v>
                </c:pt>
                <c:pt idx="8">
                  <c:v>Cade Cunningham</c:v>
                </c:pt>
                <c:pt idx="9">
                  <c:v>James Harden</c:v>
                </c:pt>
                <c:pt idx="10">
                  <c:v>Karl-Anthony Towns</c:v>
                </c:pt>
                <c:pt idx="11">
                  <c:v>Zach LaVine</c:v>
                </c:pt>
                <c:pt idx="12">
                  <c:v>Jalen Green</c:v>
                </c:pt>
                <c:pt idx="13">
                  <c:v>Stephen Curry</c:v>
                </c:pt>
                <c:pt idx="14">
                  <c:v>DeMar DeRozan</c:v>
                </c:pt>
              </c:strCache>
            </c:strRef>
          </c:cat>
          <c:val>
            <c:numRef>
              <c:f>Analyse!$D$90:$D$104</c:f>
              <c:numCache>
                <c:formatCode>General</c:formatCode>
                <c:ptCount val="15"/>
                <c:pt idx="0">
                  <c:v>51.9</c:v>
                </c:pt>
                <c:pt idx="1">
                  <c:v>44.7</c:v>
                </c:pt>
                <c:pt idx="2">
                  <c:v>57.6</c:v>
                </c:pt>
                <c:pt idx="3">
                  <c:v>60.1</c:v>
                </c:pt>
                <c:pt idx="4">
                  <c:v>45.2</c:v>
                </c:pt>
                <c:pt idx="5">
                  <c:v>46.1</c:v>
                </c:pt>
                <c:pt idx="6">
                  <c:v>47.2</c:v>
                </c:pt>
                <c:pt idx="7">
                  <c:v>41.1</c:v>
                </c:pt>
                <c:pt idx="8">
                  <c:v>46.9</c:v>
                </c:pt>
                <c:pt idx="9">
                  <c:v>41</c:v>
                </c:pt>
                <c:pt idx="10">
                  <c:v>52.6</c:v>
                </c:pt>
                <c:pt idx="11">
                  <c:v>51.1</c:v>
                </c:pt>
                <c:pt idx="12">
                  <c:v>42.3</c:v>
                </c:pt>
                <c:pt idx="13">
                  <c:v>44.8</c:v>
                </c:pt>
                <c:pt idx="14">
                  <c:v>47.7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A-6E44-8A90-27F7B06BD2DC}"/>
            </c:ext>
          </c:extLst>
        </c:ser>
        <c:ser>
          <c:idx val="1"/>
          <c:order val="1"/>
          <c:tx>
            <c:strRef>
              <c:f>Analyse!$E$89</c:f>
              <c:strCache>
                <c:ptCount val="1"/>
                <c:pt idx="0">
                  <c:v>Pourcentage de réussite aux tirs à 3 points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Analyse!$A$90:$A$104</c:f>
              <c:strCache>
                <c:ptCount val="15"/>
                <c:pt idx="0">
                  <c:v>Shai Gilgeous-Alexander</c:v>
                </c:pt>
                <c:pt idx="1">
                  <c:v>Anthony Edwards</c:v>
                </c:pt>
                <c:pt idx="2">
                  <c:v>Nikola Jokić</c:v>
                </c:pt>
                <c:pt idx="3">
                  <c:v>Giannis Antetokounmpo</c:v>
                </c:pt>
                <c:pt idx="4">
                  <c:v>Jayson Tatum</c:v>
                </c:pt>
                <c:pt idx="5">
                  <c:v>Devin Booker</c:v>
                </c:pt>
                <c:pt idx="6">
                  <c:v>Tyler Herro</c:v>
                </c:pt>
                <c:pt idx="7">
                  <c:v>Trae Young</c:v>
                </c:pt>
                <c:pt idx="8">
                  <c:v>Cade Cunningham</c:v>
                </c:pt>
                <c:pt idx="9">
                  <c:v>James Harden</c:v>
                </c:pt>
                <c:pt idx="10">
                  <c:v>Karl-Anthony Towns</c:v>
                </c:pt>
                <c:pt idx="11">
                  <c:v>Zach LaVine</c:v>
                </c:pt>
                <c:pt idx="12">
                  <c:v>Jalen Green</c:v>
                </c:pt>
                <c:pt idx="13">
                  <c:v>Stephen Curry</c:v>
                </c:pt>
                <c:pt idx="14">
                  <c:v>DeMar DeRozan</c:v>
                </c:pt>
              </c:strCache>
            </c:strRef>
          </c:cat>
          <c:val>
            <c:numRef>
              <c:f>Analyse!$E$90:$E$104</c:f>
              <c:numCache>
                <c:formatCode>General</c:formatCode>
                <c:ptCount val="15"/>
                <c:pt idx="0">
                  <c:v>37.5</c:v>
                </c:pt>
                <c:pt idx="1">
                  <c:v>39.5</c:v>
                </c:pt>
                <c:pt idx="2">
                  <c:v>41.7</c:v>
                </c:pt>
                <c:pt idx="3">
                  <c:v>22.2</c:v>
                </c:pt>
                <c:pt idx="4">
                  <c:v>34.299999999999997</c:v>
                </c:pt>
                <c:pt idx="5">
                  <c:v>33.200000000000003</c:v>
                </c:pt>
                <c:pt idx="6">
                  <c:v>37.5</c:v>
                </c:pt>
                <c:pt idx="7">
                  <c:v>34</c:v>
                </c:pt>
                <c:pt idx="8">
                  <c:v>35.6</c:v>
                </c:pt>
                <c:pt idx="9">
                  <c:v>35.200000000000003</c:v>
                </c:pt>
                <c:pt idx="10">
                  <c:v>42</c:v>
                </c:pt>
                <c:pt idx="11">
                  <c:v>44.6</c:v>
                </c:pt>
                <c:pt idx="12">
                  <c:v>35.4</c:v>
                </c:pt>
                <c:pt idx="13">
                  <c:v>39.700000000000003</c:v>
                </c:pt>
                <c:pt idx="14">
                  <c:v>32.799999999999997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4A-6E44-8A90-27F7B06BD2DC}"/>
            </c:ext>
          </c:extLst>
        </c:ser>
        <c:ser>
          <c:idx val="2"/>
          <c:order val="2"/>
          <c:tx>
            <c:strRef>
              <c:f>Analyse!$F$89</c:f>
              <c:strCache>
                <c:ptCount val="1"/>
                <c:pt idx="0">
                  <c:v>Pourcentage de réussite aux lancers francs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Analyse!$A$90:$A$104</c:f>
              <c:strCache>
                <c:ptCount val="15"/>
                <c:pt idx="0">
                  <c:v>Shai Gilgeous-Alexander</c:v>
                </c:pt>
                <c:pt idx="1">
                  <c:v>Anthony Edwards</c:v>
                </c:pt>
                <c:pt idx="2">
                  <c:v>Nikola Jokić</c:v>
                </c:pt>
                <c:pt idx="3">
                  <c:v>Giannis Antetokounmpo</c:v>
                </c:pt>
                <c:pt idx="4">
                  <c:v>Jayson Tatum</c:v>
                </c:pt>
                <c:pt idx="5">
                  <c:v>Devin Booker</c:v>
                </c:pt>
                <c:pt idx="6">
                  <c:v>Tyler Herro</c:v>
                </c:pt>
                <c:pt idx="7">
                  <c:v>Trae Young</c:v>
                </c:pt>
                <c:pt idx="8">
                  <c:v>Cade Cunningham</c:v>
                </c:pt>
                <c:pt idx="9">
                  <c:v>James Harden</c:v>
                </c:pt>
                <c:pt idx="10">
                  <c:v>Karl-Anthony Towns</c:v>
                </c:pt>
                <c:pt idx="11">
                  <c:v>Zach LaVine</c:v>
                </c:pt>
                <c:pt idx="12">
                  <c:v>Jalen Green</c:v>
                </c:pt>
                <c:pt idx="13">
                  <c:v>Stephen Curry</c:v>
                </c:pt>
                <c:pt idx="14">
                  <c:v>DeMar DeRozan</c:v>
                </c:pt>
              </c:strCache>
            </c:strRef>
          </c:cat>
          <c:val>
            <c:numRef>
              <c:f>Analyse!$F$90:$F$104</c:f>
              <c:numCache>
                <c:formatCode>General</c:formatCode>
                <c:ptCount val="15"/>
                <c:pt idx="0">
                  <c:v>89.8</c:v>
                </c:pt>
                <c:pt idx="1">
                  <c:v>83.7</c:v>
                </c:pt>
                <c:pt idx="2">
                  <c:v>80</c:v>
                </c:pt>
                <c:pt idx="3">
                  <c:v>61.7</c:v>
                </c:pt>
                <c:pt idx="4">
                  <c:v>81.400000000000006</c:v>
                </c:pt>
                <c:pt idx="5">
                  <c:v>89.4</c:v>
                </c:pt>
                <c:pt idx="6">
                  <c:v>87.8</c:v>
                </c:pt>
                <c:pt idx="7">
                  <c:v>87.5</c:v>
                </c:pt>
                <c:pt idx="8">
                  <c:v>84.6</c:v>
                </c:pt>
                <c:pt idx="9">
                  <c:v>87.4</c:v>
                </c:pt>
                <c:pt idx="10">
                  <c:v>82.9</c:v>
                </c:pt>
                <c:pt idx="11">
                  <c:v>82.5</c:v>
                </c:pt>
                <c:pt idx="12">
                  <c:v>81.3</c:v>
                </c:pt>
                <c:pt idx="13">
                  <c:v>93.3</c:v>
                </c:pt>
                <c:pt idx="14">
                  <c:v>85.7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4A-6E44-8A90-27F7B06BD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2283942"/>
        <c:axId val="1133687333"/>
      </c:lineChart>
      <c:catAx>
        <c:axId val="1512283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Players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33687333"/>
        <c:crosses val="autoZero"/>
        <c:auto val="1"/>
        <c:lblAlgn val="ctr"/>
        <c:lblOffset val="100"/>
        <c:noMultiLvlLbl val="1"/>
      </c:catAx>
      <c:valAx>
        <c:axId val="1133687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122839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Pourcentage de tirs, de 3 points et le lancers francs réussis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003167"/>
        <c:axId val="322136631"/>
      </c:lineChart>
      <c:catAx>
        <c:axId val="334003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Players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22136631"/>
        <c:crosses val="autoZero"/>
        <c:auto val="1"/>
        <c:lblAlgn val="ctr"/>
        <c:lblOffset val="100"/>
        <c:noMultiLvlLbl val="1"/>
      </c:catAx>
      <c:valAx>
        <c:axId val="322136631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3340031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47625</xdr:colOff>
      <xdr:row>6</xdr:row>
      <xdr:rowOff>9525</xdr:rowOff>
    </xdr:from>
    <xdr:ext cx="7029450" cy="5991225"/>
    <xdr:graphicFrame macro="">
      <xdr:nvGraphicFramePr>
        <xdr:cNvPr id="2" name="Chart 1" title="Graphi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63</xdr:row>
      <xdr:rowOff>28575</xdr:rowOff>
    </xdr:from>
    <xdr:ext cx="6981825" cy="4276725"/>
    <xdr:graphicFrame macro="">
      <xdr:nvGraphicFramePr>
        <xdr:cNvPr id="3" name="Chart 2" title="Graphiqu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106</xdr:row>
      <xdr:rowOff>85725</xdr:rowOff>
    </xdr:from>
    <xdr:ext cx="7086600" cy="4381500"/>
    <xdr:graphicFrame macro="">
      <xdr:nvGraphicFramePr>
        <xdr:cNvPr id="4" name="Chart 3" title="Graphiqu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3</xdr:col>
      <xdr:colOff>1895475</xdr:colOff>
      <xdr:row>63</xdr:row>
      <xdr:rowOff>28575</xdr:rowOff>
    </xdr:from>
    <xdr:ext cx="6981825" cy="4276725"/>
    <xdr:graphicFrame macro="">
      <xdr:nvGraphicFramePr>
        <xdr:cNvPr id="5" name="Chart 4" title="Graphiqu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3</xdr:col>
      <xdr:colOff>1981200</xdr:colOff>
      <xdr:row>106</xdr:row>
      <xdr:rowOff>85725</xdr:rowOff>
    </xdr:from>
    <xdr:ext cx="7086600" cy="4381500"/>
    <xdr:graphicFrame macro="">
      <xdr:nvGraphicFramePr>
        <xdr:cNvPr id="6" name="Chart 5" title="Graphiqu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1981200</xdr:colOff>
      <xdr:row>106</xdr:row>
      <xdr:rowOff>85725</xdr:rowOff>
    </xdr:from>
    <xdr:ext cx="7086600" cy="4381500"/>
    <xdr:graphicFrame macro="">
      <xdr:nvGraphicFramePr>
        <xdr:cNvPr id="6" name="Chart 6" title="Graphiqu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uzanne Endtz" refreshedDate="46269.602961574077" refreshedVersion="8" recordCount="569" xr:uid="{00000000-000A-0000-FFFF-FFFF00000000}">
  <cacheSource type="worksheet">
    <worksheetSource ref="A2:AS571" sheet="Données NBA"/>
  </cacheSource>
  <cacheFields count="45">
    <cacheField name="Player" numFmtId="0">
      <sharedItems count="569">
        <s v="Shai Gilgeous-Alexander"/>
        <s v="Anthony Edwards"/>
        <s v="Nikola Jokić"/>
        <s v="Giannis Antetokounmpo"/>
        <s v="Jayson Tatum"/>
        <s v="Devin Booker"/>
        <s v="Tyler Herro"/>
        <s v="Trae Young"/>
        <s v="Cade Cunningham"/>
        <s v="James Harden"/>
        <s v="Karl-Anthony Towns"/>
        <s v="Zach LaVine"/>
        <s v="Jalen Green"/>
        <s v="Stephen Curry"/>
        <s v="DeMar DeRozan"/>
        <s v="LeBron James"/>
        <s v="Donovan Mitchell"/>
        <s v="Jalen Brunson"/>
        <s v="Kevin Durant"/>
        <s v="Jaren Jackson Jr,"/>
        <s v="Pascal Siakam"/>
        <s v="Darius Garland"/>
        <s v="Coby White"/>
        <s v="Jalen Williams"/>
        <s v="Austin Reaves"/>
        <s v="De'Aaron Fox"/>
        <s v="Alperen Sengun"/>
        <s v="Franz Wagner"/>
        <s v="Damian Lillard"/>
        <s v="Mikal Bridges"/>
        <s v="Jamal Murray"/>
        <s v="Bam Adebayo"/>
        <s v="Luka Dončić"/>
        <s v="Michael Porter Jr,"/>
        <s v="Jaylen Brown"/>
        <s v="Jordan Poole"/>
        <s v="Tyrese Maxey"/>
        <s v="Tyrese Haliburton"/>
        <s v="Nikola Vučević"/>
        <s v="Anfernee Simons"/>
        <s v="Ivica Zubac"/>
        <s v="Malik Beasley"/>
        <s v="Domantas Sabonis"/>
        <s v="OG Anunoby"/>
        <s v="Shaedon Sharpe"/>
        <s v="Desmond Bane"/>
        <s v="Evan Mobley"/>
        <s v="Norman Powell"/>
        <s v="Miles Bridges"/>
        <s v="Julius Randle"/>
        <s v="Anthony Davis"/>
        <s v="Scottie Barnes"/>
        <s v="Derrick White"/>
        <s v="Kyrie Irving"/>
        <s v="RJ Barrett"/>
        <s v="Christian Braun"/>
        <s v="Deni Avdija"/>
        <s v="Paolo Banchero"/>
        <s v="Stephon Castle"/>
        <s v="LaMelo Ball"/>
        <s v="CJ McCollum"/>
        <s v="Ja Morant"/>
        <s v="Bennedict Mathurin"/>
        <s v="Collin Sexton"/>
        <s v="Payton Pritchard"/>
        <s v="Naz Reid"/>
        <s v="Keyonte George"/>
        <s v="Trey Murphy III"/>
        <s v="Myles Turner"/>
        <s v="Malik Monk"/>
        <s v="Victor Wembanyama"/>
        <s v="Jarrett Allen"/>
        <s v="Quentin Grimes"/>
        <s v="De'Andre Hunter"/>
        <s v="Andrew Wiggins"/>
        <s v="Dyson Daniels"/>
        <s v="Cameron Johnson"/>
        <s v="Dillon Brooks"/>
        <s v="Josh Hart"/>
        <s v="Devin Vassell"/>
        <s v="Brook Lopez"/>
        <s v="Josh Giddey"/>
        <s v="Harrison Barnes"/>
        <s v="Klay Thompson"/>
        <s v="Tobias Harris"/>
        <s v="Jaden McDaniels"/>
        <s v="Russell Westbrook"/>
        <s v="Onyeka Okongwu"/>
        <s v="Dennis Schröder"/>
        <s v="Keldon Johnson"/>
        <s v="Amen Thompson"/>
        <s v="Jimmy Butler III"/>
        <s v="Kyle Kuzma"/>
        <s v="Zaccharie Risacher"/>
        <s v="Keegan Murray"/>
        <s v="Jalen Duren"/>
        <s v="Aaron Wiggins"/>
        <s v="Naji Marshall"/>
        <s v="Buddy Hield"/>
        <s v="Kelly Oubre Jr,"/>
        <s v="Bradley Beal"/>
        <s v="Lauri Markkanen"/>
        <s v="Toumani Camara"/>
        <s v="Ty Jerome"/>
        <s v="Alex Sarr"/>
        <s v="Spencer Dinwiddie"/>
        <s v="Rudy Gobert"/>
        <s v="Tim Hardaway Jr,"/>
        <s v="Fred VanVleet"/>
        <s v="Jonas Valančiūnas"/>
        <s v="P,J, Washington"/>
        <s v="Scoot Henderson"/>
        <s v="Keon Johnson"/>
        <s v="Obi Toppin"/>
        <s v="Jakob Poeltl"/>
        <s v="Tyus Jones"/>
        <s v="Jaylen Wells"/>
        <s v="Gary Trent Jr,"/>
        <s v="Kristaps Porziņģis"/>
        <s v="Duncan Robinson"/>
        <s v="Santi Aldama"/>
        <s v="Julian Champagnie"/>
        <s v="Bub Carrington"/>
        <s v="Kawhi Leonard"/>
        <s v="Georges Niang"/>
        <s v="Scotty Pippen Jr,"/>
        <s v="Derrick Jones Jr,"/>
        <s v="Gradey Dick"/>
        <s v="Caris LeVert"/>
        <s v="Brice Sensabaugh"/>
        <s v="Rui Hachimura"/>
        <s v="Kevin Porter Jr,"/>
        <s v="Nickeil Alexander-Walker"/>
        <s v="Guerschon Yabusele"/>
        <s v="John Collins"/>
        <s v="Isaiah Joe"/>
        <s v="Jalen Wilson"/>
        <s v="Aaron Gordon"/>
        <s v="Max Christie"/>
        <s v="Brandin Podziemski"/>
        <s v="Zion Williamson"/>
        <s v="Anthony Black"/>
        <s v="D'Angelo Russell"/>
        <s v="Bilal Coulibaly"/>
        <s v="Moses Moody"/>
        <s v="Donte DiVincenzo"/>
        <s v="Chris Paul"/>
        <s v="Nic Claxton"/>
        <s v="Jonathan Kuminga"/>
        <s v="T,J, McConnell"/>
        <s v="Luguentz Dort"/>
        <s v="Dalton Knecht"/>
        <s v="Corey Kispert"/>
        <s v="Daniel Gafford"/>
        <s v="Amir Coffey"/>
        <s v="Jabari Smith Jr,"/>
        <s v="Kyle Filipowski"/>
        <s v="Jrue Holiday"/>
        <s v="Matas Buzelis"/>
        <s v="Tari Eason"/>
        <s v="Kevin Huerter"/>
        <s v="Royce O'Neale"/>
        <s v="Bobby Portis"/>
        <s v="Jalen Johnson"/>
        <s v="Terry Rozier"/>
        <s v="Grayson Allen"/>
        <s v="Jerami Grant"/>
        <s v="Mark Williams"/>
        <s v="Kentavious Caldwell-Pope"/>
        <s v="Ochai Agbaji"/>
        <s v="Yves Missi"/>
        <s v="Paul George"/>
        <s v="Keon Ellis"/>
        <s v="Taurean Prince"/>
        <s v="Andrew Nembhard"/>
        <s v="Walker Kessler"/>
        <s v="Isaiah Hartenstein"/>
        <s v="Ziaire Williams"/>
        <s v="Cole Anthony"/>
        <s v="Wendell Carter Jr,"/>
        <s v="Isaiah Collier"/>
        <s v="Jeremy Sochan"/>
        <s v="Draymond Green"/>
        <s v="Miles McBride"/>
        <s v="Zach Edey"/>
        <s v="Jordan Hawkins"/>
        <s v="Sam Hauser"/>
        <s v="Cam Thomas"/>
        <s v="Jordan Clarkson"/>
        <s v="Ausar Thompson"/>
        <s v="Kel'el Ware"/>
        <s v="Nick Smith Jr,"/>
        <s v="Kyshawn George"/>
        <s v="Julian Strawther"/>
        <s v="Davion Mitchell"/>
        <s v="Bogdan Bogdanović"/>
        <s v="Mike Conley"/>
        <s v="Luke Kennard"/>
        <s v="Jose Alvarado"/>
        <s v="Deandre Ayton"/>
        <s v="Cason Wallace"/>
        <s v="Johnny Juzang"/>
        <s v="Jaime Jaquez Jr,"/>
        <s v="Brandon Miller"/>
        <s v="Patrick Williams"/>
        <s v="Jalen Suggs"/>
        <s v="Ayo Dosunmu"/>
        <s v="Immanuel Quickley"/>
        <s v="Dalano Banton"/>
        <s v="Peyton Watson"/>
        <s v="Dorian Finney-Smith"/>
        <s v="Justin Champagnie"/>
        <s v="Dejounte Murray"/>
        <s v="Al Horford"/>
        <s v="Aaron Nesmith"/>
        <s v="AJ Green"/>
        <s v="Jared Butler"/>
        <s v="Tristan da Silva"/>
        <s v="Ricky Council IV"/>
        <s v="Jamal Shead"/>
        <s v="Brandon Clarke"/>
        <s v="Nick Richards"/>
        <s v="Jaden Ivey"/>
        <s v="Jalen Smith"/>
        <s v="Tyrese Martin"/>
        <s v="Ronald Holland II"/>
        <s v="Terance Mann"/>
        <s v="Sam Merrill"/>
        <s v="Ryan Dunn"/>
        <s v="Goga Bitadze"/>
        <s v="Josh Green"/>
        <s v="Chris Boucher"/>
        <s v="Cameron Payne"/>
        <s v="Jaden Hardy"/>
        <s v="Nikola Jović"/>
        <s v="Clint Capela"/>
        <s v="Haywood Highsmith"/>
        <s v="Chet Holmgren"/>
        <s v="Cam Whitmore"/>
        <s v="Kris Dunn"/>
        <s v="Max Strus"/>
        <s v="Gabe Vincent"/>
        <s v="Jarace Walker"/>
        <s v="Jake LaRavia"/>
        <s v="Jusuf Nurkić"/>
        <s v="Joel Embiid"/>
        <s v="Trendon Watford"/>
        <s v="Brandon Boston"/>
        <s v="Trey Lyles"/>
        <s v="Ja'Kobe Walter"/>
        <s v="Justin Edwards"/>
        <s v="Simone Fontecchio"/>
        <s v="Seth Curry"/>
        <s v="Jay Huff"/>
        <s v="Khris Middleton"/>
        <s v="Luke Kornet"/>
        <s v="Donovan Clingan"/>
        <s v="Kenrich Williams"/>
        <s v="Isaiah Stewart"/>
        <s v="Thomas Bryant"/>
        <s v="Noah Clowney"/>
        <s v="Jamison Battle"/>
        <s v="Jeremiah Robinson-Earl"/>
        <s v="Vít Krejčí"/>
        <s v="Zach Collins"/>
        <s v="Trayce Jackson-Davis"/>
        <s v="Moussa Diabaté"/>
        <s v="Gary Payton II"/>
        <s v="Brandon Ingram"/>
        <s v="Day'Ron Sharpe"/>
        <s v="Jonathan Mogbo"/>
        <s v="Moritz Wagner"/>
        <s v="Sandro Mamukelashvili"/>
        <s v="Kelly Olynyk"/>
        <s v="Alex Caruso"/>
        <s v="Jonathan Isaac"/>
        <s v="Jaxson Hayes"/>
        <s v="Talen Horton-Tucker"/>
        <s v="Marcus Sasser"/>
        <s v="Precious Achiuwa"/>
        <s v="Julian Phillips"/>
        <s v="Kyle Anderson"/>
        <s v="Cody Martin"/>
        <s v="Alec Burks"/>
        <s v="Caleb Martin"/>
        <s v="Tidjane Salaün"/>
        <s v="Garrison Mathews"/>
        <s v="Jared McCain"/>
        <s v="Javonte Green"/>
        <s v="Ryan Rollins"/>
        <s v="Kevon Looney"/>
        <s v="Aaron Holiday"/>
        <s v="Quinten Post"/>
        <s v="Bruce Brown"/>
        <s v="Isaac Okoro"/>
        <s v="Adem Bona"/>
        <s v="Ben Sheppard"/>
        <s v="Svi Mykhailiuk"/>
        <s v="Mason Plumlee"/>
        <s v="Tre Jones"/>
        <s v="Dalen Terry"/>
        <s v="Tristan Vukcevic"/>
        <s v="Karlo Matković"/>
        <s v="Dean Wade"/>
        <s v="DaQuan Jeffries"/>
        <s v="Shake Milton"/>
        <s v="Dereck Lively II"/>
        <s v="Nicolas Batum"/>
        <s v="Jabari Walker"/>
        <s v="Neemias Queta"/>
        <s v="Marcus Smart"/>
        <s v="Malcolm Brogdon"/>
        <s v="Antonio Reeves"/>
        <s v="Orlando Robinson"/>
        <s v="Andre Drummond"/>
        <s v="Kris Murray"/>
        <s v="Jeff Dowtin Jr,"/>
        <s v="Landry Shamet"/>
        <s v="Josh Okogie"/>
        <s v="KJ Simpson"/>
        <s v="Drew Eubanks"/>
        <s v="Jaylin Williams"/>
        <s v="KJ Martin"/>
        <s v="Brandon Williams"/>
        <s v="Vasilije Micić"/>
        <s v="Jett Howard"/>
        <s v="Tosan Evbuomwan"/>
        <s v="Lonzo Ball"/>
        <s v="Eric Gordon"/>
        <s v="Oso Ighodaro"/>
        <s v="Lindy Waters III"/>
        <s v="Ben Simmons"/>
        <s v="Pelle Larsson"/>
        <s v="Lonnie Walker IV"/>
        <s v="Bol Bol"/>
        <s v="Caleb Houstan"/>
        <s v="A,J, Lawson"/>
        <s v="Malaki Branham"/>
        <s v="Ajay Mitchell"/>
        <s v="Monté Morris"/>
        <s v="Gui Santos"/>
        <s v="Cody Williams"/>
        <s v="Reed Sheppard"/>
        <s v="Richaun Holmes"/>
        <s v="Andre Jackson Jr,"/>
        <s v="Steven Adams"/>
        <s v="Rob Dillingham"/>
        <s v="AJ Johnson"/>
        <s v="Pat Connaughton"/>
        <s v="Blake Wesley"/>
        <s v="GG Jackson"/>
        <s v="DeAndre Jordan"/>
        <s v="Herbert Jones"/>
        <s v="Larry Nance Jr,"/>
        <s v="Olivier-Maxence Prosper"/>
        <s v="Jock Landale"/>
        <s v="Jalen Pickett"/>
        <s v="Kai Jones"/>
        <s v="Mouhamed Gueye"/>
        <s v="Jamal Cain"/>
        <s v="Collin Gillespie"/>
        <s v="Duop Reath"/>
        <s v="Craig Porter Jr,"/>
        <s v="Jae'Sean Tate"/>
        <s v="Paul Reed"/>
        <s v="Tre Mann"/>
        <s v="Zeke Nnaji"/>
        <s v="Vince Williams Jr,"/>
        <s v="Cory Joseph"/>
        <s v="Danté Exum"/>
        <s v="Jeff Green"/>
        <s v="Jaylon Tyson"/>
        <s v="Kessler Edwards"/>
        <s v="Keaton Wallace"/>
        <s v="Grant Williams"/>
        <s v="Jaylen Clark"/>
        <s v="Daniel Theis"/>
        <s v="Micah Potter"/>
        <s v="Quenton Jackson"/>
        <s v="Jordan Goodwin"/>
        <s v="Charles Bassey"/>
        <s v="Rayan Rupert"/>
        <s v="Colby Jones"/>
        <s v="Jevon Carter"/>
        <s v="David Roddy"/>
        <s v="Jordan Miller"/>
        <s v="Trevelin Queen"/>
        <s v="Wendell Moore Jr,"/>
        <s v="Bones Hyland"/>
        <s v="Jarred Vanderbilt"/>
        <s v="Dominick Barlow"/>
        <s v="Doug McDermott"/>
        <s v="Gary Harris"/>
        <s v="Bismack Biyombo"/>
        <s v="Keion Brooks Jr,"/>
        <s v="Ousmane Dieng"/>
        <s v="Terrence Shannon Jr,"/>
        <s v="Mo Bamba"/>
        <s v="Luka Garza"/>
        <s v="Kyle Lowry"/>
        <s v="Devin Carter"/>
        <s v="Marvin Bagley III"/>
        <s v="Reggie Jackson"/>
        <s v="Isaac Jones"/>
        <s v="Dillon Jones"/>
        <s v="Hunter Tyson"/>
        <s v="Anthony Gill"/>
        <s v="Delon Wright"/>
        <s v="Kevin Love"/>
        <s v="Branden Carlson"/>
        <s v="Colin Castleton"/>
        <s v="Isaiah Wong"/>
        <s v="Josh Minott"/>
        <s v="Jared Rhoden"/>
        <s v="Dwight Powell"/>
        <s v="Robert Williams III"/>
        <s v="Maxwell Lewis"/>
        <s v="Dariq Whitehead"/>
        <s v="Matisse Thybulle"/>
        <s v="Baylor Scheierman"/>
        <s v="Damion Baugh"/>
        <s v="Patty Mills"/>
        <s v="John Konchar"/>
        <s v="Drew Timme"/>
        <s v="Torrey Craig"/>
        <s v="Jaden Springer"/>
        <s v="Taj Gibson"/>
        <s v="Jalen Hood-Schifino"/>
        <s v="Cam Reddish"/>
        <s v="Oscar Tshiebwe"/>
        <s v="Johnny Furphy"/>
        <s v="Cam Spencer"/>
        <s v="Maxi Kleber"/>
        <s v="Pat Spencer"/>
        <s v="Jordan McLaughlin"/>
        <s v="Trey Jemison III"/>
        <s v="Jericho Sims"/>
        <s v="Reece Beekman"/>
        <s v="Christian Koloko"/>
        <s v="Dru Smith"/>
        <s v="Mitchell Robinson"/>
        <s v="Lester Quinones"/>
        <s v="Elfrid Payton"/>
        <s v="Jordan Walsh"/>
        <s v="Damion Lee"/>
        <s v="Tyler Kolek"/>
        <s v="Johnny Davis"/>
        <s v="MarJon Beauchamp"/>
        <s v="Jaylen Martin"/>
        <s v="Alex Reese"/>
        <s v="Kobe Brown"/>
        <s v="Moses Brown"/>
        <s v="Lamar Stevens"/>
        <s v="Alex Len"/>
        <s v="JT Thor"/>
        <s v="Tristan Thompson"/>
        <s v="Tyler Smith"/>
        <s v="Jaylen Nowell"/>
        <s v="Adam Flagler"/>
        <s v="Marcus Bagley"/>
        <s v="Nate Williams"/>
        <s v="De'Anthony Melton"/>
        <s v="Tony Bradley"/>
        <s v="Bronny James"/>
        <s v="Markelle Fultz"/>
        <s v="Cole Swider"/>
        <s v="Bruno Fernando"/>
        <s v="Dario Šarić"/>
        <s v="Markieff Morris"/>
        <s v="Tyson Etienne"/>
        <s v="Drew Peterson"/>
        <s v="Killian Hayes"/>
        <s v="Kobe Bufkin"/>
        <s v="Chuma Okeke"/>
        <s v="Patrick Baldwin Jr,"/>
        <s v="Garrett Temple"/>
        <s v="Oshae Brissett"/>
        <s v="Ariel Hukporti"/>
        <s v="Kevin Knox II"/>
        <s v="Enrique Freeman"/>
        <s v="Daeqwon Plowden"/>
        <s v="Keshad Johnson"/>
        <s v="Jaylen Sims"/>
        <s v="Pete Nance"/>
        <s v="Emoni Bates"/>
        <s v="Chris Duarte"/>
        <s v="Nae'Qwan Tomlin"/>
        <s v="Alex Ducas"/>
        <s v="Isaiah Jackson"/>
        <s v="Yuki Kawamura"/>
        <s v="TyTy Washington Jr,"/>
        <s v="JD Davison"/>
        <s v="Kylor Kelley"/>
        <s v="Xavier Tillman"/>
        <s v="Sidy Cissoko"/>
        <s v="PJ Hall"/>
        <s v="Josh Richardson"/>
        <s v="Elijah Harkless"/>
        <s v="Trey Alexander"/>
        <s v="Pacôme Dadiet"/>
        <s v="RayJ Dennis"/>
        <s v="Chris Livingston"/>
        <s v="Matt Ryan"/>
        <s v="Marcus Garrett"/>
        <s v="Josh Christopher"/>
        <s v="Spencer Jones"/>
        <s v="Jacob Toppin"/>
        <s v="Jazian Gortman"/>
        <s v="N'Faly Dante"/>
        <s v="Vlatko Čančar"/>
        <s v="Jae Crowder"/>
        <s v="Mason Jones"/>
        <s v="E,J, Liddell"/>
        <s v="Jackson Rowe"/>
        <s v="Leonard Miller"/>
        <s v="Cam Christie"/>
        <s v="Jamaree Bouyea"/>
        <s v="Justin Minaya"/>
        <s v="Malachi Flynn"/>
        <s v="David Duke Jr,"/>
        <s v="Bobi Klintman"/>
        <s v="Stanley Umude"/>
        <s v="Joe Ingles"/>
        <s v="Tolu Smith"/>
        <s v="Jack McVeigh"/>
        <s v="Armel Traoré"/>
        <s v="Isaiah Crawford"/>
        <s v="Taylor Hendricks"/>
        <s v="Bryce McGowens"/>
        <s v="Luke Travers"/>
        <s v="Jahmir Young"/>
        <s v="Trentyn Flowers"/>
        <s v="Emanuel Miller"/>
        <s v="Liam Robbins"/>
        <s v="P,J, Tucker"/>
        <s v="Jalen Bridges"/>
        <s v="Adama Sanogo"/>
        <s v="James Johnson"/>
        <s v="Anton Watson"/>
        <s v="Phillip Wheeler"/>
        <s v="Miles Norris"/>
        <s v="Daniss Jenkins"/>
        <s v="PJ Dozier"/>
        <s v="James Wiseman"/>
        <s v="Kevin McCullar Jr,"/>
        <s v="Isaiah Mobley"/>
        <s v="Tazé Moore"/>
        <s v="Alondes Williams"/>
        <s v="Skal Labissiere"/>
        <s v="Ulrich Chomche"/>
        <s v="Ron Harper Jr,"/>
        <s v="Harrison Ingram"/>
        <s v="Cui Yongxi"/>
        <s v="Braxton Key"/>
        <s v="Quincy Olivari"/>
        <s v="Tristen Newton"/>
        <s v="D,J, Carton"/>
        <s v="Yuri Collins"/>
        <s v="Malevy Leons"/>
        <s v="Daishen Nix"/>
        <s v="Jahlil Okafor"/>
        <s v="Zyon Pullin"/>
        <s v="Isaiah Stevens"/>
        <s v="Jesse Edwards"/>
        <s v="Mac McClung"/>
        <s v="Terence Davis"/>
        <s v="Terry Taylor"/>
        <s v="Riley Minix"/>
        <s v="Jalen McDaniels"/>
      </sharedItems>
    </cacheField>
    <cacheField name="Team" numFmtId="0">
      <sharedItems count="30">
        <s v="OKC"/>
        <s v="MIN"/>
        <s v="DEN"/>
        <s v="MIL"/>
        <s v="BOS"/>
        <s v="PHX"/>
        <s v="MIA"/>
        <s v="ATL"/>
        <s v="DET"/>
        <s v="LAC"/>
        <s v="NYK"/>
        <s v="SAC"/>
        <s v="HOU"/>
        <s v="GSW"/>
        <s v="LAL"/>
        <s v="CLE"/>
        <s v="MEM"/>
        <s v="IND"/>
        <s v="CHI"/>
        <s v="SAS"/>
        <s v="ORL"/>
        <s v="WAS"/>
        <s v="PHI"/>
        <s v="POR"/>
        <s v="CHA"/>
        <s v="DAL"/>
        <s v="TOR"/>
        <s v="NOP"/>
        <s v="UTA"/>
        <s v="BKN"/>
      </sharedItems>
    </cacheField>
    <cacheField name="Age" numFmtId="0">
      <sharedItems containsSemiMixedTypes="0" containsString="0" containsNumber="1" containsInteger="1" minValue="19" maxValue="40"/>
    </cacheField>
    <cacheField name="GP" numFmtId="0">
      <sharedItems containsSemiMixedTypes="0" containsString="0" containsNumber="1" containsInteger="1" minValue="1" maxValue="82"/>
    </cacheField>
    <cacheField name="W" numFmtId="0">
      <sharedItems containsSemiMixedTypes="0" containsString="0" containsNumber="1" containsInteger="1" minValue="0" maxValue="64"/>
    </cacheField>
    <cacheField name="L" numFmtId="0">
      <sharedItems containsSemiMixedTypes="0" containsString="0" containsNumber="1" containsInteger="1" minValue="0" maxValue="64"/>
    </cacheField>
    <cacheField name="Min" numFmtId="0">
      <sharedItems containsSemiMixedTypes="0" containsString="0" containsNumber="1" minValue="0.9" maxValue="37.700000000000003"/>
    </cacheField>
    <cacheField name="PTS" numFmtId="0">
      <sharedItems containsSemiMixedTypes="0" containsString="0" containsNumber="1" containsInteger="1" minValue="0" maxValue="2485"/>
    </cacheField>
    <cacheField name="FGM" numFmtId="0">
      <sharedItems containsSemiMixedTypes="0" containsString="0" containsNumber="1" containsInteger="1" minValue="0" maxValue="859"/>
    </cacheField>
    <cacheField name="FGA" numFmtId="0">
      <sharedItems containsSemiMixedTypes="0" containsString="0" containsNumber="1" containsInteger="1" minValue="0" maxValue="1657"/>
    </cacheField>
    <cacheField name="FG%" numFmtId="0">
      <sharedItems containsSemiMixedTypes="0" containsString="0" containsNumber="1" minValue="0" maxValue="100"/>
    </cacheField>
    <cacheField name="15:00" numFmtId="0">
      <sharedItems containsSemiMixedTypes="0" containsString="0" containsNumber="1" containsInteger="1" minValue="0" maxValue="324"/>
    </cacheField>
    <cacheField name="3PA" numFmtId="0">
      <sharedItems containsSemiMixedTypes="0" containsString="0" containsNumber="1" containsInteger="1" minValue="0" maxValue="814"/>
    </cacheField>
    <cacheField name="3P%" numFmtId="0">
      <sharedItems containsSemiMixedTypes="0" containsString="0" containsNumber="1" minValue="0" maxValue="100"/>
    </cacheField>
    <cacheField name="FTM" numFmtId="0">
      <sharedItems containsSemiMixedTypes="0" containsString="0" containsNumber="1" containsInteger="1" minValue="0" maxValue="600"/>
    </cacheField>
    <cacheField name="FTA" numFmtId="0">
      <sharedItems containsSemiMixedTypes="0" containsString="0" containsNumber="1" containsInteger="1" minValue="0" maxValue="710"/>
    </cacheField>
    <cacheField name="FT%" numFmtId="0">
      <sharedItems containsSemiMixedTypes="0" containsString="0" containsNumber="1" minValue="0" maxValue="100"/>
    </cacheField>
    <cacheField name="OREB" numFmtId="0">
      <sharedItems containsSemiMixedTypes="0" containsString="0" containsNumber="1" containsInteger="1" minValue="0" maxValue="304"/>
    </cacheField>
    <cacheField name="DREB" numFmtId="0">
      <sharedItems containsSemiMixedTypes="0" containsString="0" containsNumber="1" containsInteger="1" minValue="0" maxValue="712"/>
    </cacheField>
    <cacheField name="REB" numFmtId="0">
      <sharedItems containsSemiMixedTypes="0" containsString="0" containsNumber="1" containsInteger="1" minValue="0" maxValue="1008"/>
    </cacheField>
    <cacheField name="AST" numFmtId="0">
      <sharedItems containsSemiMixedTypes="0" containsString="0" containsNumber="1" containsInteger="1" minValue="0" maxValue="882"/>
    </cacheField>
    <cacheField name="TOV" numFmtId="0">
      <sharedItems containsSemiMixedTypes="0" containsString="0" containsNumber="1" containsInteger="1" minValue="0" maxValue="357"/>
    </cacheField>
    <cacheField name="STL" numFmtId="0">
      <sharedItems containsSemiMixedTypes="0" containsString="0" containsNumber="1" containsInteger="1" minValue="0" maxValue="228"/>
    </cacheField>
    <cacheField name="BLK" numFmtId="0">
      <sharedItems containsSemiMixedTypes="0" containsString="0" containsNumber="1" containsInteger="1" minValue="0" maxValue="175"/>
    </cacheField>
    <cacheField name="PF" numFmtId="0">
      <sharedItems containsSemiMixedTypes="0" containsString="0" containsNumber="1" containsInteger="1" minValue="0" maxValue="259"/>
    </cacheField>
    <cacheField name="FP" numFmtId="0">
      <sharedItems containsSemiMixedTypes="0" containsString="0" containsNumber="1" containsInteger="1" minValue="0" maxValue="4501"/>
    </cacheField>
    <cacheField name="DD2" numFmtId="0">
      <sharedItems containsSemiMixedTypes="0" containsString="0" containsNumber="1" containsInteger="1" minValue="0" maxValue="61"/>
    </cacheField>
    <cacheField name="TD3" numFmtId="0">
      <sharedItems containsSemiMixedTypes="0" containsString="0" containsNumber="1" containsInteger="1" minValue="0" maxValue="34"/>
    </cacheField>
    <cacheField name="+/-" numFmtId="0">
      <sharedItems containsSemiMixedTypes="0" containsString="0" containsNumber="1" minValue="-11.3" maxValue="12.1"/>
    </cacheField>
    <cacheField name="OFFRTG" numFmtId="0">
      <sharedItems containsSemiMixedTypes="0" containsString="0" containsNumber="1" minValue="58.7" maxValue="171.4"/>
    </cacheField>
    <cacheField name="DEFRTG" numFmtId="0">
      <sharedItems containsSemiMixedTypes="0" containsString="0" containsNumber="1" minValue="30.8" maxValue="150"/>
    </cacheField>
    <cacheField name="NETRTG" numFmtId="0">
      <sharedItems containsSemiMixedTypes="0" containsString="0" containsNumber="1" minValue="-81.8" maxValue="85.7"/>
    </cacheField>
    <cacheField name="AST%" numFmtId="0">
      <sharedItems containsSemiMixedTypes="0" containsString="0" containsNumber="1" minValue="0" maxValue="55.6"/>
    </cacheField>
    <cacheField name="AST/TO" numFmtId="0">
      <sharedItems containsSemiMixedTypes="0" containsString="0" containsNumber="1" minValue="0" maxValue="11"/>
    </cacheField>
    <cacheField name="AST RATIO" numFmtId="0">
      <sharedItems containsSemiMixedTypes="0" containsString="0" containsNumber="1" minValue="0" maxValue="100"/>
    </cacheField>
    <cacheField name="OREB%" numFmtId="0">
      <sharedItems containsSemiMixedTypes="0" containsString="0" containsNumber="1" minValue="0" maxValue="25"/>
    </cacheField>
    <cacheField name="DREB%" numFmtId="0">
      <sharedItems containsSemiMixedTypes="0" containsString="0" containsNumber="1" minValue="0" maxValue="44.4"/>
    </cacheField>
    <cacheField name="REB%" numFmtId="0">
      <sharedItems containsSemiMixedTypes="0" containsString="0" containsNumber="1" minValue="0" maxValue="22.1"/>
    </cacheField>
    <cacheField name="TO RATIO" numFmtId="0">
      <sharedItems containsSemiMixedTypes="0" containsString="0" containsNumber="1" minValue="0" maxValue="44.4"/>
    </cacheField>
    <cacheField name="EFG%" numFmtId="0">
      <sharedItems containsSemiMixedTypes="0" containsString="0" containsNumber="1" minValue="0" maxValue="125"/>
    </cacheField>
    <cacheField name="TS%" numFmtId="0">
      <sharedItems containsSemiMixedTypes="0" containsString="0" containsNumber="1" minValue="0" maxValue="125"/>
    </cacheField>
    <cacheField name="USG%" numFmtId="0">
      <sharedItems containsSemiMixedTypes="0" containsString="0" containsNumber="1" minValue="0" maxValue="45.5"/>
    </cacheField>
    <cacheField name="PACE" numFmtId="0">
      <sharedItems containsSemiMixedTypes="0" containsString="0" containsNumber="1" minValue="88.67" maxValue="130.81"/>
    </cacheField>
    <cacheField name="PIE" numFmtId="0">
      <sharedItems containsSemiMixedTypes="0" containsString="0" containsNumber="1" minValue="-8.6999999999999993" maxValue="40"/>
    </cacheField>
    <cacheField name="POSS" numFmtId="0">
      <sharedItems containsSemiMixedTypes="0" containsString="0" containsNumber="1" containsInteger="1" minValue="6" maxValue="6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9">
  <r>
    <x v="0"/>
    <x v="0"/>
    <n v="26"/>
    <n v="76"/>
    <n v="63"/>
    <n v="13"/>
    <n v="34.200000000000003"/>
    <n v="2485"/>
    <n v="859"/>
    <n v="1657"/>
    <n v="51.9"/>
    <n v="160"/>
    <n v="433"/>
    <n v="37.5"/>
    <n v="600"/>
    <n v="669"/>
    <n v="89.8"/>
    <n v="68"/>
    <n v="312"/>
    <n v="380"/>
    <n v="486"/>
    <n v="182"/>
    <n v="129"/>
    <n v="76"/>
    <n v="167"/>
    <n v="4112"/>
    <n v="6"/>
    <n v="0"/>
    <n v="12.1"/>
    <n v="122.4"/>
    <n v="105.7"/>
    <n v="16.7"/>
    <n v="29.9"/>
    <n v="2.66"/>
    <n v="18.7"/>
    <n v="2.5"/>
    <n v="11.2"/>
    <n v="6.9"/>
    <n v="7"/>
    <n v="56.9"/>
    <n v="63.7"/>
    <n v="33.6"/>
    <n v="101.91"/>
    <n v="19.899999999999999"/>
    <n v="5514"/>
  </r>
  <r>
    <x v="1"/>
    <x v="1"/>
    <n v="23"/>
    <n v="79"/>
    <n v="48"/>
    <n v="31"/>
    <n v="36.299999999999997"/>
    <n v="2180"/>
    <n v="719"/>
    <n v="1612"/>
    <n v="44.7"/>
    <n v="324"/>
    <n v="814"/>
    <n v="39.5"/>
    <n v="419"/>
    <n v="498"/>
    <n v="83.7"/>
    <n v="63"/>
    <n v="387"/>
    <n v="450"/>
    <n v="356"/>
    <n v="253"/>
    <n v="95"/>
    <n v="47"/>
    <n v="150"/>
    <n v="3429"/>
    <n v="7"/>
    <n v="0"/>
    <n v="3.7"/>
    <n v="116.2"/>
    <n v="111.4"/>
    <n v="4.8"/>
    <n v="20.9"/>
    <n v="1.44"/>
    <n v="14.8"/>
    <n v="2.1"/>
    <n v="13.1"/>
    <n v="7.7"/>
    <n v="10.3"/>
    <n v="54.7"/>
    <n v="59.5"/>
    <n v="30.7"/>
    <n v="98.27"/>
    <n v="14"/>
    <n v="5883"/>
  </r>
  <r>
    <x v="2"/>
    <x v="2"/>
    <n v="30"/>
    <n v="70"/>
    <n v="46"/>
    <n v="24"/>
    <n v="36.700000000000003"/>
    <n v="2072"/>
    <n v="784"/>
    <n v="1365"/>
    <n v="57.6"/>
    <n v="140"/>
    <n v="329"/>
    <n v="41.7"/>
    <n v="364"/>
    <n v="448"/>
    <n v="80"/>
    <n v="203"/>
    <n v="693"/>
    <n v="889"/>
    <n v="714"/>
    <n v="231"/>
    <n v="126"/>
    <n v="42"/>
    <n v="161"/>
    <n v="4501"/>
    <n v="59"/>
    <n v="34"/>
    <n v="8.5"/>
    <n v="125.6"/>
    <n v="115.1"/>
    <n v="10.5"/>
    <n v="39.799999999999997"/>
    <n v="3.11"/>
    <n v="28.7"/>
    <n v="8.3000000000000007"/>
    <n v="25.2"/>
    <n v="17.3"/>
    <n v="9.1999999999999993"/>
    <n v="62.7"/>
    <n v="66.3"/>
    <n v="28.5"/>
    <n v="101.99"/>
    <n v="20.6"/>
    <n v="5471"/>
  </r>
  <r>
    <x v="3"/>
    <x v="3"/>
    <n v="30"/>
    <n v="67"/>
    <n v="40"/>
    <n v="27"/>
    <n v="34.200000000000003"/>
    <n v="2037"/>
    <n v="791"/>
    <n v="1320"/>
    <n v="60.1"/>
    <n v="13"/>
    <n v="60"/>
    <n v="22.2"/>
    <n v="436"/>
    <n v="710"/>
    <n v="61.7"/>
    <n v="147"/>
    <n v="650"/>
    <n v="797"/>
    <n v="436"/>
    <n v="208"/>
    <n v="60"/>
    <n v="80"/>
    <n v="154"/>
    <n v="3846"/>
    <n v="55"/>
    <n v="11"/>
    <n v="5"/>
    <n v="118.9"/>
    <n v="111.7"/>
    <n v="7.2"/>
    <n v="33.9"/>
    <n v="2.1"/>
    <n v="19.2"/>
    <n v="6.7"/>
    <n v="26.6"/>
    <n v="17.2"/>
    <n v="9.1"/>
    <n v="60.7"/>
    <n v="62.5"/>
    <n v="34.6"/>
    <n v="100.18"/>
    <n v="21"/>
    <n v="4772"/>
  </r>
  <r>
    <x v="4"/>
    <x v="4"/>
    <n v="27"/>
    <n v="72"/>
    <n v="53"/>
    <n v="19"/>
    <n v="36.4"/>
    <n v="1930"/>
    <n v="662"/>
    <n v="1462"/>
    <n v="45.2"/>
    <n v="252"/>
    <n v="727"/>
    <n v="34.299999999999997"/>
    <n v="360"/>
    <n v="439"/>
    <n v="81.400000000000006"/>
    <n v="50"/>
    <n v="576"/>
    <n v="626"/>
    <n v="432"/>
    <n v="209"/>
    <n v="79"/>
    <n v="36"/>
    <n v="158"/>
    <n v="3456"/>
    <n v="31"/>
    <n v="2"/>
    <n v="7.4"/>
    <n v="119.6"/>
    <n v="109.8"/>
    <n v="9.8000000000000007"/>
    <n v="26.6"/>
    <n v="2.6"/>
    <n v="18.899999999999999"/>
    <n v="1.7"/>
    <n v="20.6"/>
    <n v="11.2"/>
    <n v="9.1999999999999993"/>
    <n v="53.7"/>
    <n v="58.2"/>
    <n v="30.1"/>
    <n v="98.14"/>
    <n v="15.8"/>
    <n v="5368"/>
  </r>
  <r>
    <x v="5"/>
    <x v="5"/>
    <n v="28"/>
    <n v="75"/>
    <n v="35"/>
    <n v="40"/>
    <n v="37.299999999999997"/>
    <n v="1920"/>
    <n v="653"/>
    <n v="1418"/>
    <n v="46.1"/>
    <n v="180"/>
    <n v="548"/>
    <n v="33.200000000000003"/>
    <n v="435"/>
    <n v="480"/>
    <n v="89.4"/>
    <n v="75"/>
    <n v="233"/>
    <n v="308"/>
    <n v="533"/>
    <n v="218"/>
    <n v="68"/>
    <n v="15"/>
    <n v="195"/>
    <n v="3113"/>
    <n v="16"/>
    <n v="0"/>
    <n v="-2.4"/>
    <n v="115.3"/>
    <n v="118.5"/>
    <n v="-3.2"/>
    <n v="30.1"/>
    <n v="2.4"/>
    <n v="22.4"/>
    <n v="2.8"/>
    <n v="8"/>
    <n v="5.5"/>
    <n v="9.3000000000000007"/>
    <n v="52.5"/>
    <n v="58.9"/>
    <n v="28.5"/>
    <n v="98.72"/>
    <n v="12.2"/>
    <n v="5752"/>
  </r>
  <r>
    <x v="6"/>
    <x v="6"/>
    <n v="25"/>
    <n v="77"/>
    <n v="37"/>
    <n v="40"/>
    <n v="35.4"/>
    <n v="1840"/>
    <n v="655"/>
    <n v="1378"/>
    <n v="47.2"/>
    <n v="254"/>
    <n v="670"/>
    <n v="37.5"/>
    <n v="285"/>
    <n v="323"/>
    <n v="87.8"/>
    <n v="39"/>
    <n v="362"/>
    <n v="400"/>
    <n v="424"/>
    <n v="200"/>
    <n v="69"/>
    <n v="15"/>
    <n v="85"/>
    <n v="3018"/>
    <n v="9"/>
    <n v="0"/>
    <n v="1.3"/>
    <n v="113.9"/>
    <n v="112.6"/>
    <n v="1.3"/>
    <n v="25.4"/>
    <n v="2.14"/>
    <n v="20"/>
    <n v="1.3"/>
    <n v="13.2"/>
    <n v="7.3"/>
    <n v="9.3000000000000007"/>
    <n v="56.3"/>
    <n v="60.5"/>
    <n v="27.1"/>
    <n v="97.78"/>
    <n v="13.9"/>
    <n v="5564"/>
  </r>
  <r>
    <x v="7"/>
    <x v="7"/>
    <n v="26"/>
    <n v="76"/>
    <n v="36"/>
    <n v="40"/>
    <n v="36"/>
    <n v="1839"/>
    <n v="562"/>
    <n v="1376"/>
    <n v="41.1"/>
    <n v="220"/>
    <n v="638"/>
    <n v="34"/>
    <n v="494"/>
    <n v="562"/>
    <n v="87.5"/>
    <n v="38"/>
    <n v="198"/>
    <n v="236"/>
    <n v="882"/>
    <n v="357"/>
    <n v="91"/>
    <n v="15"/>
    <n v="144"/>
    <n v="3397"/>
    <n v="51"/>
    <n v="0"/>
    <n v="0.4"/>
    <n v="115.2"/>
    <n v="114.6"/>
    <n v="0.6"/>
    <n v="45.2"/>
    <n v="2.48"/>
    <n v="30.9"/>
    <n v="1.2"/>
    <n v="7.2"/>
    <n v="4.2"/>
    <n v="12.5"/>
    <n v="49.1"/>
    <n v="56.7"/>
    <n v="28.5"/>
    <n v="105.51"/>
    <n v="12.9"/>
    <n v="6020"/>
  </r>
  <r>
    <x v="8"/>
    <x v="8"/>
    <n v="23"/>
    <n v="70"/>
    <n v="38"/>
    <n v="32"/>
    <n v="35"/>
    <n v="1827"/>
    <n v="686"/>
    <n v="1456"/>
    <n v="46.9"/>
    <n v="147"/>
    <n v="420"/>
    <n v="35.6"/>
    <n v="315"/>
    <n v="371"/>
    <n v="84.6"/>
    <n v="56"/>
    <n v="371"/>
    <n v="427"/>
    <n v="637"/>
    <n v="308"/>
    <n v="70"/>
    <n v="56"/>
    <n v="196"/>
    <n v="3360"/>
    <n v="31"/>
    <n v="9"/>
    <n v="2.5"/>
    <n v="115"/>
    <n v="112.2"/>
    <n v="2.8"/>
    <n v="40.9"/>
    <n v="2.06"/>
    <n v="25"/>
    <n v="2.2999999999999998"/>
    <n v="14.7"/>
    <n v="8.6"/>
    <n v="12.1"/>
    <n v="52.1"/>
    <n v="56.5"/>
    <n v="32.299999999999997"/>
    <n v="101.57"/>
    <n v="15.2"/>
    <n v="5201"/>
  </r>
  <r>
    <x v="9"/>
    <x v="9"/>
    <n v="35"/>
    <n v="79"/>
    <n v="50"/>
    <n v="29"/>
    <n v="35.299999999999997"/>
    <n v="1801"/>
    <n v="529"/>
    <n v="1296"/>
    <n v="41"/>
    <n v="237"/>
    <n v="672"/>
    <n v="35.200000000000003"/>
    <n v="506"/>
    <n v="577"/>
    <n v="87.4"/>
    <n v="55"/>
    <n v="403"/>
    <n v="458"/>
    <n v="687"/>
    <n v="340"/>
    <n v="119"/>
    <n v="55"/>
    <n v="166"/>
    <n v="3555"/>
    <n v="38"/>
    <n v="3"/>
    <n v="4.4000000000000004"/>
    <n v="115.4"/>
    <n v="109.2"/>
    <n v="6.2"/>
    <n v="36.5"/>
    <n v="2.0099999999999998"/>
    <n v="26.9"/>
    <n v="2"/>
    <n v="14.3"/>
    <n v="8.3000000000000007"/>
    <n v="13.4"/>
    <n v="50.1"/>
    <n v="58.2"/>
    <n v="28.6"/>
    <n v="98.82"/>
    <n v="14.5"/>
    <n v="5737"/>
  </r>
  <r>
    <x v="10"/>
    <x v="10"/>
    <n v="29"/>
    <n v="72"/>
    <n v="46"/>
    <n v="26"/>
    <n v="35"/>
    <n v="1757"/>
    <n v="641"/>
    <n v="1217"/>
    <n v="52.6"/>
    <n v="144"/>
    <n v="338"/>
    <n v="42"/>
    <n v="338"/>
    <n v="410"/>
    <n v="82.9"/>
    <n v="209"/>
    <n v="706"/>
    <n v="922"/>
    <n v="223"/>
    <n v="194"/>
    <n v="72"/>
    <n v="50"/>
    <n v="252"/>
    <n v="3370"/>
    <n v="58"/>
    <n v="1"/>
    <n v="5.3"/>
    <n v="119.4"/>
    <n v="112.7"/>
    <n v="6.8"/>
    <n v="13"/>
    <n v="1.1599999999999999"/>
    <n v="12.4"/>
    <n v="8.6999999999999993"/>
    <n v="28.4"/>
    <n v="18.7"/>
    <n v="10.7"/>
    <n v="58.4"/>
    <n v="63"/>
    <n v="26.5"/>
    <n v="99.25"/>
    <n v="16.100000000000001"/>
    <n v="5215"/>
  </r>
  <r>
    <x v="11"/>
    <x v="11"/>
    <n v="30"/>
    <n v="74"/>
    <n v="32"/>
    <n v="42"/>
    <n v="35.200000000000003"/>
    <n v="1724"/>
    <n v="622"/>
    <n v="1221"/>
    <n v="51.1"/>
    <n v="237"/>
    <n v="533"/>
    <n v="44.6"/>
    <n v="237"/>
    <n v="289"/>
    <n v="82.5"/>
    <n v="22"/>
    <n v="296"/>
    <n v="318"/>
    <n v="311"/>
    <n v="207"/>
    <n v="59"/>
    <n v="15"/>
    <n v="118"/>
    <n v="2568"/>
    <n v="6"/>
    <n v="0"/>
    <n v="-0.9"/>
    <n v="115.4"/>
    <n v="116.8"/>
    <n v="-1.4"/>
    <n v="17.8"/>
    <n v="1.49"/>
    <n v="16.7"/>
    <n v="0.9"/>
    <n v="10.7"/>
    <n v="5.9"/>
    <n v="11.2"/>
    <n v="60.9"/>
    <n v="63.9"/>
    <n v="25.1"/>
    <n v="101.28"/>
    <n v="11.5"/>
    <n v="5493"/>
  </r>
  <r>
    <x v="12"/>
    <x v="12"/>
    <n v="23"/>
    <n v="82"/>
    <n v="52"/>
    <n v="30"/>
    <n v="32.9"/>
    <n v="1722"/>
    <n v="607"/>
    <n v="1435"/>
    <n v="42.3"/>
    <n v="238"/>
    <n v="664"/>
    <n v="35.4"/>
    <n v="271"/>
    <n v="336"/>
    <n v="81.3"/>
    <n v="41"/>
    <n v="328"/>
    <n v="377"/>
    <n v="279"/>
    <n v="205"/>
    <n v="74"/>
    <n v="25"/>
    <n v="123"/>
    <n v="2690"/>
    <n v="4"/>
    <n v="0"/>
    <n v="2"/>
    <n v="113.8"/>
    <n v="111.1"/>
    <n v="2.8"/>
    <n v="15.9"/>
    <n v="1.39"/>
    <n v="13.7"/>
    <n v="1.5"/>
    <n v="12"/>
    <n v="6.5"/>
    <n v="9.9"/>
    <n v="50.5"/>
    <n v="54.4"/>
    <n v="26.7"/>
    <n v="99.75"/>
    <n v="11.1"/>
    <n v="5610"/>
  </r>
  <r>
    <x v="13"/>
    <x v="13"/>
    <n v="37"/>
    <n v="70"/>
    <n v="41"/>
    <n v="29"/>
    <n v="32.200000000000003"/>
    <n v="1715"/>
    <n v="567"/>
    <n v="1260"/>
    <n v="44.8"/>
    <n v="308"/>
    <n v="784"/>
    <n v="39.700000000000003"/>
    <n v="280"/>
    <n v="301"/>
    <n v="93.3"/>
    <n v="42"/>
    <n v="273"/>
    <n v="308"/>
    <n v="420"/>
    <n v="203"/>
    <n v="77"/>
    <n v="28"/>
    <n v="98"/>
    <n v="2849"/>
    <n v="9"/>
    <n v="0"/>
    <n v="4.3"/>
    <n v="118.4"/>
    <n v="112.7"/>
    <n v="5.7"/>
    <n v="28.4"/>
    <n v="2.11"/>
    <n v="21.1"/>
    <n v="1.7"/>
    <n v="11.8"/>
    <n v="6.6"/>
    <n v="10"/>
    <n v="57.2"/>
    <n v="61.8"/>
    <n v="28.6"/>
    <n v="101.72"/>
    <n v="14.5"/>
    <n v="4785"/>
  </r>
  <r>
    <x v="14"/>
    <x v="11"/>
    <n v="35"/>
    <n v="77"/>
    <n v="38"/>
    <n v="39"/>
    <n v="35.9"/>
    <n v="1709"/>
    <n v="624"/>
    <n v="1309"/>
    <n v="47.7"/>
    <n v="85"/>
    <n v="254"/>
    <n v="32.799999999999997"/>
    <n v="377"/>
    <n v="439"/>
    <n v="85.7"/>
    <n v="46"/>
    <n v="246"/>
    <n v="300"/>
    <n v="339"/>
    <n v="108"/>
    <n v="62"/>
    <n v="31"/>
    <n v="146"/>
    <n v="2757"/>
    <n v="3"/>
    <n v="0"/>
    <n v="1.4"/>
    <n v="116.8"/>
    <n v="115.3"/>
    <n v="1.5"/>
    <n v="18.2"/>
    <n v="3.26"/>
    <n v="17.7"/>
    <n v="1.8"/>
    <n v="9"/>
    <n v="5.4"/>
    <n v="5.4"/>
    <n v="50.9"/>
    <n v="56.9"/>
    <n v="24.4"/>
    <n v="99.35"/>
    <n v="11.2"/>
    <n v="5740"/>
  </r>
  <r>
    <x v="15"/>
    <x v="14"/>
    <n v="40"/>
    <n v="70"/>
    <n v="44"/>
    <n v="26"/>
    <n v="34.9"/>
    <n v="1708"/>
    <n v="651"/>
    <n v="1267"/>
    <n v="51.3"/>
    <n v="147"/>
    <n v="399"/>
    <n v="37.6"/>
    <n v="259"/>
    <n v="329"/>
    <n v="78.2"/>
    <n v="70"/>
    <n v="476"/>
    <n v="546"/>
    <n v="574"/>
    <n v="259"/>
    <n v="70"/>
    <n v="42"/>
    <n v="98"/>
    <n v="3297"/>
    <n v="32"/>
    <n v="10"/>
    <n v="-0.8"/>
    <n v="112.7"/>
    <n v="114"/>
    <n v="-1.3"/>
    <n v="39.5"/>
    <n v="2.21"/>
    <n v="25.6"/>
    <n v="3.1"/>
    <n v="18.7"/>
    <n v="11.2"/>
    <n v="11.6"/>
    <n v="57.1"/>
    <n v="60.4"/>
    <n v="29.1"/>
    <n v="100.62"/>
    <n v="16.899999999999999"/>
    <n v="5129"/>
  </r>
  <r>
    <x v="16"/>
    <x v="15"/>
    <n v="28"/>
    <n v="71"/>
    <n v="55"/>
    <n v="16"/>
    <n v="31.4"/>
    <n v="1704"/>
    <n v="582"/>
    <n v="1321"/>
    <n v="44.3"/>
    <n v="234"/>
    <n v="632"/>
    <n v="36.799999999999997"/>
    <n v="298"/>
    <n v="362"/>
    <n v="82.3"/>
    <n v="57"/>
    <n v="263"/>
    <n v="320"/>
    <n v="355"/>
    <n v="149"/>
    <n v="92"/>
    <n v="14"/>
    <n v="142"/>
    <n v="2805"/>
    <n v="6"/>
    <n v="0"/>
    <n v="7.4"/>
    <n v="119.7"/>
    <n v="109.1"/>
    <n v="10.5"/>
    <n v="23.8"/>
    <n v="2.38"/>
    <n v="18"/>
    <n v="2.5"/>
    <n v="11.2"/>
    <n v="6.9"/>
    <n v="7.6"/>
    <n v="53.1"/>
    <n v="57.5"/>
    <n v="29.8"/>
    <n v="102.21"/>
    <n v="13.7"/>
    <n v="4762"/>
  </r>
  <r>
    <x v="17"/>
    <x v="10"/>
    <n v="28"/>
    <n v="65"/>
    <n v="40"/>
    <n v="25"/>
    <n v="35.4"/>
    <n v="1690"/>
    <n v="585"/>
    <n v="1203"/>
    <n v="48.8"/>
    <n v="150"/>
    <n v="397"/>
    <n v="38.299999999999997"/>
    <n v="371"/>
    <n v="449"/>
    <n v="82.1"/>
    <n v="26"/>
    <n v="163"/>
    <n v="189"/>
    <n v="475"/>
    <n v="163"/>
    <n v="59"/>
    <n v="7"/>
    <n v="137"/>
    <n v="2665"/>
    <n v="14"/>
    <n v="0"/>
    <n v="2.2000000000000002"/>
    <n v="118.3"/>
    <n v="115.7"/>
    <n v="2.6"/>
    <n v="31.8"/>
    <n v="2.9"/>
    <n v="23.5"/>
    <n v="1.2"/>
    <n v="7.2"/>
    <n v="4.2"/>
    <n v="8.1"/>
    <n v="55.1"/>
    <n v="60.5"/>
    <n v="28.9"/>
    <n v="97.79"/>
    <n v="13.8"/>
    <n v="4697"/>
  </r>
  <r>
    <x v="18"/>
    <x v="5"/>
    <n v="36"/>
    <n v="62"/>
    <n v="33"/>
    <n v="29"/>
    <n v="36.5"/>
    <n v="1649"/>
    <n v="589"/>
    <n v="1122"/>
    <n v="52.7"/>
    <n v="161"/>
    <n v="372"/>
    <n v="43"/>
    <n v="304"/>
    <n v="360"/>
    <n v="83.9"/>
    <n v="25"/>
    <n v="353"/>
    <n v="372"/>
    <n v="260"/>
    <n v="192"/>
    <n v="50"/>
    <n v="74"/>
    <n v="105"/>
    <n v="2678"/>
    <n v="5"/>
    <n v="0"/>
    <n v="-0.6"/>
    <n v="116.5"/>
    <n v="117.4"/>
    <n v="-1"/>
    <n v="18.8"/>
    <n v="1.38"/>
    <n v="15.2"/>
    <n v="1.1000000000000001"/>
    <n v="14.7"/>
    <n v="8.4"/>
    <n v="11"/>
    <n v="59.8"/>
    <n v="64.2"/>
    <n v="28.3"/>
    <n v="99.49"/>
    <n v="14.2"/>
    <n v="4697"/>
  </r>
  <r>
    <x v="19"/>
    <x v="16"/>
    <n v="25"/>
    <n v="74"/>
    <n v="42"/>
    <n v="32"/>
    <n v="29.8"/>
    <n v="1643"/>
    <n v="592"/>
    <n v="1214"/>
    <n v="48.8"/>
    <n v="148"/>
    <n v="392"/>
    <n v="37.5"/>
    <n v="311"/>
    <n v="400"/>
    <n v="78.099999999999994"/>
    <n v="89"/>
    <n v="326"/>
    <n v="414"/>
    <n v="148"/>
    <n v="155"/>
    <n v="89"/>
    <n v="111"/>
    <n v="259"/>
    <n v="2827"/>
    <n v="6"/>
    <n v="0"/>
    <n v="4.5"/>
    <n v="115.2"/>
    <n v="108.8"/>
    <n v="6.4"/>
    <n v="10.199999999999999"/>
    <n v="0.97"/>
    <n v="8.8000000000000007"/>
    <n v="3.8"/>
    <n v="13.4"/>
    <n v="8.6999999999999993"/>
    <n v="9.1"/>
    <n v="54.8"/>
    <n v="59.1"/>
    <n v="27.4"/>
    <n v="105.56"/>
    <n v="12.4"/>
    <n v="4863"/>
  </r>
  <r>
    <x v="20"/>
    <x v="17"/>
    <n v="31"/>
    <n v="78"/>
    <n v="47"/>
    <n v="31"/>
    <n v="32.700000000000003"/>
    <n v="1576"/>
    <n v="616"/>
    <n v="1186"/>
    <n v="51.9"/>
    <n v="125"/>
    <n v="328"/>
    <n v="38.9"/>
    <n v="226"/>
    <n v="304"/>
    <n v="73.400000000000006"/>
    <n v="133"/>
    <n v="406"/>
    <n v="538"/>
    <n v="265"/>
    <n v="109"/>
    <n v="70"/>
    <n v="39"/>
    <n v="187"/>
    <n v="2847"/>
    <n v="11"/>
    <n v="0"/>
    <n v="4"/>
    <n v="114.5"/>
    <n v="108.9"/>
    <n v="5.5"/>
    <n v="15.5"/>
    <n v="2.41"/>
    <n v="15.6"/>
    <n v="5.3"/>
    <n v="15.4"/>
    <n v="10.4"/>
    <n v="6.5"/>
    <n v="57.2"/>
    <n v="59.9"/>
    <n v="23.7"/>
    <n v="101.43"/>
    <n v="13"/>
    <n v="5390"/>
  </r>
  <r>
    <x v="21"/>
    <x v="15"/>
    <n v="25"/>
    <n v="75"/>
    <n v="60"/>
    <n v="15"/>
    <n v="30.7"/>
    <n v="1545"/>
    <n v="555"/>
    <n v="1178"/>
    <n v="47.2"/>
    <n v="210"/>
    <n v="533"/>
    <n v="40.1"/>
    <n v="225"/>
    <n v="255"/>
    <n v="87.8"/>
    <n v="45"/>
    <n v="165"/>
    <n v="218"/>
    <n v="503"/>
    <n v="188"/>
    <n v="90"/>
    <n v="8"/>
    <n v="143"/>
    <n v="2678"/>
    <n v="7"/>
    <n v="0"/>
    <n v="6.7"/>
    <n v="123.2"/>
    <n v="113.4"/>
    <n v="9.9"/>
    <n v="30.9"/>
    <n v="2.68"/>
    <n v="25.6"/>
    <n v="2.1"/>
    <n v="6.8"/>
    <n v="4.5"/>
    <n v="9.6"/>
    <n v="56.2"/>
    <n v="60"/>
    <n v="26.5"/>
    <n v="101.32"/>
    <n v="12.6"/>
    <n v="4865"/>
  </r>
  <r>
    <x v="22"/>
    <x v="18"/>
    <n v="25"/>
    <n v="74"/>
    <n v="35"/>
    <n v="39"/>
    <n v="33.1"/>
    <n v="1510"/>
    <n v="511"/>
    <n v="1117"/>
    <n v="45.3"/>
    <n v="215"/>
    <n v="585"/>
    <n v="37"/>
    <n v="274"/>
    <n v="303"/>
    <n v="90.2"/>
    <n v="22"/>
    <n v="252"/>
    <n v="274"/>
    <n v="333"/>
    <n v="178"/>
    <n v="67"/>
    <n v="15"/>
    <n v="155"/>
    <n v="2412"/>
    <n v="2"/>
    <n v="0"/>
    <n v="-1.9"/>
    <n v="111.5"/>
    <n v="113.9"/>
    <n v="-2.5"/>
    <n v="19.7"/>
    <n v="1.86"/>
    <n v="18.8"/>
    <n v="1"/>
    <n v="9.5"/>
    <n v="5.3"/>
    <n v="10.1"/>
    <n v="55"/>
    <n v="60.1"/>
    <n v="23.7"/>
    <n v="105.37"/>
    <n v="10.3"/>
    <n v="5375"/>
  </r>
  <r>
    <x v="23"/>
    <x v="0"/>
    <n v="24"/>
    <n v="69"/>
    <n v="55"/>
    <n v="14"/>
    <n v="32.4"/>
    <n v="1490"/>
    <n v="566"/>
    <n v="1166"/>
    <n v="48.4"/>
    <n v="124"/>
    <n v="338"/>
    <n v="36.5"/>
    <n v="235"/>
    <n v="297"/>
    <n v="78.900000000000006"/>
    <n v="62"/>
    <n v="311"/>
    <n v="366"/>
    <n v="352"/>
    <n v="152"/>
    <n v="110"/>
    <n v="48"/>
    <n v="159"/>
    <n v="2788"/>
    <n v="3"/>
    <n v="0"/>
    <n v="6.6"/>
    <n v="116.7"/>
    <n v="106.5"/>
    <n v="10.199999999999999"/>
    <n v="23.4"/>
    <n v="2.37"/>
    <n v="19.7"/>
    <n v="2.6"/>
    <n v="13.1"/>
    <n v="7.9"/>
    <n v="8.3000000000000007"/>
    <n v="53.7"/>
    <n v="57.3"/>
    <n v="27"/>
    <n v="102.44"/>
    <n v="13.8"/>
    <n v="4760"/>
  </r>
  <r>
    <x v="24"/>
    <x v="14"/>
    <n v="27"/>
    <n v="73"/>
    <n v="46"/>
    <n v="27"/>
    <n v="34.9"/>
    <n v="1475"/>
    <n v="475"/>
    <n v="1037"/>
    <n v="46"/>
    <n v="197"/>
    <n v="533"/>
    <n v="37.700000000000003"/>
    <n v="321"/>
    <n v="365"/>
    <n v="87.7"/>
    <n v="58"/>
    <n v="270"/>
    <n v="329"/>
    <n v="423"/>
    <n v="175"/>
    <n v="80"/>
    <n v="22"/>
    <n v="153"/>
    <n v="2635"/>
    <n v="9"/>
    <n v="1"/>
    <n v="2.7"/>
    <n v="117.1"/>
    <n v="113.3"/>
    <n v="3.8"/>
    <n v="24.1"/>
    <n v="2.38"/>
    <n v="23.6"/>
    <n v="2.5"/>
    <n v="10.1"/>
    <n v="6.5"/>
    <n v="9.9"/>
    <n v="55.6"/>
    <n v="61.6"/>
    <n v="23"/>
    <n v="99.86"/>
    <n v="11.8"/>
    <n v="5303"/>
  </r>
  <r>
    <x v="25"/>
    <x v="19"/>
    <n v="27"/>
    <n v="62"/>
    <n v="27"/>
    <n v="35"/>
    <n v="36.1"/>
    <n v="1457"/>
    <n v="539"/>
    <n v="1166"/>
    <n v="46.3"/>
    <n v="118"/>
    <n v="378"/>
    <n v="31"/>
    <n v="260"/>
    <n v="316"/>
    <n v="82.7"/>
    <n v="56"/>
    <n v="242"/>
    <n v="298"/>
    <n v="391"/>
    <n v="174"/>
    <n v="93"/>
    <n v="25"/>
    <n v="161"/>
    <n v="2579"/>
    <n v="9"/>
    <n v="0"/>
    <n v="-1.1000000000000001"/>
    <n v="113.7"/>
    <n v="114.9"/>
    <n v="-1.2"/>
    <n v="26.2"/>
    <n v="2.25"/>
    <n v="21"/>
    <n v="2.2999999999999998"/>
    <n v="10.6"/>
    <n v="6.4"/>
    <n v="9.3000000000000007"/>
    <n v="51.4"/>
    <n v="56"/>
    <n v="27.4"/>
    <n v="102.22"/>
    <n v="11.9"/>
    <n v="4768"/>
  </r>
  <r>
    <x v="26"/>
    <x v="12"/>
    <n v="22"/>
    <n v="76"/>
    <n v="52"/>
    <n v="24"/>
    <n v="31.5"/>
    <n v="1452"/>
    <n v="570"/>
    <n v="1140"/>
    <n v="49.6"/>
    <n v="23"/>
    <n v="91"/>
    <n v="23.3"/>
    <n v="296"/>
    <n v="426"/>
    <n v="69.2"/>
    <n v="258"/>
    <n v="524"/>
    <n v="783"/>
    <n v="372"/>
    <n v="198"/>
    <n v="84"/>
    <n v="61"/>
    <n v="213"/>
    <n v="3192"/>
    <n v="45"/>
    <n v="4"/>
    <n v="5.4"/>
    <n v="114.9"/>
    <n v="107.4"/>
    <n v="7.6"/>
    <n v="23.8"/>
    <n v="1.92"/>
    <n v="19.600000000000001"/>
    <n v="9.9"/>
    <n v="21"/>
    <n v="15.3"/>
    <n v="10.199999999999999"/>
    <n v="50.5"/>
    <n v="54.5"/>
    <n v="25.9"/>
    <n v="99.47"/>
    <n v="15.3"/>
    <n v="4978"/>
  </r>
  <r>
    <x v="27"/>
    <x v="20"/>
    <n v="23"/>
    <n v="60"/>
    <n v="33"/>
    <n v="27"/>
    <n v="33.700000000000003"/>
    <n v="1452"/>
    <n v="540"/>
    <n v="1164"/>
    <n v="46.3"/>
    <n v="102"/>
    <n v="354"/>
    <n v="29.5"/>
    <n v="270"/>
    <n v="312"/>
    <n v="87.1"/>
    <n v="54"/>
    <n v="288"/>
    <n v="342"/>
    <n v="282"/>
    <n v="138"/>
    <n v="78"/>
    <n v="24"/>
    <n v="150"/>
    <n v="2436"/>
    <n v="3"/>
    <n v="0"/>
    <n v="4.0999999999999996"/>
    <n v="111.8"/>
    <n v="105.8"/>
    <n v="6"/>
    <n v="24.7"/>
    <n v="2.06"/>
    <n v="16.5"/>
    <n v="2.7"/>
    <n v="14.6"/>
    <n v="8.5"/>
    <n v="8"/>
    <n v="50.7"/>
    <n v="55.8"/>
    <n v="30.6"/>
    <n v="97.65"/>
    <n v="15.3"/>
    <n v="4116"/>
  </r>
  <r>
    <x v="28"/>
    <x v="3"/>
    <n v="34"/>
    <n v="58"/>
    <n v="32"/>
    <n v="26"/>
    <n v="36.1"/>
    <n v="1444"/>
    <n v="447"/>
    <n v="992"/>
    <n v="44.8"/>
    <n v="197"/>
    <n v="522"/>
    <n v="37.6"/>
    <n v="360"/>
    <n v="394"/>
    <n v="92.1"/>
    <n v="29"/>
    <n v="244"/>
    <n v="273"/>
    <n v="412"/>
    <n v="162"/>
    <n v="70"/>
    <n v="12"/>
    <n v="99"/>
    <n v="2465"/>
    <n v="14"/>
    <n v="2"/>
    <n v="0.9"/>
    <n v="115.3"/>
    <n v="114.6"/>
    <n v="0.7"/>
    <n v="29.9"/>
    <n v="2.5299999999999998"/>
    <n v="23.8"/>
    <n v="1.4"/>
    <n v="10.8"/>
    <n v="6.3"/>
    <n v="9.4"/>
    <n v="54.7"/>
    <n v="62.1"/>
    <n v="26.9"/>
    <n v="100.86"/>
    <n v="14.4"/>
    <n v="4407"/>
  </r>
  <r>
    <x v="29"/>
    <x v="10"/>
    <n v="28"/>
    <n v="82"/>
    <n v="51"/>
    <n v="31"/>
    <n v="37"/>
    <n v="1443"/>
    <n v="590"/>
    <n v="1181"/>
    <n v="50"/>
    <n v="164"/>
    <n v="459"/>
    <n v="35.4"/>
    <n v="98"/>
    <n v="115"/>
    <n v="81.400000000000006"/>
    <n v="74"/>
    <n v="189"/>
    <n v="262"/>
    <n v="303"/>
    <n v="131"/>
    <n v="74"/>
    <n v="41"/>
    <n v="123"/>
    <n v="2435"/>
    <n v="1"/>
    <n v="0"/>
    <n v="4.0999999999999996"/>
    <n v="118.4"/>
    <n v="112.9"/>
    <n v="5.6"/>
    <n v="14.1"/>
    <n v="2.3199999999999998"/>
    <n v="18.3"/>
    <n v="2.4"/>
    <n v="6.3"/>
    <n v="4.3"/>
    <n v="7.9"/>
    <n v="57"/>
    <n v="58.5"/>
    <n v="19.2"/>
    <n v="98.1"/>
    <n v="9"/>
    <n v="6200"/>
  </r>
  <r>
    <x v="30"/>
    <x v="2"/>
    <n v="28"/>
    <n v="67"/>
    <n v="41"/>
    <n v="26"/>
    <n v="36.1"/>
    <n v="1434"/>
    <n v="529"/>
    <n v="1119"/>
    <n v="47.4"/>
    <n v="154"/>
    <n v="395"/>
    <n v="39.299999999999997"/>
    <n v="221"/>
    <n v="248"/>
    <n v="88.6"/>
    <n v="47"/>
    <n v="214"/>
    <n v="261"/>
    <n v="402"/>
    <n v="141"/>
    <n v="94"/>
    <n v="34"/>
    <n v="127"/>
    <n v="2586"/>
    <n v="5"/>
    <n v="0"/>
    <n v="4.9000000000000004"/>
    <n v="122"/>
    <n v="115.5"/>
    <n v="6.5"/>
    <n v="22.3"/>
    <n v="2.92"/>
    <n v="22.9"/>
    <n v="1.9"/>
    <n v="8.4"/>
    <n v="5.3"/>
    <n v="7.8"/>
    <n v="54.3"/>
    <n v="58.4"/>
    <n v="23.5"/>
    <n v="100.72"/>
    <n v="11.1"/>
    <n v="5075"/>
  </r>
  <r>
    <x v="31"/>
    <x v="6"/>
    <n v="27"/>
    <n v="78"/>
    <n v="36"/>
    <n v="42"/>
    <n v="34.299999999999997"/>
    <n v="1412"/>
    <n v="538"/>
    <n v="1115"/>
    <n v="48.5"/>
    <n v="78"/>
    <n v="218"/>
    <n v="35.700000000000003"/>
    <n v="250"/>
    <n v="328"/>
    <n v="76.5"/>
    <n v="187"/>
    <n v="562"/>
    <n v="749"/>
    <n v="335"/>
    <n v="164"/>
    <n v="101"/>
    <n v="55"/>
    <n v="164"/>
    <n v="3104"/>
    <n v="38"/>
    <n v="1"/>
    <n v="0.3"/>
    <n v="110.9"/>
    <n v="110.8"/>
    <n v="0.1"/>
    <n v="20.399999999999999"/>
    <n v="2.09"/>
    <n v="19.2"/>
    <n v="6.9"/>
    <n v="21.4"/>
    <n v="14.1"/>
    <n v="9.1999999999999993"/>
    <n v="52.1"/>
    <n v="56.1"/>
    <n v="23.2"/>
    <n v="97.02"/>
    <n v="13.7"/>
    <n v="5414"/>
  </r>
  <r>
    <x v="32"/>
    <x v="14"/>
    <n v="26"/>
    <n v="50"/>
    <n v="31"/>
    <n v="19"/>
    <n v="35.4"/>
    <n v="1410"/>
    <n v="460"/>
    <n v="1025"/>
    <n v="45"/>
    <n v="175"/>
    <n v="480"/>
    <n v="36.799999999999997"/>
    <n v="310"/>
    <n v="395"/>
    <n v="78.2"/>
    <n v="40"/>
    <n v="370"/>
    <n v="410"/>
    <n v="385"/>
    <n v="180"/>
    <n v="90"/>
    <n v="20"/>
    <n v="125"/>
    <n v="2625"/>
    <n v="21"/>
    <n v="5"/>
    <n v="6.9"/>
    <n v="119.6"/>
    <n v="110.5"/>
    <n v="9.1"/>
    <n v="34.200000000000003"/>
    <n v="2.14"/>
    <n v="21.8"/>
    <n v="2.2999999999999998"/>
    <n v="19.8"/>
    <n v="11.2"/>
    <n v="10.199999999999999"/>
    <n v="53.6"/>
    <n v="58.7"/>
    <n v="32.799999999999997"/>
    <n v="100.22"/>
    <n v="17"/>
    <n v="3696"/>
  </r>
  <r>
    <x v="33"/>
    <x v="2"/>
    <n v="26"/>
    <n v="77"/>
    <n v="47"/>
    <n v="30"/>
    <n v="33.700000000000003"/>
    <n v="1401"/>
    <n v="531"/>
    <n v="1047"/>
    <n v="50.4"/>
    <n v="193"/>
    <n v="493"/>
    <n v="39.5"/>
    <n v="146"/>
    <n v="193"/>
    <n v="76.8"/>
    <n v="139"/>
    <n v="400"/>
    <n v="539"/>
    <n v="162"/>
    <n v="108"/>
    <n v="46"/>
    <n v="39"/>
    <n v="154"/>
    <n v="2456"/>
    <n v="15"/>
    <n v="0"/>
    <n v="3.4"/>
    <n v="119.8"/>
    <n v="115.4"/>
    <n v="4.4000000000000004"/>
    <n v="8.4"/>
    <n v="1.59"/>
    <n v="11.8"/>
    <n v="5.5"/>
    <n v="14.6"/>
    <n v="10.3"/>
    <n v="7.4"/>
    <n v="59.6"/>
    <n v="61.7"/>
    <n v="19.7"/>
    <n v="101.52"/>
    <n v="10.1"/>
    <n v="5494"/>
  </r>
  <r>
    <x v="34"/>
    <x v="4"/>
    <n v="28"/>
    <n v="63"/>
    <n v="46"/>
    <n v="17"/>
    <n v="34.299999999999997"/>
    <n v="1399"/>
    <n v="517"/>
    <n v="1115"/>
    <n v="46.3"/>
    <n v="113"/>
    <n v="359"/>
    <n v="32.4"/>
    <n v="246"/>
    <n v="321"/>
    <n v="76.400000000000006"/>
    <n v="82"/>
    <n v="284"/>
    <n v="365"/>
    <n v="284"/>
    <n v="164"/>
    <n v="76"/>
    <n v="19"/>
    <n v="151"/>
    <n v="2381"/>
    <n v="5"/>
    <n v="0"/>
    <n v="6.4"/>
    <n v="121.1"/>
    <n v="111.7"/>
    <n v="9.5"/>
    <n v="20.399999999999999"/>
    <n v="1.77"/>
    <n v="16.8"/>
    <n v="3.7"/>
    <n v="12.6"/>
    <n v="8.1999999999999993"/>
    <n v="9.5"/>
    <n v="51.5"/>
    <n v="55.5"/>
    <n v="28.2"/>
    <n v="98.57"/>
    <n v="11.4"/>
    <n v="4424"/>
  </r>
  <r>
    <x v="35"/>
    <x v="21"/>
    <n v="25"/>
    <n v="68"/>
    <n v="15"/>
    <n v="53"/>
    <n v="29.4"/>
    <n v="1394"/>
    <n v="456"/>
    <n v="1054"/>
    <n v="43.2"/>
    <n v="238"/>
    <n v="619"/>
    <n v="37.799999999999997"/>
    <n v="245"/>
    <n v="272"/>
    <n v="88.3"/>
    <n v="34"/>
    <n v="170"/>
    <n v="204"/>
    <n v="306"/>
    <n v="204"/>
    <n v="88"/>
    <n v="27"/>
    <n v="204"/>
    <n v="2224"/>
    <n v="1"/>
    <n v="0"/>
    <n v="-8.1999999999999993"/>
    <n v="104.8"/>
    <n v="117.9"/>
    <n v="-13.1"/>
    <n v="25.4"/>
    <n v="1.49"/>
    <n v="18"/>
    <n v="1.4"/>
    <n v="8"/>
    <n v="4.5999999999999996"/>
    <n v="12.1"/>
    <n v="54.4"/>
    <n v="59.1"/>
    <n v="28.1"/>
    <n v="103.95"/>
    <n v="10.7"/>
    <n v="4337"/>
  </r>
  <r>
    <x v="36"/>
    <x v="22"/>
    <n v="24"/>
    <n v="52"/>
    <n v="20"/>
    <n v="32"/>
    <n v="37.700000000000003"/>
    <n v="1368"/>
    <n v="478"/>
    <n v="1092"/>
    <n v="43.7"/>
    <n v="161"/>
    <n v="478"/>
    <n v="33.700000000000003"/>
    <n v="255"/>
    <n v="291"/>
    <n v="87.9"/>
    <n v="16"/>
    <n v="161"/>
    <n v="172"/>
    <n v="317"/>
    <n v="125"/>
    <n v="94"/>
    <n v="21"/>
    <n v="114"/>
    <n v="2267"/>
    <n v="8"/>
    <n v="1"/>
    <n v="-2.4"/>
    <n v="113.8"/>
    <n v="117.4"/>
    <n v="-3.5"/>
    <n v="27.6"/>
    <n v="2.56"/>
    <n v="19.2"/>
    <n v="0.7"/>
    <n v="8.6999999999999993"/>
    <n v="4.5"/>
    <n v="7.5"/>
    <n v="51.1"/>
    <n v="56.2"/>
    <n v="29.3"/>
    <n v="98.34"/>
    <n v="12.7"/>
    <n v="4024"/>
  </r>
  <r>
    <x v="37"/>
    <x v="17"/>
    <n v="25"/>
    <n v="73"/>
    <n v="46"/>
    <n v="27"/>
    <n v="33.6"/>
    <n v="1358"/>
    <n v="475"/>
    <n v="1007"/>
    <n v="47.3"/>
    <n v="219"/>
    <n v="562"/>
    <n v="38.799999999999997"/>
    <n v="190"/>
    <n v="219"/>
    <n v="85.1"/>
    <n v="44"/>
    <n v="219"/>
    <n v="256"/>
    <n v="672"/>
    <n v="117"/>
    <n v="102"/>
    <n v="51"/>
    <n v="95"/>
    <n v="3022"/>
    <n v="31"/>
    <n v="0"/>
    <n v="3"/>
    <n v="117.7"/>
    <n v="114.2"/>
    <n v="3.5"/>
    <n v="38.4"/>
    <n v="5.61"/>
    <n v="35.799999999999997"/>
    <n v="1.7"/>
    <n v="8.6999999999999993"/>
    <n v="5.2"/>
    <n v="6.4"/>
    <n v="58.2"/>
    <n v="61.6"/>
    <n v="21"/>
    <n v="100.82"/>
    <n v="14.3"/>
    <n v="5165"/>
  </r>
  <r>
    <x v="38"/>
    <x v="18"/>
    <n v="34"/>
    <n v="73"/>
    <n v="34"/>
    <n v="39"/>
    <n v="31.2"/>
    <n v="1351"/>
    <n v="548"/>
    <n v="1037"/>
    <n v="53"/>
    <n v="131"/>
    <n v="321"/>
    <n v="40.200000000000003"/>
    <n v="117"/>
    <n v="146"/>
    <n v="80.5"/>
    <n v="175"/>
    <n v="555"/>
    <n v="737"/>
    <n v="256"/>
    <n v="117"/>
    <n v="58"/>
    <n v="51"/>
    <n v="161"/>
    <n v="2832"/>
    <n v="45"/>
    <n v="1"/>
    <n v="-1.3"/>
    <n v="113.6"/>
    <n v="116"/>
    <n v="-2.4"/>
    <n v="16.5"/>
    <n v="2.15"/>
    <n v="17.3"/>
    <n v="7.6"/>
    <n v="22.8"/>
    <n v="15.4"/>
    <n v="8.1"/>
    <n v="59.2"/>
    <n v="61.1"/>
    <n v="22.1"/>
    <n v="104.11"/>
    <n v="13.6"/>
    <n v="4950"/>
  </r>
  <r>
    <x v="39"/>
    <x v="23"/>
    <n v="26"/>
    <n v="70"/>
    <n v="28"/>
    <n v="42"/>
    <n v="32.700000000000003"/>
    <n v="1351"/>
    <n v="476"/>
    <n v="1127"/>
    <n v="42.6"/>
    <n v="217"/>
    <n v="595"/>
    <n v="36.299999999999997"/>
    <n v="175"/>
    <n v="196"/>
    <n v="90.2"/>
    <n v="28"/>
    <n v="161"/>
    <n v="189"/>
    <n v="336"/>
    <n v="140"/>
    <n v="63"/>
    <n v="7"/>
    <n v="119"/>
    <n v="2135"/>
    <n v="2"/>
    <n v="0"/>
    <n v="-3.1"/>
    <n v="108.8"/>
    <n v="113.4"/>
    <n v="-4.5999999999999996"/>
    <n v="24.1"/>
    <n v="2.36"/>
    <n v="20.100000000000001"/>
    <n v="1"/>
    <n v="6.9"/>
    <n v="3.9"/>
    <n v="8.5"/>
    <n v="52.1"/>
    <n v="55.7"/>
    <n v="24.1"/>
    <n v="99.72"/>
    <n v="10.6"/>
    <n v="4760"/>
  </r>
  <r>
    <x v="40"/>
    <x v="9"/>
    <n v="28"/>
    <n v="80"/>
    <n v="50"/>
    <n v="30"/>
    <n v="32.799999999999997"/>
    <n v="1344"/>
    <n v="592"/>
    <n v="944"/>
    <n v="62.8"/>
    <n v="0"/>
    <n v="0"/>
    <n v="0"/>
    <n v="160"/>
    <n v="240"/>
    <n v="66.099999999999994"/>
    <n v="304"/>
    <n v="712"/>
    <n v="1008"/>
    <n v="216"/>
    <n v="128"/>
    <n v="56"/>
    <n v="88"/>
    <n v="168"/>
    <n v="3184"/>
    <n v="59"/>
    <n v="1"/>
    <n v="6.4"/>
    <n v="116.5"/>
    <n v="107.1"/>
    <n v="9.4"/>
    <n v="12.1"/>
    <n v="1.69"/>
    <n v="15.5"/>
    <n v="12.2"/>
    <n v="27.1"/>
    <n v="19.899999999999999"/>
    <n v="9.1999999999999993"/>
    <n v="62.8"/>
    <n v="64.099999999999994"/>
    <n v="19.2"/>
    <n v="98.55"/>
    <n v="15.7"/>
    <n v="5392"/>
  </r>
  <r>
    <x v="41"/>
    <x v="8"/>
    <n v="28"/>
    <n v="82"/>
    <n v="44"/>
    <n v="38"/>
    <n v="27.8"/>
    <n v="1337"/>
    <n v="459"/>
    <n v="1074"/>
    <n v="43"/>
    <n v="320"/>
    <n v="763"/>
    <n v="41.6"/>
    <n v="98"/>
    <n v="139"/>
    <n v="67.900000000000006"/>
    <n v="49"/>
    <n v="164"/>
    <n v="213"/>
    <n v="139"/>
    <n v="82"/>
    <n v="74"/>
    <n v="8"/>
    <n v="123"/>
    <n v="1952"/>
    <n v="1"/>
    <n v="0"/>
    <n v="2.1"/>
    <n v="113.3"/>
    <n v="110.2"/>
    <n v="3.1"/>
    <n v="8.9"/>
    <n v="1.67"/>
    <n v="10.3"/>
    <n v="2"/>
    <n v="6.9"/>
    <n v="4.5"/>
    <n v="6.2"/>
    <n v="57.9"/>
    <n v="59"/>
    <n v="21.5"/>
    <n v="102.76"/>
    <n v="9.1"/>
    <n v="4898"/>
  </r>
  <r>
    <x v="42"/>
    <x v="11"/>
    <n v="29"/>
    <n v="70"/>
    <n v="36"/>
    <n v="34"/>
    <n v="34.700000000000003"/>
    <n v="1337"/>
    <n v="525"/>
    <n v="896"/>
    <n v="59"/>
    <n v="63"/>
    <n v="154"/>
    <n v="41.7"/>
    <n v="217"/>
    <n v="287"/>
    <n v="75.400000000000006"/>
    <n v="266"/>
    <n v="707"/>
    <n v="973"/>
    <n v="420"/>
    <n v="203"/>
    <n v="49"/>
    <n v="28"/>
    <n v="231"/>
    <n v="3157"/>
    <n v="61"/>
    <n v="10"/>
    <n v="2.1"/>
    <n v="116.5"/>
    <n v="113.9"/>
    <n v="2.6"/>
    <n v="25.1"/>
    <n v="2.09"/>
    <n v="25.7"/>
    <n v="11"/>
    <n v="28.6"/>
    <n v="19.899999999999999"/>
    <n v="12.3"/>
    <n v="62.7"/>
    <n v="65.5"/>
    <n v="21.3"/>
    <n v="99.78"/>
    <n v="16.399999999999999"/>
    <n v="5054"/>
  </r>
  <r>
    <x v="43"/>
    <x v="10"/>
    <n v="27"/>
    <n v="74"/>
    <n v="45"/>
    <n v="29"/>
    <n v="36.6"/>
    <n v="1332"/>
    <n v="488"/>
    <n v="1029"/>
    <n v="47.6"/>
    <n v="170"/>
    <n v="459"/>
    <n v="37.200000000000003"/>
    <n v="185"/>
    <n v="229"/>
    <n v="81"/>
    <n v="96"/>
    <n v="259"/>
    <n v="355"/>
    <n v="163"/>
    <n v="104"/>
    <n v="111"/>
    <n v="67"/>
    <n v="170"/>
    <n v="2427"/>
    <n v="1"/>
    <n v="0"/>
    <n v="4.0999999999999996"/>
    <n v="117.7"/>
    <n v="112.3"/>
    <n v="5.4"/>
    <n v="8.4"/>
    <n v="1.61"/>
    <n v="11.8"/>
    <n v="3.7"/>
    <n v="9.8000000000000007"/>
    <n v="6.7"/>
    <n v="7.3"/>
    <n v="55.9"/>
    <n v="59.1"/>
    <n v="19.5"/>
    <n v="97.73"/>
    <n v="9.3000000000000007"/>
    <n v="5511"/>
  </r>
  <r>
    <x v="44"/>
    <x v="23"/>
    <n v="22"/>
    <n v="72"/>
    <n v="32"/>
    <n v="40"/>
    <n v="31.3"/>
    <n v="1332"/>
    <n v="497"/>
    <n v="1102"/>
    <n v="45.2"/>
    <n v="144"/>
    <n v="475"/>
    <n v="31.1"/>
    <n v="187"/>
    <n v="245"/>
    <n v="78.5"/>
    <n v="65"/>
    <n v="259"/>
    <n v="324"/>
    <n v="202"/>
    <n v="151"/>
    <n v="65"/>
    <n v="14"/>
    <n v="122"/>
    <n v="2102"/>
    <n v="3"/>
    <n v="0"/>
    <n v="-1.9"/>
    <n v="111.4"/>
    <n v="114.4"/>
    <n v="-3"/>
    <n v="13.8"/>
    <n v="1.32"/>
    <n v="12.7"/>
    <n v="2.9"/>
    <n v="11.4"/>
    <n v="7"/>
    <n v="9.6999999999999993"/>
    <n v="51.9"/>
    <n v="55.1"/>
    <n v="25"/>
    <n v="99.88"/>
    <n v="10.199999999999999"/>
    <n v="4688"/>
  </r>
  <r>
    <x v="45"/>
    <x v="16"/>
    <n v="26"/>
    <n v="69"/>
    <n v="38"/>
    <n v="31"/>
    <n v="32"/>
    <n v="1325"/>
    <n v="490"/>
    <n v="1021"/>
    <n v="48.4"/>
    <n v="166"/>
    <n v="421"/>
    <n v="39.200000000000003"/>
    <n v="179"/>
    <n v="200"/>
    <n v="89.4"/>
    <n v="62"/>
    <n v="359"/>
    <n v="421"/>
    <n v="366"/>
    <n v="166"/>
    <n v="83"/>
    <n v="28"/>
    <n v="166"/>
    <n v="2539"/>
    <n v="10"/>
    <n v="1"/>
    <n v="2.1"/>
    <n v="116.1"/>
    <n v="113.3"/>
    <n v="2.8"/>
    <n v="23.5"/>
    <n v="2.1800000000000002"/>
    <n v="22.7"/>
    <n v="2.6"/>
    <n v="15"/>
    <n v="8.8000000000000007"/>
    <n v="10.4"/>
    <n v="56.5"/>
    <n v="60"/>
    <n v="22.7"/>
    <n v="104.58"/>
    <n v="13.1"/>
    <n v="4809"/>
  </r>
  <r>
    <x v="46"/>
    <x v="15"/>
    <n v="23"/>
    <n v="71"/>
    <n v="58"/>
    <n v="13"/>
    <n v="30.5"/>
    <n v="1314"/>
    <n v="504"/>
    <n v="909"/>
    <n v="55.7"/>
    <n v="85"/>
    <n v="227"/>
    <n v="37"/>
    <n v="220"/>
    <n v="305"/>
    <n v="72.5"/>
    <n v="163"/>
    <n v="497"/>
    <n v="660"/>
    <n v="227"/>
    <n v="142"/>
    <n v="64"/>
    <n v="114"/>
    <n v="142"/>
    <n v="2826"/>
    <n v="37"/>
    <n v="0"/>
    <n v="7.7"/>
    <n v="120.5"/>
    <n v="108.6"/>
    <n v="11.9"/>
    <n v="14.9"/>
    <n v="1.56"/>
    <n v="16.100000000000001"/>
    <n v="7.6"/>
    <n v="21.3"/>
    <n v="14.7"/>
    <n v="10.3"/>
    <n v="60.4"/>
    <n v="63.3"/>
    <n v="22.6"/>
    <n v="102.16"/>
    <n v="15.1"/>
    <n v="4609"/>
  </r>
  <r>
    <x v="47"/>
    <x v="9"/>
    <n v="32"/>
    <n v="60"/>
    <n v="39"/>
    <n v="21"/>
    <n v="32.6"/>
    <n v="1308"/>
    <n v="456"/>
    <n v="948"/>
    <n v="48.4"/>
    <n v="180"/>
    <n v="426"/>
    <n v="41.8"/>
    <n v="216"/>
    <n v="264"/>
    <n v="80.400000000000006"/>
    <n v="24"/>
    <n v="168"/>
    <n v="192"/>
    <n v="126"/>
    <n v="108"/>
    <n v="72"/>
    <n v="12"/>
    <n v="114"/>
    <n v="1860"/>
    <n v="1"/>
    <n v="0"/>
    <n v="5.9"/>
    <n v="116.2"/>
    <n v="107.4"/>
    <n v="8.8000000000000007"/>
    <n v="9.6"/>
    <n v="1.1599999999999999"/>
    <n v="9.6999999999999993"/>
    <n v="1.1000000000000001"/>
    <n v="8.5"/>
    <n v="4.9000000000000004"/>
    <n v="8.4"/>
    <n v="57.8"/>
    <n v="61.5"/>
    <n v="25.5"/>
    <n v="99.69"/>
    <n v="11"/>
    <n v="4063"/>
  </r>
  <r>
    <x v="48"/>
    <x v="24"/>
    <n v="27"/>
    <n v="64"/>
    <n v="16"/>
    <n v="48"/>
    <n v="31.7"/>
    <n v="1299"/>
    <n v="467"/>
    <n v="1088"/>
    <n v="43.1"/>
    <n v="141"/>
    <n v="448"/>
    <n v="31.3"/>
    <n v="224"/>
    <n v="256"/>
    <n v="87"/>
    <n v="70"/>
    <n v="410"/>
    <n v="480"/>
    <n v="250"/>
    <n v="134"/>
    <n v="45"/>
    <n v="45"/>
    <n v="96"/>
    <n v="2381"/>
    <n v="14"/>
    <n v="1"/>
    <n v="-4"/>
    <n v="108.2"/>
    <n v="113.6"/>
    <n v="-5.5"/>
    <n v="20.3"/>
    <n v="1.82"/>
    <n v="15.7"/>
    <n v="3.3"/>
    <n v="18.899999999999999"/>
    <n v="11"/>
    <n v="8.6"/>
    <n v="49.5"/>
    <n v="54.1"/>
    <n v="27.3"/>
    <n v="100.58"/>
    <n v="13.5"/>
    <n v="4239"/>
  </r>
  <r>
    <x v="49"/>
    <x v="1"/>
    <n v="30"/>
    <n v="69"/>
    <n v="44"/>
    <n v="25"/>
    <n v="32.299999999999997"/>
    <n v="1290"/>
    <n v="455"/>
    <n v="938"/>
    <n v="48.5"/>
    <n v="110"/>
    <n v="317"/>
    <n v="34.4"/>
    <n v="269"/>
    <n v="338"/>
    <n v="80.599999999999994"/>
    <n v="145"/>
    <n v="345"/>
    <n v="490"/>
    <n v="324"/>
    <n v="193"/>
    <n v="48"/>
    <n v="14"/>
    <n v="173"/>
    <n v="2353"/>
    <n v="14"/>
    <n v="0"/>
    <n v="2.4"/>
    <n v="115"/>
    <n v="111.6"/>
    <n v="3.4"/>
    <n v="22.8"/>
    <n v="1.65"/>
    <n v="20.100000000000001"/>
    <n v="6.5"/>
    <n v="14.9"/>
    <n v="10.8"/>
    <n v="12.2"/>
    <n v="54.2"/>
    <n v="59.3"/>
    <n v="24.6"/>
    <n v="98.45"/>
    <n v="12.4"/>
    <n v="4569"/>
  </r>
  <r>
    <x v="50"/>
    <x v="25"/>
    <n v="32"/>
    <n v="51"/>
    <n v="30"/>
    <n v="21"/>
    <n v="33.4"/>
    <n v="1260"/>
    <n v="469"/>
    <n v="908"/>
    <n v="51.6"/>
    <n v="36"/>
    <n v="122"/>
    <n v="28.2"/>
    <n v="286"/>
    <n v="367"/>
    <n v="77.5"/>
    <n v="133"/>
    <n v="454"/>
    <n v="592"/>
    <n v="179"/>
    <n v="112"/>
    <n v="61"/>
    <n v="112"/>
    <n v="97"/>
    <n v="2637"/>
    <n v="36"/>
    <n v="1"/>
    <n v="0.5"/>
    <n v="113.3"/>
    <n v="112.9"/>
    <n v="0.5"/>
    <n v="18.2"/>
    <n v="1.6"/>
    <n v="13.3"/>
    <n v="8.3000000000000007"/>
    <n v="25.4"/>
    <n v="17.3"/>
    <n v="8.3000000000000007"/>
    <n v="53.6"/>
    <n v="58.8"/>
    <n v="30.1"/>
    <n v="98.83"/>
    <n v="17.899999999999999"/>
    <n v="3515"/>
  </r>
  <r>
    <x v="51"/>
    <x v="26"/>
    <n v="23"/>
    <n v="65"/>
    <n v="26"/>
    <n v="39"/>
    <n v="32.799999999999997"/>
    <n v="1255"/>
    <n v="475"/>
    <n v="1066"/>
    <n v="44.6"/>
    <n v="78"/>
    <n v="280"/>
    <n v="27.1"/>
    <n v="228"/>
    <n v="299"/>
    <n v="75.5"/>
    <n v="111"/>
    <n v="390"/>
    <n v="501"/>
    <n v="377"/>
    <n v="182"/>
    <n v="91"/>
    <n v="65"/>
    <n v="111"/>
    <n v="2704"/>
    <n v="26"/>
    <n v="1"/>
    <n v="-2"/>
    <n v="107.4"/>
    <n v="110.1"/>
    <n v="-2.7"/>
    <n v="27.9"/>
    <n v="2.04"/>
    <n v="21.5"/>
    <n v="4.7"/>
    <n v="17.600000000000001"/>
    <n v="11.1"/>
    <n v="10.5"/>
    <n v="48.2"/>
    <n v="52.3"/>
    <n v="26.2"/>
    <n v="102.48"/>
    <n v="13.9"/>
    <n v="4554"/>
  </r>
  <r>
    <x v="52"/>
    <x v="4"/>
    <n v="30"/>
    <n v="76"/>
    <n v="58"/>
    <n v="18"/>
    <n v="33.9"/>
    <n v="1246"/>
    <n v="426"/>
    <n v="958"/>
    <n v="44.2"/>
    <n v="266"/>
    <n v="692"/>
    <n v="38.4"/>
    <n v="137"/>
    <n v="160"/>
    <n v="83.9"/>
    <n v="68"/>
    <n v="274"/>
    <n v="342"/>
    <n v="365"/>
    <n v="129"/>
    <n v="68"/>
    <n v="84"/>
    <n v="137"/>
    <n v="2523"/>
    <n v="4"/>
    <n v="0"/>
    <n v="7.1"/>
    <n v="119.7"/>
    <n v="109.5"/>
    <n v="10.199999999999999"/>
    <n v="19.899999999999999"/>
    <n v="2.76"/>
    <n v="23.7"/>
    <n v="2.5"/>
    <n v="10.1"/>
    <n v="6.4"/>
    <n v="8.6"/>
    <n v="58"/>
    <n v="60.6"/>
    <n v="19.5"/>
    <n v="97.89"/>
    <n v="10.6"/>
    <n v="5251"/>
  </r>
  <r>
    <x v="53"/>
    <x v="25"/>
    <n v="33"/>
    <n v="50"/>
    <n v="28"/>
    <n v="22"/>
    <n v="36.1"/>
    <n v="1235"/>
    <n v="445"/>
    <n v="945"/>
    <n v="47.3"/>
    <n v="145"/>
    <n v="360"/>
    <n v="40.1"/>
    <n v="195"/>
    <n v="215"/>
    <n v="91.6"/>
    <n v="60"/>
    <n v="180"/>
    <n v="240"/>
    <n v="230"/>
    <n v="110"/>
    <n v="65"/>
    <n v="25"/>
    <n v="100"/>
    <n v="2025"/>
    <n v="0"/>
    <n v="0"/>
    <n v="2.5"/>
    <n v="116.5"/>
    <n v="113.9"/>
    <n v="2.6"/>
    <n v="19.8"/>
    <n v="2.08"/>
    <n v="16.899999999999999"/>
    <n v="3.3"/>
    <n v="9.3000000000000007"/>
    <n v="6.4"/>
    <n v="8.1"/>
    <n v="54.9"/>
    <n v="59.4"/>
    <n v="26.4"/>
    <n v="99.98"/>
    <n v="12.9"/>
    <n v="3768"/>
  </r>
  <r>
    <x v="54"/>
    <x v="26"/>
    <n v="24"/>
    <n v="58"/>
    <n v="23"/>
    <n v="35"/>
    <n v="32.200000000000003"/>
    <n v="1224"/>
    <n v="458"/>
    <n v="980"/>
    <n v="46.8"/>
    <n v="104"/>
    <n v="307"/>
    <n v="35"/>
    <n v="197"/>
    <n v="313"/>
    <n v="63"/>
    <n v="64"/>
    <n v="307"/>
    <n v="365"/>
    <n v="313"/>
    <n v="162"/>
    <n v="46"/>
    <n v="17"/>
    <n v="139"/>
    <n v="2158"/>
    <n v="10"/>
    <n v="2"/>
    <n v="-2.4"/>
    <n v="110.1"/>
    <n v="113.4"/>
    <n v="-3.4"/>
    <n v="25.7"/>
    <n v="1.9"/>
    <n v="19.600000000000001"/>
    <n v="3.1"/>
    <n v="15.9"/>
    <n v="9.4"/>
    <n v="10.3"/>
    <n v="52.3"/>
    <n v="54.7"/>
    <n v="28"/>
    <n v="102.74"/>
    <n v="12.1"/>
    <n v="3998"/>
  </r>
  <r>
    <x v="55"/>
    <x v="2"/>
    <n v="24"/>
    <n v="79"/>
    <n v="48"/>
    <n v="31"/>
    <n v="33.9"/>
    <n v="1217"/>
    <n v="474"/>
    <n v="822"/>
    <n v="58"/>
    <n v="87"/>
    <n v="221"/>
    <n v="39.700000000000003"/>
    <n v="174"/>
    <n v="213"/>
    <n v="82.7"/>
    <n v="95"/>
    <n v="308"/>
    <n v="411"/>
    <n v="205"/>
    <n v="79"/>
    <n v="87"/>
    <n v="40"/>
    <n v="174"/>
    <n v="2299"/>
    <n v="6"/>
    <n v="0"/>
    <n v="6.1"/>
    <n v="122.7"/>
    <n v="114.5"/>
    <n v="8.1999999999999993"/>
    <n v="9.6"/>
    <n v="2.5299999999999998"/>
    <n v="17.100000000000001"/>
    <n v="3.9"/>
    <n v="10.9"/>
    <n v="7.7"/>
    <n v="6.8"/>
    <n v="63.4"/>
    <n v="66.5"/>
    <n v="15.5"/>
    <n v="101.04"/>
    <n v="9.6"/>
    <n v="5639"/>
  </r>
  <r>
    <x v="56"/>
    <x v="23"/>
    <n v="24"/>
    <n v="72"/>
    <n v="33"/>
    <n v="39"/>
    <n v="30"/>
    <n v="1217"/>
    <n v="403"/>
    <n v="842"/>
    <n v="47.6"/>
    <n v="122"/>
    <n v="346"/>
    <n v="36.5"/>
    <n v="288"/>
    <n v="374"/>
    <n v="78"/>
    <n v="108"/>
    <n v="410"/>
    <n v="526"/>
    <n v="281"/>
    <n v="194"/>
    <n v="72"/>
    <n v="36"/>
    <n v="173"/>
    <n v="2390"/>
    <n v="17"/>
    <n v="2"/>
    <n v="-1.1000000000000001"/>
    <n v="113.6"/>
    <n v="114.5"/>
    <n v="-0.9"/>
    <n v="19.3"/>
    <n v="1.43"/>
    <n v="19"/>
    <n v="4.8"/>
    <n v="19"/>
    <n v="11.7"/>
    <n v="13.3"/>
    <n v="55"/>
    <n v="60.5"/>
    <n v="22.8"/>
    <n v="99.86"/>
    <n v="12.6"/>
    <n v="4479"/>
  </r>
  <r>
    <x v="57"/>
    <x v="20"/>
    <n v="22"/>
    <n v="46"/>
    <n v="21"/>
    <n v="25"/>
    <n v="34.4"/>
    <n v="1191"/>
    <n v="414"/>
    <n v="911"/>
    <n v="45.2"/>
    <n v="87"/>
    <n v="271"/>
    <n v="32"/>
    <n v="281"/>
    <n v="386"/>
    <n v="72.7"/>
    <n v="51"/>
    <n v="294"/>
    <n v="345"/>
    <n v="221"/>
    <n v="138"/>
    <n v="37"/>
    <n v="28"/>
    <n v="97"/>
    <n v="1992"/>
    <n v="11"/>
    <n v="0"/>
    <n v="-0.5"/>
    <n v="109.1"/>
    <n v="109.6"/>
    <n v="-0.6"/>
    <n v="26.2"/>
    <n v="1.61"/>
    <n v="15.3"/>
    <n v="3.1"/>
    <n v="19.2"/>
    <n v="10.8"/>
    <n v="9.5"/>
    <n v="50"/>
    <n v="55.1"/>
    <n v="33"/>
    <n v="97.29"/>
    <n v="15.7"/>
    <n v="3204"/>
  </r>
  <r>
    <x v="58"/>
    <x v="19"/>
    <n v="20"/>
    <n v="81"/>
    <n v="33"/>
    <n v="48"/>
    <n v="26.7"/>
    <n v="1191"/>
    <n v="421"/>
    <n v="988"/>
    <n v="42.8"/>
    <n v="97"/>
    <n v="332"/>
    <n v="28.5"/>
    <n v="251"/>
    <n v="340"/>
    <n v="72.400000000000006"/>
    <n v="89"/>
    <n v="211"/>
    <n v="300"/>
    <n v="332"/>
    <n v="178"/>
    <n v="73"/>
    <n v="24"/>
    <n v="162"/>
    <n v="2155"/>
    <n v="6"/>
    <n v="0"/>
    <n v="-3"/>
    <n v="111.8"/>
    <n v="116.6"/>
    <n v="-4.7"/>
    <n v="23.1"/>
    <n v="1.88"/>
    <n v="20.100000000000001"/>
    <n v="3.9"/>
    <n v="9.1999999999999993"/>
    <n v="6.6"/>
    <n v="10.7"/>
    <n v="47.6"/>
    <n v="52.2"/>
    <n v="25.3"/>
    <n v="101.89"/>
    <n v="8.6999999999999993"/>
    <n v="4580"/>
  </r>
  <r>
    <x v="59"/>
    <x v="24"/>
    <n v="23"/>
    <n v="47"/>
    <n v="16"/>
    <n v="31"/>
    <n v="32"/>
    <n v="1184"/>
    <n v="404"/>
    <n v="1001"/>
    <n v="40.5"/>
    <n v="179"/>
    <n v="526"/>
    <n v="33.9"/>
    <n v="193"/>
    <n v="230"/>
    <n v="84.3"/>
    <n v="47"/>
    <n v="183"/>
    <n v="230"/>
    <n v="348"/>
    <n v="169"/>
    <n v="52"/>
    <n v="14"/>
    <n v="155"/>
    <n v="2016"/>
    <n v="13"/>
    <n v="0"/>
    <n v="-2.8"/>
    <n v="112.7"/>
    <n v="116.5"/>
    <n v="-3.9"/>
    <n v="39"/>
    <n v="2.0699999999999998"/>
    <n v="21.5"/>
    <n v="2.8"/>
    <n v="12.1"/>
    <n v="7.2"/>
    <n v="10.4"/>
    <n v="49.4"/>
    <n v="53.6"/>
    <n v="34.200000000000003"/>
    <n v="101.33"/>
    <n v="12.7"/>
    <n v="3173"/>
  </r>
  <r>
    <x v="60"/>
    <x v="27"/>
    <n v="33"/>
    <n v="56"/>
    <n v="17"/>
    <n v="39"/>
    <n v="32.700000000000003"/>
    <n v="1182"/>
    <n v="442"/>
    <n v="1002"/>
    <n v="44.4"/>
    <n v="174"/>
    <n v="459"/>
    <n v="37.299999999999997"/>
    <n v="123"/>
    <n v="174"/>
    <n v="71.7"/>
    <n v="45"/>
    <n v="168"/>
    <n v="213"/>
    <n v="230"/>
    <n v="106"/>
    <n v="45"/>
    <n v="22"/>
    <n v="123"/>
    <n v="1882"/>
    <n v="0"/>
    <n v="0"/>
    <n v="-5"/>
    <n v="112.3"/>
    <n v="119.4"/>
    <n v="-7.1"/>
    <n v="19.2"/>
    <n v="2.14"/>
    <n v="16.100000000000001"/>
    <n v="2.2000000000000002"/>
    <n v="9.1"/>
    <n v="5.6"/>
    <n v="7.5"/>
    <n v="53"/>
    <n v="55"/>
    <n v="26.6"/>
    <n v="101.56"/>
    <n v="9.6999999999999993"/>
    <n v="3874"/>
  </r>
  <r>
    <x v="61"/>
    <x v="16"/>
    <n v="25"/>
    <n v="50"/>
    <n v="30"/>
    <n v="20"/>
    <n v="30.4"/>
    <n v="1160"/>
    <n v="405"/>
    <n v="890"/>
    <n v="45.4"/>
    <n v="90"/>
    <n v="285"/>
    <n v="30.9"/>
    <n v="265"/>
    <n v="320"/>
    <n v="82.4"/>
    <n v="35"/>
    <n v="170"/>
    <n v="205"/>
    <n v="365"/>
    <n v="185"/>
    <n v="60"/>
    <n v="10"/>
    <n v="115"/>
    <n v="1985"/>
    <n v="13"/>
    <n v="1"/>
    <n v="4.5"/>
    <n v="116.4"/>
    <n v="109.6"/>
    <n v="6.8"/>
    <n v="35.5"/>
    <n v="1.97"/>
    <n v="23.1"/>
    <n v="2.1"/>
    <n v="10.1"/>
    <n v="6.2"/>
    <n v="11.8"/>
    <n v="50.4"/>
    <n v="56.3"/>
    <n v="31.2"/>
    <n v="105.74"/>
    <n v="14.1"/>
    <n v="3346"/>
  </r>
  <r>
    <x v="62"/>
    <x v="17"/>
    <n v="22"/>
    <n v="72"/>
    <n v="43"/>
    <n v="29"/>
    <n v="29.9"/>
    <n v="1159"/>
    <n v="389"/>
    <n v="850"/>
    <n v="45.8"/>
    <n v="101"/>
    <n v="288"/>
    <n v="34"/>
    <n v="274"/>
    <n v="331"/>
    <n v="83.1"/>
    <n v="86"/>
    <n v="295"/>
    <n v="382"/>
    <n v="137"/>
    <n v="137"/>
    <n v="50"/>
    <n v="22"/>
    <n v="166"/>
    <n v="1901"/>
    <n v="8"/>
    <n v="0"/>
    <n v="1.3"/>
    <n v="113.8"/>
    <n v="112.2"/>
    <n v="1.6"/>
    <n v="9"/>
    <n v="1.01"/>
    <n v="10.7"/>
    <n v="4.0999999999999996"/>
    <n v="13.3"/>
    <n v="8.8000000000000007"/>
    <n v="10.6"/>
    <n v="51.6"/>
    <n v="57.9"/>
    <n v="22.2"/>
    <n v="101.52"/>
    <n v="9.1999999999999993"/>
    <n v="4556"/>
  </r>
  <r>
    <x v="63"/>
    <x v="28"/>
    <n v="26"/>
    <n v="63"/>
    <n v="14"/>
    <n v="49"/>
    <n v="27.9"/>
    <n v="1159"/>
    <n v="416"/>
    <n v="869"/>
    <n v="48"/>
    <n v="107"/>
    <n v="271"/>
    <n v="40.6"/>
    <n v="214"/>
    <n v="252"/>
    <n v="86.5"/>
    <n v="63"/>
    <n v="113"/>
    <n v="170"/>
    <n v="265"/>
    <n v="158"/>
    <n v="44"/>
    <n v="6"/>
    <n v="145"/>
    <n v="1758"/>
    <n v="2"/>
    <n v="0"/>
    <n v="-4.5"/>
    <n v="110.4"/>
    <n v="117.9"/>
    <n v="-7.5"/>
    <n v="24.6"/>
    <n v="1.65"/>
    <n v="18.899999999999999"/>
    <n v="3.3"/>
    <n v="6"/>
    <n v="4.7"/>
    <n v="11.5"/>
    <n v="54.3"/>
    <n v="59.3"/>
    <n v="26.4"/>
    <n v="101.38"/>
    <n v="10.6"/>
    <n v="3709"/>
  </r>
  <r>
    <x v="64"/>
    <x v="4"/>
    <n v="27"/>
    <n v="80"/>
    <n v="59"/>
    <n v="21"/>
    <n v="28.4"/>
    <n v="1144"/>
    <n v="408"/>
    <n v="864"/>
    <n v="47.2"/>
    <n v="256"/>
    <n v="624"/>
    <n v="40.700000000000003"/>
    <n v="72"/>
    <n v="88"/>
    <n v="84.5"/>
    <n v="104"/>
    <n v="208"/>
    <n v="304"/>
    <n v="280"/>
    <n v="80"/>
    <n v="72"/>
    <n v="16"/>
    <n v="120"/>
    <n v="2096"/>
    <n v="5"/>
    <n v="0"/>
    <n v="5.4"/>
    <n v="118.4"/>
    <n v="108.9"/>
    <n v="9.5"/>
    <n v="18.399999999999999"/>
    <n v="3.36"/>
    <n v="22.1"/>
    <n v="4.2"/>
    <n v="8.6999999999999993"/>
    <n v="6.5"/>
    <n v="6.6"/>
    <n v="62"/>
    <n v="63.3"/>
    <n v="18.600000000000001"/>
    <n v="96.45"/>
    <n v="11.6"/>
    <n v="4561"/>
  </r>
  <r>
    <x v="65"/>
    <x v="1"/>
    <n v="25"/>
    <n v="80"/>
    <n v="47"/>
    <n v="33"/>
    <n v="27.5"/>
    <n v="1136"/>
    <n v="424"/>
    <n v="920"/>
    <n v="46.2"/>
    <n v="176"/>
    <n v="464"/>
    <n v="37.9"/>
    <n v="112"/>
    <n v="144"/>
    <n v="77.599999999999994"/>
    <n v="96"/>
    <n v="392"/>
    <n v="480"/>
    <n v="184"/>
    <n v="112"/>
    <n v="56"/>
    <n v="72"/>
    <n v="192"/>
    <n v="2264"/>
    <n v="10"/>
    <n v="0"/>
    <n v="4.3"/>
    <n v="116.2"/>
    <n v="108.8"/>
    <n v="7.4"/>
    <n v="12.3"/>
    <n v="1.68"/>
    <n v="14.2"/>
    <n v="4.0999999999999996"/>
    <n v="17.100000000000001"/>
    <n v="10.6"/>
    <n v="8.5"/>
    <n v="55.6"/>
    <n v="57.7"/>
    <n v="21"/>
    <n v="99.34"/>
    <n v="11"/>
    <n v="4554"/>
  </r>
  <r>
    <x v="66"/>
    <x v="28"/>
    <n v="21"/>
    <n v="67"/>
    <n v="13"/>
    <n v="54"/>
    <n v="31.5"/>
    <n v="1126"/>
    <n v="362"/>
    <n v="918"/>
    <n v="39.1"/>
    <n v="174"/>
    <n v="509"/>
    <n v="34.299999999999997"/>
    <n v="235"/>
    <n v="288"/>
    <n v="81.8"/>
    <n v="27"/>
    <n v="228"/>
    <n v="255"/>
    <n v="375"/>
    <n v="181"/>
    <n v="47"/>
    <n v="7"/>
    <n v="114"/>
    <n v="1977"/>
    <n v="4"/>
    <n v="0"/>
    <n v="-7.6"/>
    <n v="110.1"/>
    <n v="122"/>
    <n v="-11.9"/>
    <n v="27.2"/>
    <n v="2.06"/>
    <n v="23.6"/>
    <n v="1.2"/>
    <n v="10.4"/>
    <n v="5.8"/>
    <n v="11.5"/>
    <n v="48.5"/>
    <n v="53.9"/>
    <n v="23.7"/>
    <n v="101.25"/>
    <n v="9.3000000000000007"/>
    <n v="4454"/>
  </r>
  <r>
    <x v="67"/>
    <x v="27"/>
    <n v="24"/>
    <n v="53"/>
    <n v="14"/>
    <n v="39"/>
    <n v="35"/>
    <n v="1124"/>
    <n v="382"/>
    <n v="837"/>
    <n v="45.4"/>
    <n v="159"/>
    <n v="440"/>
    <n v="36.1"/>
    <n v="201"/>
    <n v="228"/>
    <n v="88.7"/>
    <n v="48"/>
    <n v="223"/>
    <n v="270"/>
    <n v="186"/>
    <n v="101"/>
    <n v="58"/>
    <n v="37"/>
    <n v="111"/>
    <n v="1908"/>
    <n v="2"/>
    <n v="0"/>
    <n v="-7.2"/>
    <n v="109"/>
    <n v="118.7"/>
    <n v="-9.6999999999999993"/>
    <n v="15.7"/>
    <n v="1.83"/>
    <n v="15.4"/>
    <n v="2.4"/>
    <n v="11.7"/>
    <n v="6.9"/>
    <n v="8.4"/>
    <n v="54.8"/>
    <n v="59.8"/>
    <n v="22.9"/>
    <n v="102.03"/>
    <n v="11"/>
    <n v="3941"/>
  </r>
  <r>
    <x v="68"/>
    <x v="17"/>
    <n v="29"/>
    <n v="72"/>
    <n v="44"/>
    <n v="28"/>
    <n v="30.2"/>
    <n v="1123"/>
    <n v="389"/>
    <n v="814"/>
    <n v="48.1"/>
    <n v="158"/>
    <n v="396"/>
    <n v="39.6"/>
    <n v="187"/>
    <n v="238"/>
    <n v="77.3"/>
    <n v="94"/>
    <n v="382"/>
    <n v="468"/>
    <n v="108"/>
    <n v="122"/>
    <n v="58"/>
    <n v="144"/>
    <n v="180"/>
    <n v="2326"/>
    <n v="13"/>
    <n v="0"/>
    <n v="2.8"/>
    <n v="116.1"/>
    <n v="111.5"/>
    <n v="4.7"/>
    <n v="7.2"/>
    <n v="0.9"/>
    <n v="9.6999999999999993"/>
    <n v="4.3"/>
    <n v="16.899999999999999"/>
    <n v="10.9"/>
    <n v="10.7"/>
    <n v="57.7"/>
    <n v="61.2"/>
    <n v="20.7"/>
    <n v="100.19"/>
    <n v="10.3"/>
    <n v="4533"/>
  </r>
  <r>
    <x v="69"/>
    <x v="11"/>
    <n v="27"/>
    <n v="65"/>
    <n v="36"/>
    <n v="29"/>
    <n v="31.6"/>
    <n v="1118"/>
    <n v="410"/>
    <n v="936"/>
    <n v="43.9"/>
    <n v="137"/>
    <n v="429"/>
    <n v="32.5"/>
    <n v="156"/>
    <n v="176"/>
    <n v="86.5"/>
    <n v="33"/>
    <n v="215"/>
    <n v="247"/>
    <n v="364"/>
    <n v="156"/>
    <n v="59"/>
    <n v="39"/>
    <n v="156"/>
    <n v="2093"/>
    <n v="4"/>
    <n v="0"/>
    <n v="1.8"/>
    <n v="117"/>
    <n v="114.5"/>
    <n v="2.5"/>
    <n v="24.6"/>
    <n v="2.2799999999999998"/>
    <n v="23.6"/>
    <n v="1.4"/>
    <n v="10.4"/>
    <n v="5.9"/>
    <n v="10.4"/>
    <n v="51.3"/>
    <n v="54.9"/>
    <n v="23.6"/>
    <n v="101.33"/>
    <n v="9.9"/>
    <n v="4339"/>
  </r>
  <r>
    <x v="70"/>
    <x v="19"/>
    <n v="21"/>
    <n v="46"/>
    <n v="21"/>
    <n v="25"/>
    <n v="33.200000000000003"/>
    <n v="1118"/>
    <n v="409"/>
    <n v="856"/>
    <n v="47.6"/>
    <n v="143"/>
    <n v="405"/>
    <n v="35.200000000000003"/>
    <n v="156"/>
    <n v="189"/>
    <n v="83.6"/>
    <n v="83"/>
    <n v="423"/>
    <n v="506"/>
    <n v="170"/>
    <n v="147"/>
    <n v="51"/>
    <n v="175"/>
    <n v="106"/>
    <n v="2512"/>
    <n v="28"/>
    <n v="1"/>
    <n v="2.2000000000000002"/>
    <n v="112.5"/>
    <n v="110"/>
    <n v="2.5"/>
    <n v="18.399999999999999"/>
    <n v="1.1299999999999999"/>
    <n v="13.4"/>
    <n v="5.4"/>
    <n v="25.5"/>
    <n v="15.9"/>
    <n v="11.9"/>
    <n v="55.9"/>
    <n v="59.4"/>
    <n v="30"/>
    <n v="101"/>
    <n v="16.8"/>
    <n v="3223"/>
  </r>
  <r>
    <x v="71"/>
    <x v="15"/>
    <n v="27"/>
    <n v="82"/>
    <n v="64"/>
    <n v="18"/>
    <n v="28"/>
    <n v="1107"/>
    <n v="451"/>
    <n v="640"/>
    <n v="70.599999999999994"/>
    <n v="0"/>
    <n v="8"/>
    <n v="0"/>
    <n v="197"/>
    <n v="279"/>
    <n v="71.8"/>
    <n v="213"/>
    <n v="582"/>
    <n v="795"/>
    <n v="156"/>
    <n v="98"/>
    <n v="74"/>
    <n v="74"/>
    <n v="123"/>
    <n v="2649"/>
    <n v="40"/>
    <n v="0"/>
    <n v="6.3"/>
    <n v="121.9"/>
    <n v="111.3"/>
    <n v="10.5"/>
    <n v="9.1"/>
    <n v="1.63"/>
    <n v="15.5"/>
    <n v="9.5"/>
    <n v="23.8"/>
    <n v="16.899999999999999"/>
    <n v="9.5"/>
    <n v="70.599999999999994"/>
    <n v="72.400000000000006"/>
    <n v="15.6"/>
    <n v="101.43"/>
    <n v="14.8"/>
    <n v="4853"/>
  </r>
  <r>
    <x v="72"/>
    <x v="22"/>
    <n v="25"/>
    <n v="75"/>
    <n v="29"/>
    <n v="46"/>
    <n v="26.8"/>
    <n v="1095"/>
    <n v="383"/>
    <n v="825"/>
    <n v="46.7"/>
    <n v="165"/>
    <n v="420"/>
    <n v="38.5"/>
    <n v="165"/>
    <n v="218"/>
    <n v="75.7"/>
    <n v="60"/>
    <n v="263"/>
    <n v="323"/>
    <n v="225"/>
    <n v="143"/>
    <n v="75"/>
    <n v="23"/>
    <n v="135"/>
    <n v="1973"/>
    <n v="4"/>
    <n v="0"/>
    <n v="-3.5"/>
    <n v="111.9"/>
    <n v="118.1"/>
    <n v="-6.2"/>
    <n v="17.2"/>
    <n v="1.62"/>
    <n v="17.899999999999999"/>
    <n v="2.8"/>
    <n v="12.6"/>
    <n v="7.7"/>
    <n v="11"/>
    <n v="56.5"/>
    <n v="59.5"/>
    <n v="21.8"/>
    <n v="100.7"/>
    <n v="10.5"/>
    <n v="4223"/>
  </r>
  <r>
    <x v="73"/>
    <x v="15"/>
    <n v="27"/>
    <n v="64"/>
    <n v="38"/>
    <n v="26"/>
    <n v="27.2"/>
    <n v="1088"/>
    <n v="358"/>
    <n v="762"/>
    <n v="47"/>
    <n v="160"/>
    <n v="390"/>
    <n v="40.5"/>
    <n v="218"/>
    <n v="256"/>
    <n v="84.6"/>
    <n v="45"/>
    <n v="211"/>
    <n v="256"/>
    <n v="90"/>
    <n v="83"/>
    <n v="51"/>
    <n v="13"/>
    <n v="154"/>
    <n v="1645"/>
    <n v="2"/>
    <n v="0"/>
    <n v="1.4"/>
    <n v="115.9"/>
    <n v="113.9"/>
    <n v="2"/>
    <n v="7.7"/>
    <n v="1.1200000000000001"/>
    <n v="8.6999999999999993"/>
    <n v="2.4"/>
    <n v="11.7"/>
    <n v="7.1"/>
    <n v="7.8"/>
    <n v="57.3"/>
    <n v="62.3"/>
    <n v="22.1"/>
    <n v="104.77"/>
    <n v="10.1"/>
    <n v="3803"/>
  </r>
  <r>
    <x v="74"/>
    <x v="6"/>
    <n v="30"/>
    <n v="60"/>
    <n v="27"/>
    <n v="33"/>
    <n v="30.7"/>
    <n v="1080"/>
    <n v="378"/>
    <n v="840"/>
    <n v="44.8"/>
    <n v="132"/>
    <n v="348"/>
    <n v="37.4"/>
    <n v="198"/>
    <n v="258"/>
    <n v="76.3"/>
    <n v="90"/>
    <n v="180"/>
    <n v="270"/>
    <n v="156"/>
    <n v="102"/>
    <n v="60"/>
    <n v="48"/>
    <n v="102"/>
    <n v="1866"/>
    <n v="3"/>
    <n v="0"/>
    <n v="-1.7"/>
    <n v="109.4"/>
    <n v="111.7"/>
    <n v="-2.2999999999999998"/>
    <n v="13.7"/>
    <n v="1.6"/>
    <n v="13.1"/>
    <n v="4.5"/>
    <n v="9.5"/>
    <n v="6.9"/>
    <n v="8.1999999999999993"/>
    <n v="52.6"/>
    <n v="56.6"/>
    <n v="23.8"/>
    <n v="99.96"/>
    <n v="10.5"/>
    <n v="3831"/>
  </r>
  <r>
    <x v="75"/>
    <x v="7"/>
    <n v="22"/>
    <n v="76"/>
    <n v="37"/>
    <n v="39"/>
    <n v="33.799999999999997"/>
    <n v="1072"/>
    <n v="456"/>
    <n v="920"/>
    <n v="49.3"/>
    <n v="84"/>
    <n v="236"/>
    <n v="34"/>
    <n v="84"/>
    <n v="137"/>
    <n v="59.3"/>
    <n v="122"/>
    <n v="327"/>
    <n v="448"/>
    <n v="334"/>
    <n v="152"/>
    <n v="228"/>
    <n v="53"/>
    <n v="175"/>
    <n v="2812"/>
    <n v="9"/>
    <n v="0"/>
    <n v="-0.9"/>
    <n v="113.3"/>
    <n v="114.2"/>
    <n v="-0.9"/>
    <n v="17.399999999999999"/>
    <n v="2.15"/>
    <n v="22.6"/>
    <n v="4.5999999999999996"/>
    <n v="12.7"/>
    <n v="8.5"/>
    <n v="10.5"/>
    <n v="53.6"/>
    <n v="54.5"/>
    <n v="17.8"/>
    <n v="104.17"/>
    <n v="9.9"/>
    <n v="5574"/>
  </r>
  <r>
    <x v="76"/>
    <x v="29"/>
    <n v="29"/>
    <n v="57"/>
    <n v="21"/>
    <n v="36"/>
    <n v="31.6"/>
    <n v="1072"/>
    <n v="353"/>
    <n v="747"/>
    <n v="47.5"/>
    <n v="160"/>
    <n v="410"/>
    <n v="39"/>
    <n v="200"/>
    <n v="222"/>
    <n v="89.3"/>
    <n v="51"/>
    <n v="194"/>
    <n v="245"/>
    <n v="194"/>
    <n v="97"/>
    <n v="51"/>
    <n v="23"/>
    <n v="103"/>
    <n v="1790"/>
    <n v="2"/>
    <n v="0"/>
    <n v="-3.5"/>
    <n v="110.9"/>
    <n v="116.7"/>
    <n v="-5.8"/>
    <n v="17.899999999999999"/>
    <n v="1.96"/>
    <n v="17.2"/>
    <n v="3"/>
    <n v="11.3"/>
    <n v="7"/>
    <n v="8.8000000000000007"/>
    <n v="58.2"/>
    <n v="63.2"/>
    <n v="22.4"/>
    <n v="97.41"/>
    <n v="12.4"/>
    <n v="3657"/>
  </r>
  <r>
    <x v="77"/>
    <x v="12"/>
    <n v="29"/>
    <n v="75"/>
    <n v="49"/>
    <n v="26"/>
    <n v="31.8"/>
    <n v="1050"/>
    <n v="383"/>
    <n v="893"/>
    <n v="42.9"/>
    <n v="188"/>
    <n v="473"/>
    <n v="39.700000000000003"/>
    <n v="98"/>
    <n v="120"/>
    <n v="81.8"/>
    <n v="75"/>
    <n v="203"/>
    <n v="278"/>
    <n v="128"/>
    <n v="75"/>
    <n v="60"/>
    <n v="15"/>
    <n v="240"/>
    <n v="1725"/>
    <n v="0"/>
    <n v="0"/>
    <n v="2.8"/>
    <n v="113.5"/>
    <n v="108.8"/>
    <n v="4.7"/>
    <n v="7.6"/>
    <n v="1.68"/>
    <n v="11.1"/>
    <n v="2.8"/>
    <n v="8.1"/>
    <n v="5.4"/>
    <n v="6.6"/>
    <n v="53.3"/>
    <n v="55.5"/>
    <n v="17.600000000000001"/>
    <n v="98.94"/>
    <n v="6.7"/>
    <n v="4913"/>
  </r>
  <r>
    <x v="78"/>
    <x v="10"/>
    <n v="30"/>
    <n v="77"/>
    <n v="48"/>
    <n v="29"/>
    <n v="37.6"/>
    <n v="1047"/>
    <n v="400"/>
    <n v="770"/>
    <n v="52.5"/>
    <n v="85"/>
    <n v="254"/>
    <n v="33.299999999999997"/>
    <n v="162"/>
    <n v="208"/>
    <n v="77.599999999999994"/>
    <n v="162"/>
    <n v="578"/>
    <n v="739"/>
    <n v="454"/>
    <n v="162"/>
    <n v="116"/>
    <n v="31"/>
    <n v="200"/>
    <n v="2895"/>
    <n v="34"/>
    <n v="9"/>
    <n v="2.6"/>
    <n v="117.9"/>
    <n v="114.3"/>
    <n v="3.6"/>
    <n v="20.6"/>
    <n v="2.87"/>
    <n v="30.8"/>
    <n v="5.7"/>
    <n v="20.3"/>
    <n v="13"/>
    <n v="10.8"/>
    <n v="57.9"/>
    <n v="61.1"/>
    <n v="15.1"/>
    <n v="97.79"/>
    <n v="11.9"/>
    <n v="5898"/>
  </r>
  <r>
    <x v="79"/>
    <x v="19"/>
    <n v="24"/>
    <n v="64"/>
    <n v="24"/>
    <n v="40"/>
    <n v="31"/>
    <n v="1043"/>
    <n v="397"/>
    <n v="890"/>
    <n v="44.3"/>
    <n v="160"/>
    <n v="429"/>
    <n v="36.799999999999997"/>
    <n v="96"/>
    <n v="122"/>
    <n v="79.2"/>
    <n v="32"/>
    <n v="224"/>
    <n v="256"/>
    <n v="186"/>
    <n v="90"/>
    <n v="83"/>
    <n v="32"/>
    <n v="109"/>
    <n v="1882"/>
    <n v="2"/>
    <n v="0"/>
    <n v="-4.0999999999999996"/>
    <n v="111.9"/>
    <n v="118.1"/>
    <n v="-6.2"/>
    <n v="13.9"/>
    <n v="2.08"/>
    <n v="15.2"/>
    <n v="1.6"/>
    <n v="10.7"/>
    <n v="6.2"/>
    <n v="7.3"/>
    <n v="53.2"/>
    <n v="55.3"/>
    <n v="21.7"/>
    <n v="100.8"/>
    <n v="9.1999999999999993"/>
    <n v="4163"/>
  </r>
  <r>
    <x v="80"/>
    <x v="3"/>
    <n v="37"/>
    <n v="80"/>
    <n v="47"/>
    <n v="33"/>
    <n v="31.8"/>
    <n v="1040"/>
    <n v="392"/>
    <n v="776"/>
    <n v="50.9"/>
    <n v="136"/>
    <n v="376"/>
    <n v="37.299999999999997"/>
    <n v="112"/>
    <n v="136"/>
    <n v="82.6"/>
    <n v="112"/>
    <n v="288"/>
    <n v="400"/>
    <n v="144"/>
    <n v="88"/>
    <n v="48"/>
    <n v="152"/>
    <n v="168"/>
    <n v="2248"/>
    <n v="4"/>
    <n v="0"/>
    <n v="1.7"/>
    <n v="114.8"/>
    <n v="112.7"/>
    <n v="2.2000000000000002"/>
    <n v="7.8"/>
    <n v="1.7"/>
    <n v="13.5"/>
    <n v="4.5999999999999996"/>
    <n v="10.7"/>
    <n v="7.8"/>
    <n v="7.9"/>
    <n v="59.9"/>
    <n v="62.4"/>
    <n v="15.7"/>
    <n v="100.24"/>
    <n v="8.6999999999999993"/>
    <n v="5325"/>
  </r>
  <r>
    <x v="81"/>
    <x v="18"/>
    <n v="22"/>
    <n v="70"/>
    <n v="33"/>
    <n v="37"/>
    <n v="30.2"/>
    <n v="1022"/>
    <n v="371"/>
    <n v="798"/>
    <n v="46.5"/>
    <n v="105"/>
    <n v="280"/>
    <n v="37.799999999999997"/>
    <n v="175"/>
    <n v="224"/>
    <n v="78.099999999999994"/>
    <n v="126"/>
    <n v="441"/>
    <n v="567"/>
    <n v="504"/>
    <n v="203"/>
    <n v="84"/>
    <n v="42"/>
    <n v="119"/>
    <n v="2639"/>
    <n v="30"/>
    <n v="7"/>
    <n v="-1"/>
    <n v="113.1"/>
    <n v="114.4"/>
    <n v="-1.4"/>
    <n v="32.200000000000003"/>
    <n v="2.4900000000000002"/>
    <n v="31.4"/>
    <n v="5.9"/>
    <n v="19.2"/>
    <n v="12.7"/>
    <n v="12.6"/>
    <n v="53.1"/>
    <n v="57"/>
    <n v="21.4"/>
    <n v="104.47"/>
    <n v="13"/>
    <n v="4605"/>
  </r>
  <r>
    <x v="82"/>
    <x v="19"/>
    <n v="33"/>
    <n v="82"/>
    <n v="34"/>
    <n v="48"/>
    <n v="27.2"/>
    <n v="1009"/>
    <n v="344"/>
    <n v="681"/>
    <n v="50.8"/>
    <n v="156"/>
    <n v="361"/>
    <n v="43.3"/>
    <n v="164"/>
    <n v="197"/>
    <n v="80.900000000000006"/>
    <n v="98"/>
    <n v="213"/>
    <n v="312"/>
    <n v="139"/>
    <n v="49"/>
    <n v="41"/>
    <n v="16"/>
    <n v="74"/>
    <n v="1697"/>
    <n v="1"/>
    <n v="0"/>
    <n v="-0.3"/>
    <n v="114.5"/>
    <n v="115.6"/>
    <n v="-1.2"/>
    <n v="8.5"/>
    <n v="2.72"/>
    <n v="14.2"/>
    <n v="4.2"/>
    <n v="9.1"/>
    <n v="6.7"/>
    <n v="5.2"/>
    <n v="62.2"/>
    <n v="65.599999999999994"/>
    <n v="15.7"/>
    <n v="100.08"/>
    <n v="9.1999999999999993"/>
    <n v="4662"/>
  </r>
  <r>
    <x v="83"/>
    <x v="25"/>
    <n v="35"/>
    <n v="72"/>
    <n v="33"/>
    <n v="39"/>
    <n v="27.3"/>
    <n v="1008"/>
    <n v="360"/>
    <n v="878"/>
    <n v="41.2"/>
    <n v="216"/>
    <n v="554"/>
    <n v="39.1"/>
    <n v="65"/>
    <n v="72"/>
    <n v="90.5"/>
    <n v="43"/>
    <n v="202"/>
    <n v="245"/>
    <n v="144"/>
    <n v="86"/>
    <n v="50"/>
    <n v="29"/>
    <n v="79"/>
    <n v="1670"/>
    <n v="0"/>
    <n v="0"/>
    <n v="-1.1000000000000001"/>
    <n v="112.8"/>
    <n v="115.2"/>
    <n v="-2.4"/>
    <n v="10.4"/>
    <n v="1.65"/>
    <n v="12.7"/>
    <n v="2.2000000000000002"/>
    <n v="9.6999999999999993"/>
    <n v="6"/>
    <n v="7.7"/>
    <n v="53.5"/>
    <n v="55.2"/>
    <n v="21.4"/>
    <n v="100.53"/>
    <n v="8.3000000000000007"/>
    <n v="4123"/>
  </r>
  <r>
    <x v="84"/>
    <x v="8"/>
    <n v="32"/>
    <n v="73"/>
    <n v="40"/>
    <n v="33"/>
    <n v="31.6"/>
    <n v="1000"/>
    <n v="387"/>
    <n v="803"/>
    <n v="47.7"/>
    <n v="88"/>
    <n v="263"/>
    <n v="34.5"/>
    <n v="146"/>
    <n v="168"/>
    <n v="86.1"/>
    <n v="66"/>
    <n v="365"/>
    <n v="431"/>
    <n v="161"/>
    <n v="88"/>
    <n v="73"/>
    <n v="58"/>
    <n v="139"/>
    <n v="2073"/>
    <n v="5"/>
    <n v="0"/>
    <n v="2.6"/>
    <n v="114.7"/>
    <n v="110.8"/>
    <n v="3.9"/>
    <n v="9.5"/>
    <n v="1.91"/>
    <n v="14.4"/>
    <n v="2.8"/>
    <n v="15.5"/>
    <n v="9.1999999999999993"/>
    <n v="7.6"/>
    <n v="53.4"/>
    <n v="57.1"/>
    <n v="17.3"/>
    <n v="100.89"/>
    <n v="10"/>
    <n v="4845"/>
  </r>
  <r>
    <x v="85"/>
    <x v="1"/>
    <n v="24"/>
    <n v="82"/>
    <n v="49"/>
    <n v="33"/>
    <n v="31.9"/>
    <n v="1000"/>
    <n v="402"/>
    <n v="836"/>
    <n v="47.7"/>
    <n v="98"/>
    <n v="303"/>
    <n v="33"/>
    <n v="107"/>
    <n v="131"/>
    <n v="81.3"/>
    <n v="131"/>
    <n v="344"/>
    <n v="467"/>
    <n v="164"/>
    <n v="98"/>
    <n v="107"/>
    <n v="74"/>
    <n v="221"/>
    <n v="2263"/>
    <n v="10"/>
    <n v="0"/>
    <n v="2.1"/>
    <n v="113.9"/>
    <n v="109.9"/>
    <n v="4"/>
    <n v="9.1"/>
    <n v="1.72"/>
    <n v="14.2"/>
    <n v="4.8"/>
    <n v="12.6"/>
    <n v="8.6999999999999993"/>
    <n v="8.3000000000000007"/>
    <n v="53.7"/>
    <n v="56.2"/>
    <n v="16"/>
    <n v="98.07"/>
    <n v="8.6"/>
    <n v="5323"/>
  </r>
  <r>
    <x v="86"/>
    <x v="2"/>
    <n v="36"/>
    <n v="75"/>
    <n v="43"/>
    <n v="32"/>
    <n v="27.9"/>
    <n v="998"/>
    <n v="375"/>
    <n v="833"/>
    <n v="44.9"/>
    <n v="98"/>
    <n v="293"/>
    <n v="32.299999999999997"/>
    <n v="158"/>
    <n v="233"/>
    <n v="66.099999999999994"/>
    <n v="105"/>
    <n v="270"/>
    <n v="368"/>
    <n v="458"/>
    <n v="240"/>
    <n v="105"/>
    <n v="38"/>
    <n v="188"/>
    <n v="2310"/>
    <n v="13"/>
    <n v="4"/>
    <n v="-0.3"/>
    <n v="115.7"/>
    <n v="116.2"/>
    <n v="-0.6"/>
    <n v="28.9"/>
    <n v="1.89"/>
    <n v="27.9"/>
    <n v="5"/>
    <n v="11.9"/>
    <n v="8.6"/>
    <n v="14.8"/>
    <n v="50.5"/>
    <n v="53.2"/>
    <n v="23"/>
    <n v="103.3"/>
    <n v="9.3000000000000007"/>
    <n v="4504"/>
  </r>
  <r>
    <x v="87"/>
    <x v="7"/>
    <n v="24"/>
    <n v="74"/>
    <n v="35"/>
    <n v="39"/>
    <n v="27.9"/>
    <n v="992"/>
    <n v="385"/>
    <n v="681"/>
    <n v="56.7"/>
    <n v="44"/>
    <n v="148"/>
    <n v="32.4"/>
    <n v="163"/>
    <n v="215"/>
    <n v="75.900000000000006"/>
    <n v="222"/>
    <n v="437"/>
    <n v="659"/>
    <n v="170"/>
    <n v="89"/>
    <n v="67"/>
    <n v="67"/>
    <n v="192"/>
    <n v="2353"/>
    <n v="28"/>
    <n v="0"/>
    <n v="0.5"/>
    <n v="114.9"/>
    <n v="113.7"/>
    <n v="1.1000000000000001"/>
    <n v="11.3"/>
    <n v="1.87"/>
    <n v="16.2"/>
    <n v="10.3"/>
    <n v="21.3"/>
    <n v="15.7"/>
    <n v="8.6999999999999993"/>
    <n v="60.2"/>
    <n v="63.4"/>
    <n v="16.899999999999999"/>
    <n v="104.52"/>
    <n v="12.2"/>
    <n v="4489"/>
  </r>
  <r>
    <x v="88"/>
    <x v="8"/>
    <n v="31"/>
    <n v="75"/>
    <n v="37"/>
    <n v="38"/>
    <n v="28.1"/>
    <n v="983"/>
    <n v="338"/>
    <n v="825"/>
    <n v="40.6"/>
    <n v="128"/>
    <n v="368"/>
    <n v="34.200000000000003"/>
    <n v="180"/>
    <n v="218"/>
    <n v="83.8"/>
    <n v="30"/>
    <n v="173"/>
    <n v="195"/>
    <n v="405"/>
    <n v="143"/>
    <n v="68"/>
    <n v="15"/>
    <n v="180"/>
    <n v="1913"/>
    <n v="7"/>
    <n v="0"/>
    <n v="-1"/>
    <n v="111.8"/>
    <n v="112.8"/>
    <n v="-0.9"/>
    <n v="28.7"/>
    <n v="2.85"/>
    <n v="27.6"/>
    <n v="1.2"/>
    <n v="8"/>
    <n v="4.5999999999999996"/>
    <n v="9.6999999999999993"/>
    <n v="48.3"/>
    <n v="53.1"/>
    <n v="21.1"/>
    <n v="100.49"/>
    <n v="9.1"/>
    <n v="4393"/>
  </r>
  <r>
    <x v="89"/>
    <x v="19"/>
    <n v="25"/>
    <n v="77"/>
    <n v="31"/>
    <n v="46"/>
    <n v="23.9"/>
    <n v="978"/>
    <n v="370"/>
    <n v="770"/>
    <n v="48.2"/>
    <n v="85"/>
    <n v="277"/>
    <n v="31.8"/>
    <n v="146"/>
    <n v="193"/>
    <n v="77.3"/>
    <n v="116"/>
    <n v="262"/>
    <n v="370"/>
    <n v="123"/>
    <n v="77"/>
    <n v="46"/>
    <n v="23"/>
    <n v="116"/>
    <n v="1748"/>
    <n v="3"/>
    <n v="0"/>
    <n v="-2.8"/>
    <n v="110.1"/>
    <n v="115.9"/>
    <n v="-5.8"/>
    <n v="10.5"/>
    <n v="1.62"/>
    <n v="11.9"/>
    <n v="5.7"/>
    <n v="13.6"/>
    <n v="9.6"/>
    <n v="7.3"/>
    <n v="53.8"/>
    <n v="57.2"/>
    <n v="20.7"/>
    <n v="102.06"/>
    <n v="10.3"/>
    <n v="3912"/>
  </r>
  <r>
    <x v="90"/>
    <x v="12"/>
    <n v="22"/>
    <n v="69"/>
    <n v="43"/>
    <n v="26"/>
    <n v="32.299999999999997"/>
    <n v="973"/>
    <n v="386"/>
    <n v="697"/>
    <n v="55.7"/>
    <n v="28"/>
    <n v="90"/>
    <n v="27.5"/>
    <n v="166"/>
    <n v="248"/>
    <n v="68.400000000000006"/>
    <n v="193"/>
    <n v="373"/>
    <n v="566"/>
    <n v="262"/>
    <n v="138"/>
    <n v="97"/>
    <n v="90"/>
    <n v="166"/>
    <n v="2463"/>
    <n v="21"/>
    <n v="3"/>
    <n v="3.9"/>
    <n v="114.2"/>
    <n v="107.9"/>
    <n v="6.3"/>
    <n v="16.7"/>
    <n v="1.92"/>
    <n v="21.9"/>
    <n v="7.8"/>
    <n v="15.9"/>
    <n v="11.8"/>
    <n v="11.4"/>
    <n v="57.5"/>
    <n v="60.2"/>
    <n v="17.2"/>
    <n v="100"/>
    <n v="12.9"/>
    <n v="4626"/>
  </r>
  <r>
    <x v="91"/>
    <x v="13"/>
    <n v="35"/>
    <n v="55"/>
    <n v="36"/>
    <n v="19"/>
    <n v="31.7"/>
    <n v="963"/>
    <n v="303"/>
    <n v="600"/>
    <n v="50.4"/>
    <n v="33"/>
    <n v="105"/>
    <n v="30.8"/>
    <n v="330"/>
    <n v="391"/>
    <n v="84.2"/>
    <n v="127"/>
    <n v="171"/>
    <n v="297"/>
    <n v="297"/>
    <n v="72"/>
    <n v="77"/>
    <n v="17"/>
    <n v="50"/>
    <n v="1975"/>
    <n v="6"/>
    <n v="3"/>
    <n v="4.5"/>
    <n v="115.9"/>
    <n v="109.6"/>
    <n v="6.3"/>
    <n v="26"/>
    <n v="4.03"/>
    <n v="26.2"/>
    <n v="7"/>
    <n v="10.1"/>
    <n v="8.5"/>
    <n v="6.5"/>
    <n v="53.1"/>
    <n v="62.6"/>
    <n v="20.3"/>
    <n v="98.95"/>
    <n v="14.5"/>
    <n v="3608"/>
  </r>
  <r>
    <x v="92"/>
    <x v="3"/>
    <n v="29"/>
    <n v="65"/>
    <n v="25"/>
    <n v="40"/>
    <n v="29.8"/>
    <n v="962"/>
    <n v="371"/>
    <n v="845"/>
    <n v="43.6"/>
    <n v="98"/>
    <n v="312"/>
    <n v="30.7"/>
    <n v="130"/>
    <n v="202"/>
    <n v="63.4"/>
    <n v="52"/>
    <n v="319"/>
    <n v="371"/>
    <n v="150"/>
    <n v="143"/>
    <n v="39"/>
    <n v="20"/>
    <n v="117"/>
    <n v="1658"/>
    <n v="6"/>
    <n v="0"/>
    <n v="-6.4"/>
    <n v="105.8"/>
    <n v="116.1"/>
    <n v="-10.3"/>
    <n v="12.3"/>
    <n v="1.04"/>
    <n v="12.3"/>
    <n v="2.7"/>
    <n v="15.5"/>
    <n v="9.1"/>
    <n v="11.8"/>
    <n v="49.3"/>
    <n v="51.4"/>
    <n v="23.3"/>
    <n v="102.96"/>
    <n v="8"/>
    <n v="4158"/>
  </r>
  <r>
    <x v="93"/>
    <x v="7"/>
    <n v="20"/>
    <n v="75"/>
    <n v="38"/>
    <n v="37"/>
    <n v="24.6"/>
    <n v="945"/>
    <n v="360"/>
    <n v="780"/>
    <n v="45.8"/>
    <n v="120"/>
    <n v="345"/>
    <n v="35.5"/>
    <n v="105"/>
    <n v="150"/>
    <n v="71.099999999999994"/>
    <n v="83"/>
    <n v="180"/>
    <n v="270"/>
    <n v="90"/>
    <n v="90"/>
    <n v="53"/>
    <n v="38"/>
    <n v="150"/>
    <n v="1575"/>
    <n v="1"/>
    <n v="0"/>
    <n v="-1.6"/>
    <n v="112.3"/>
    <n v="115"/>
    <n v="-2.7"/>
    <n v="6.8"/>
    <n v="1"/>
    <n v="9"/>
    <n v="4.4000000000000004"/>
    <n v="9.9"/>
    <n v="7.1"/>
    <n v="9"/>
    <n v="53.7"/>
    <n v="55.8"/>
    <n v="20.3"/>
    <n v="104.57"/>
    <n v="7.1"/>
    <n v="4011"/>
  </r>
  <r>
    <x v="94"/>
    <x v="11"/>
    <n v="24"/>
    <n v="76"/>
    <n v="36"/>
    <n v="40"/>
    <n v="34.299999999999997"/>
    <n v="942"/>
    <n v="365"/>
    <n v="821"/>
    <n v="44.4"/>
    <n v="152"/>
    <n v="448"/>
    <n v="34.299999999999997"/>
    <n v="61"/>
    <n v="68"/>
    <n v="83.3"/>
    <n v="144"/>
    <n v="365"/>
    <n v="509"/>
    <n v="106"/>
    <n v="61"/>
    <n v="61"/>
    <n v="68"/>
    <n v="182"/>
    <n v="2044"/>
    <n v="11"/>
    <n v="0"/>
    <n v="0.6"/>
    <n v="114.8"/>
    <n v="113.4"/>
    <n v="1.5"/>
    <n v="5.5"/>
    <n v="1.82"/>
    <n v="10.7"/>
    <n v="5.6"/>
    <n v="13.4"/>
    <n v="9.5"/>
    <n v="5.9"/>
    <n v="53.8"/>
    <n v="55.3"/>
    <n v="14.8"/>
    <n v="100.09"/>
    <n v="7.5"/>
    <n v="5428"/>
  </r>
  <r>
    <x v="95"/>
    <x v="8"/>
    <n v="21"/>
    <n v="78"/>
    <n v="43"/>
    <n v="35"/>
    <n v="26.1"/>
    <n v="920"/>
    <n v="374"/>
    <n v="546"/>
    <n v="69.2"/>
    <n v="0"/>
    <n v="0"/>
    <n v="0"/>
    <n v="164"/>
    <n v="242"/>
    <n v="66.900000000000006"/>
    <n v="281"/>
    <n v="530"/>
    <n v="803"/>
    <n v="211"/>
    <n v="133"/>
    <n v="55"/>
    <n v="86"/>
    <n v="250"/>
    <n v="2496"/>
    <n v="41"/>
    <n v="0"/>
    <n v="0.5"/>
    <n v="115.5"/>
    <n v="114"/>
    <n v="1.5"/>
    <n v="14.1"/>
    <n v="1.54"/>
    <n v="21"/>
    <n v="13.7"/>
    <n v="25.9"/>
    <n v="19.899999999999999"/>
    <n v="13.6"/>
    <n v="69.2"/>
    <n v="70.3"/>
    <n v="16.100000000000001"/>
    <n v="101.29"/>
    <n v="14"/>
    <n v="4278"/>
  </r>
  <r>
    <x v="96"/>
    <x v="0"/>
    <n v="26"/>
    <n v="76"/>
    <n v="62"/>
    <n v="14"/>
    <n v="22.9"/>
    <n v="912"/>
    <n v="357"/>
    <n v="730"/>
    <n v="48.8"/>
    <n v="129"/>
    <n v="342"/>
    <n v="38.299999999999997"/>
    <n v="76"/>
    <n v="91"/>
    <n v="83.1"/>
    <n v="84"/>
    <n v="213"/>
    <n v="296"/>
    <n v="137"/>
    <n v="68"/>
    <n v="61"/>
    <n v="15"/>
    <n v="99"/>
    <n v="1634"/>
    <n v="2"/>
    <n v="0"/>
    <n v="6.8"/>
    <n v="120.7"/>
    <n v="106.6"/>
    <n v="14.2"/>
    <n v="10.199999999999999"/>
    <n v="1.94"/>
    <n v="13.8"/>
    <n v="4.5999999999999996"/>
    <n v="11.3"/>
    <n v="8.1"/>
    <n v="7.1"/>
    <n v="57.7"/>
    <n v="59.6"/>
    <n v="20"/>
    <n v="101.91"/>
    <n v="10.5"/>
    <n v="3698"/>
  </r>
  <r>
    <x v="97"/>
    <x v="25"/>
    <n v="27"/>
    <n v="69"/>
    <n v="32"/>
    <n v="37"/>
    <n v="27.8"/>
    <n v="911"/>
    <n v="359"/>
    <n v="711"/>
    <n v="50.8"/>
    <n v="62"/>
    <n v="221"/>
    <n v="27.5"/>
    <n v="131"/>
    <n v="159"/>
    <n v="81.3"/>
    <n v="76"/>
    <n v="255"/>
    <n v="331"/>
    <n v="207"/>
    <n v="110"/>
    <n v="69"/>
    <n v="14"/>
    <n v="110"/>
    <n v="1753"/>
    <n v="6"/>
    <n v="0"/>
    <n v="-2"/>
    <n v="111.5"/>
    <n v="114.7"/>
    <n v="-3.2"/>
    <n v="16.100000000000001"/>
    <n v="1.86"/>
    <n v="18.899999999999999"/>
    <n v="4"/>
    <n v="12.5"/>
    <n v="8.4"/>
    <n v="10.199999999999999"/>
    <n v="55.1"/>
    <n v="58.4"/>
    <n v="19.7"/>
    <n v="101.27"/>
    <n v="10.5"/>
    <n v="4046"/>
  </r>
  <r>
    <x v="98"/>
    <x v="13"/>
    <n v="32"/>
    <n v="82"/>
    <n v="48"/>
    <n v="34"/>
    <n v="22.7"/>
    <n v="910"/>
    <n v="328"/>
    <n v="787"/>
    <n v="41.7"/>
    <n v="205"/>
    <n v="549"/>
    <n v="37"/>
    <n v="49"/>
    <n v="66"/>
    <n v="82.8"/>
    <n v="49"/>
    <n v="213"/>
    <n v="262"/>
    <n v="131"/>
    <n v="90"/>
    <n v="66"/>
    <n v="25"/>
    <n v="131"/>
    <n v="1615"/>
    <n v="0"/>
    <n v="0"/>
    <n v="1.7"/>
    <n v="112.3"/>
    <n v="110.1"/>
    <n v="2.2000000000000002"/>
    <n v="10.6"/>
    <n v="1.47"/>
    <n v="13"/>
    <n v="2.5"/>
    <n v="11.1"/>
    <n v="6.6"/>
    <n v="8.8000000000000007"/>
    <n v="54.6"/>
    <n v="56"/>
    <n v="19.600000000000001"/>
    <n v="100.82"/>
    <n v="8.5"/>
    <n v="3937"/>
  </r>
  <r>
    <x v="99"/>
    <x v="22"/>
    <n v="29"/>
    <n v="60"/>
    <n v="21"/>
    <n v="39"/>
    <n v="34.6"/>
    <n v="906"/>
    <n v="348"/>
    <n v="744"/>
    <n v="47"/>
    <n v="72"/>
    <n v="240"/>
    <n v="29.3"/>
    <n v="138"/>
    <n v="186"/>
    <n v="75.099999999999994"/>
    <n v="96"/>
    <n v="270"/>
    <n v="366"/>
    <n v="108"/>
    <n v="78"/>
    <n v="90"/>
    <n v="30"/>
    <n v="180"/>
    <n v="1794"/>
    <n v="10"/>
    <n v="0"/>
    <n v="-4.3"/>
    <n v="110.7"/>
    <n v="116.4"/>
    <n v="-5.7"/>
    <n v="7.9"/>
    <n v="1.35"/>
    <n v="10.7"/>
    <n v="4.5999999999999996"/>
    <n v="14"/>
    <n v="9.1"/>
    <n v="8"/>
    <n v="51.8"/>
    <n v="55.1"/>
    <n v="18.600000000000001"/>
    <n v="98.68"/>
    <n v="8.4"/>
    <n v="4266"/>
  </r>
  <r>
    <x v="100"/>
    <x v="5"/>
    <n v="31"/>
    <n v="53"/>
    <n v="22"/>
    <n v="31"/>
    <n v="32.1"/>
    <n v="901"/>
    <n v="345"/>
    <n v="694"/>
    <n v="49.7"/>
    <n v="101"/>
    <n v="265"/>
    <n v="38.6"/>
    <n v="111"/>
    <n v="138"/>
    <n v="80.3"/>
    <n v="32"/>
    <n v="143"/>
    <n v="175"/>
    <n v="196"/>
    <n v="101"/>
    <n v="58"/>
    <n v="27"/>
    <n v="138"/>
    <n v="1564"/>
    <n v="1"/>
    <n v="0"/>
    <n v="-5.2"/>
    <n v="110.6"/>
    <n v="118.6"/>
    <n v="-8"/>
    <n v="17.7"/>
    <n v="1.97"/>
    <n v="18.600000000000001"/>
    <n v="2.1"/>
    <n v="8.3000000000000007"/>
    <n v="5.4"/>
    <n v="9.4"/>
    <n v="57.1"/>
    <n v="59.8"/>
    <n v="21.9"/>
    <n v="100.02"/>
    <n v="9.3000000000000007"/>
    <n v="3552"/>
  </r>
  <r>
    <x v="101"/>
    <x v="28"/>
    <n v="28"/>
    <n v="47"/>
    <n v="9"/>
    <n v="38"/>
    <n v="31.4"/>
    <n v="893"/>
    <n v="296"/>
    <n v="700"/>
    <n v="42.3"/>
    <n v="136"/>
    <n v="400"/>
    <n v="34.6"/>
    <n v="160"/>
    <n v="183"/>
    <n v="87.6"/>
    <n v="71"/>
    <n v="207"/>
    <n v="277"/>
    <n v="71"/>
    <n v="66"/>
    <n v="33"/>
    <n v="19"/>
    <n v="80"/>
    <n v="1415"/>
    <n v="5"/>
    <n v="0"/>
    <n v="-4"/>
    <n v="111.4"/>
    <n v="117.5"/>
    <n v="-6.1"/>
    <n v="7.4"/>
    <n v="1.06"/>
    <n v="7.7"/>
    <n v="4.5999999999999996"/>
    <n v="13.4"/>
    <n v="9"/>
    <n v="7.2"/>
    <n v="52.1"/>
    <n v="57.1"/>
    <n v="23.1"/>
    <n v="101.64"/>
    <n v="10.3"/>
    <n v="3127"/>
  </r>
  <r>
    <x v="102"/>
    <x v="23"/>
    <n v="25"/>
    <n v="78"/>
    <n v="33"/>
    <n v="45"/>
    <n v="32.700000000000003"/>
    <n v="881"/>
    <n v="328"/>
    <n v="718"/>
    <n v="45.8"/>
    <n v="133"/>
    <n v="359"/>
    <n v="37.5"/>
    <n v="94"/>
    <n v="125"/>
    <n v="72.2"/>
    <n v="172"/>
    <n v="281"/>
    <n v="452"/>
    <n v="172"/>
    <n v="109"/>
    <n v="117"/>
    <n v="47"/>
    <n v="226"/>
    <n v="2075"/>
    <n v="4"/>
    <n v="0"/>
    <n v="-1.5"/>
    <n v="111.5"/>
    <n v="113.3"/>
    <n v="-1.8"/>
    <n v="9.6"/>
    <n v="1.61"/>
    <n v="16.600000000000001"/>
    <n v="6.3"/>
    <n v="11"/>
    <n v="8.6"/>
    <n v="10.3"/>
    <n v="55.2"/>
    <n v="57.2"/>
    <n v="14.3"/>
    <n v="99.38"/>
    <n v="7.6"/>
    <n v="5267"/>
  </r>
  <r>
    <x v="103"/>
    <x v="15"/>
    <n v="27"/>
    <n v="70"/>
    <n v="55"/>
    <n v="15"/>
    <n v="19.899999999999999"/>
    <n v="875"/>
    <n v="322"/>
    <n v="616"/>
    <n v="51.6"/>
    <n v="112"/>
    <n v="252"/>
    <n v="43.9"/>
    <n v="126"/>
    <n v="147"/>
    <n v="87.2"/>
    <n v="49"/>
    <n v="126"/>
    <n v="175"/>
    <n v="238"/>
    <n v="91"/>
    <n v="77"/>
    <n v="0"/>
    <n v="105"/>
    <n v="1589"/>
    <n v="0"/>
    <n v="0"/>
    <n v="4.3"/>
    <n v="120.3"/>
    <n v="110.4"/>
    <n v="9.9"/>
    <n v="24.1"/>
    <n v="2.58"/>
    <n v="23.5"/>
    <n v="3.6"/>
    <n v="8.3000000000000007"/>
    <n v="6"/>
    <n v="9.1"/>
    <n v="60.6"/>
    <n v="64.3"/>
    <n v="22.9"/>
    <n v="101.92"/>
    <n v="13.4"/>
    <n v="2960"/>
  </r>
  <r>
    <x v="104"/>
    <x v="21"/>
    <n v="20"/>
    <n v="67"/>
    <n v="13"/>
    <n v="54"/>
    <n v="27.1"/>
    <n v="871"/>
    <n v="328"/>
    <n v="831"/>
    <n v="39.4"/>
    <n v="107"/>
    <n v="342"/>
    <n v="30.8"/>
    <n v="114"/>
    <n v="168"/>
    <n v="67.900000000000006"/>
    <n v="127"/>
    <n v="308"/>
    <n v="436"/>
    <n v="161"/>
    <n v="114"/>
    <n v="47"/>
    <n v="101"/>
    <n v="147"/>
    <n v="1956"/>
    <n v="10"/>
    <n v="0"/>
    <n v="-8.1"/>
    <n v="102.7"/>
    <n v="116.4"/>
    <n v="-13.7"/>
    <n v="13.9"/>
    <n v="1.41"/>
    <n v="13.7"/>
    <n v="6"/>
    <n v="15.8"/>
    <n v="10.8"/>
    <n v="9.6999999999999993"/>
    <n v="45.7"/>
    <n v="48.2"/>
    <n v="23"/>
    <n v="104.3"/>
    <n v="8.4"/>
    <n v="3939"/>
  </r>
  <r>
    <x v="105"/>
    <x v="25"/>
    <n v="32"/>
    <n v="79"/>
    <n v="37"/>
    <n v="42"/>
    <n v="27"/>
    <n v="869"/>
    <n v="284"/>
    <n v="679"/>
    <n v="41.6"/>
    <n v="111"/>
    <n v="324"/>
    <n v="33.4"/>
    <n v="198"/>
    <n v="245"/>
    <n v="80.2"/>
    <n v="16"/>
    <n v="190"/>
    <n v="205"/>
    <n v="348"/>
    <n v="103"/>
    <n v="71"/>
    <n v="16"/>
    <n v="119"/>
    <n v="1809"/>
    <n v="5"/>
    <n v="0"/>
    <n v="-2.8"/>
    <n v="110.1"/>
    <n v="115.1"/>
    <n v="-5"/>
    <n v="22.8"/>
    <n v="3.42"/>
    <n v="28.3"/>
    <n v="0.8"/>
    <n v="8.6"/>
    <n v="4.8"/>
    <n v="8.3000000000000007"/>
    <n v="49.6"/>
    <n v="55.3"/>
    <n v="17.5"/>
    <n v="101.4"/>
    <n v="8.9"/>
    <n v="4515"/>
  </r>
  <r>
    <x v="106"/>
    <x v="1"/>
    <n v="32"/>
    <n v="72"/>
    <n v="43"/>
    <n v="29"/>
    <n v="33.200000000000003"/>
    <n v="864"/>
    <n v="338"/>
    <n v="511"/>
    <n v="66.900000000000006"/>
    <n v="0"/>
    <n v="0"/>
    <n v="0"/>
    <n v="187"/>
    <n v="274"/>
    <n v="67.400000000000006"/>
    <n v="266"/>
    <n v="518"/>
    <n v="785"/>
    <n v="130"/>
    <n v="86"/>
    <n v="58"/>
    <n v="101"/>
    <n v="180"/>
    <n v="2390"/>
    <n v="36"/>
    <n v="0"/>
    <n v="4.5"/>
    <n v="114.3"/>
    <n v="107.6"/>
    <n v="6.7"/>
    <n v="7.5"/>
    <n v="1.43"/>
    <n v="14.9"/>
    <n v="11.1"/>
    <n v="21"/>
    <n v="16.100000000000001"/>
    <n v="10.5"/>
    <n v="66.900000000000006"/>
    <n v="68.7"/>
    <n v="12.9"/>
    <n v="97.63"/>
    <n v="12.6"/>
    <n v="4858"/>
  </r>
  <r>
    <x v="107"/>
    <x v="8"/>
    <n v="33"/>
    <n v="77"/>
    <n v="41"/>
    <n v="36"/>
    <n v="28"/>
    <n v="847"/>
    <n v="277"/>
    <n v="678"/>
    <n v="40.6"/>
    <n v="169"/>
    <n v="454"/>
    <n v="36.799999999999997"/>
    <n v="123"/>
    <n v="146"/>
    <n v="85.5"/>
    <n v="15"/>
    <n v="162"/>
    <n v="185"/>
    <n v="123"/>
    <n v="46"/>
    <n v="39"/>
    <n v="8"/>
    <n v="92"/>
    <n v="1332"/>
    <n v="0"/>
    <n v="0"/>
    <n v="0.3"/>
    <n v="113.8"/>
    <n v="114.2"/>
    <n v="-0.5"/>
    <n v="7.4"/>
    <n v="2.56"/>
    <n v="13.6"/>
    <n v="0.8"/>
    <n v="7.5"/>
    <n v="4.2"/>
    <n v="5.3"/>
    <n v="52.9"/>
    <n v="56.7"/>
    <n v="15.1"/>
    <n v="100.66"/>
    <n v="6.6"/>
    <n v="4535"/>
  </r>
  <r>
    <x v="108"/>
    <x v="12"/>
    <n v="31"/>
    <n v="60"/>
    <n v="41"/>
    <n v="19"/>
    <n v="35.200000000000003"/>
    <n v="846"/>
    <n v="288"/>
    <n v="762"/>
    <n v="37.799999999999997"/>
    <n v="162"/>
    <n v="462"/>
    <n v="34.5"/>
    <n v="114"/>
    <n v="138"/>
    <n v="81"/>
    <n v="30"/>
    <n v="192"/>
    <n v="222"/>
    <n v="336"/>
    <n v="90"/>
    <n v="96"/>
    <n v="24"/>
    <n v="138"/>
    <n v="1878"/>
    <n v="4"/>
    <n v="0"/>
    <n v="4.4000000000000004"/>
    <n v="115"/>
    <n v="108.8"/>
    <n v="6.2"/>
    <n v="21.7"/>
    <n v="3.83"/>
    <n v="27"/>
    <n v="1.4"/>
    <n v="8.9"/>
    <n v="4.9000000000000004"/>
    <n v="7.1"/>
    <n v="48.3"/>
    <n v="51.5"/>
    <n v="17.600000000000001"/>
    <n v="98.18"/>
    <n v="9.3000000000000007"/>
    <n v="4316"/>
  </r>
  <r>
    <x v="109"/>
    <x v="11"/>
    <n v="33"/>
    <n v="81"/>
    <n v="23"/>
    <n v="58"/>
    <n v="18.8"/>
    <n v="842"/>
    <n v="348"/>
    <n v="624"/>
    <n v="55"/>
    <n v="8"/>
    <n v="41"/>
    <n v="21.6"/>
    <n v="146"/>
    <n v="162"/>
    <n v="87.9"/>
    <n v="186"/>
    <n v="437"/>
    <n v="624"/>
    <n v="162"/>
    <n v="122"/>
    <n v="41"/>
    <n v="49"/>
    <n v="178"/>
    <n v="1968"/>
    <n v="21"/>
    <n v="0"/>
    <n v="-3.8"/>
    <n v="109.2"/>
    <n v="118.8"/>
    <n v="-9.6"/>
    <n v="17.100000000000001"/>
    <n v="1.37"/>
    <n v="16.600000000000001"/>
    <n v="12.2"/>
    <n v="28.6"/>
    <n v="20.3"/>
    <n v="12.2"/>
    <n v="55.7"/>
    <n v="60.2"/>
    <n v="22.2"/>
    <n v="101.28"/>
    <n v="14.7"/>
    <n v="3217"/>
  </r>
  <r>
    <x v="110"/>
    <x v="25"/>
    <n v="26"/>
    <n v="57"/>
    <n v="31"/>
    <n v="26"/>
    <n v="32.200000000000003"/>
    <n v="838"/>
    <n v="302"/>
    <n v="667"/>
    <n v="45.3"/>
    <n v="91"/>
    <n v="239"/>
    <n v="38.1"/>
    <n v="143"/>
    <n v="200"/>
    <n v="72.2"/>
    <n v="80"/>
    <n v="359"/>
    <n v="445"/>
    <n v="131"/>
    <n v="120"/>
    <n v="63"/>
    <n v="63"/>
    <n v="131"/>
    <n v="1813"/>
    <n v="14"/>
    <n v="0"/>
    <n v="0.9"/>
    <n v="114.2"/>
    <n v="113.2"/>
    <n v="1.1000000000000001"/>
    <n v="9.8000000000000007"/>
    <n v="1.1100000000000001"/>
    <n v="13.1"/>
    <n v="4.4000000000000004"/>
    <n v="18.3"/>
    <n v="11.5"/>
    <n v="11.8"/>
    <n v="52.1"/>
    <n v="55.6"/>
    <n v="19.8"/>
    <n v="101.66"/>
    <n v="9.6999999999999993"/>
    <n v="3889"/>
  </r>
  <r>
    <x v="111"/>
    <x v="23"/>
    <n v="21"/>
    <n v="66"/>
    <n v="30"/>
    <n v="36"/>
    <n v="26.7"/>
    <n v="838"/>
    <n v="284"/>
    <n v="686"/>
    <n v="41.9"/>
    <n v="106"/>
    <n v="297"/>
    <n v="35.4"/>
    <n v="158"/>
    <n v="205"/>
    <n v="76.7"/>
    <n v="53"/>
    <n v="145"/>
    <n v="198"/>
    <n v="337"/>
    <n v="178"/>
    <n v="66"/>
    <n v="13"/>
    <n v="178"/>
    <n v="1643"/>
    <n v="2"/>
    <n v="0"/>
    <n v="-0.6"/>
    <n v="112.5"/>
    <n v="113.7"/>
    <n v="-1.3"/>
    <n v="27.4"/>
    <n v="1.89"/>
    <n v="25.9"/>
    <n v="2.8"/>
    <n v="8.3000000000000007"/>
    <n v="5.4"/>
    <n v="13.7"/>
    <n v="49.6"/>
    <n v="54"/>
    <n v="22"/>
    <n v="100.99"/>
    <n v="8.4"/>
    <n v="3705"/>
  </r>
  <r>
    <x v="112"/>
    <x v="29"/>
    <n v="23"/>
    <n v="79"/>
    <n v="25"/>
    <n v="54"/>
    <n v="24.4"/>
    <n v="837"/>
    <n v="300"/>
    <n v="782"/>
    <n v="38.9"/>
    <n v="126"/>
    <n v="403"/>
    <n v="31.4"/>
    <n v="111"/>
    <n v="142"/>
    <n v="77"/>
    <n v="63"/>
    <n v="237"/>
    <n v="300"/>
    <n v="174"/>
    <n v="119"/>
    <n v="79"/>
    <n v="32"/>
    <n v="205"/>
    <n v="1675"/>
    <n v="0"/>
    <n v="0"/>
    <n v="-5.4"/>
    <n v="104.1"/>
    <n v="114.4"/>
    <n v="-10.3"/>
    <n v="14.8"/>
    <n v="1.51"/>
    <n v="15.5"/>
    <n v="3.1"/>
    <n v="12.5"/>
    <n v="7.6"/>
    <n v="10.3"/>
    <n v="47"/>
    <n v="49.9"/>
    <n v="21.2"/>
    <n v="98.77"/>
    <n v="7"/>
    <n v="3954"/>
  </r>
  <r>
    <x v="113"/>
    <x v="17"/>
    <n v="27"/>
    <n v="79"/>
    <n v="48"/>
    <n v="31"/>
    <n v="19.600000000000001"/>
    <n v="830"/>
    <n v="316"/>
    <n v="600"/>
    <n v="52.9"/>
    <n v="111"/>
    <n v="300"/>
    <n v="36.5"/>
    <n v="87"/>
    <n v="111"/>
    <n v="78.099999999999994"/>
    <n v="55"/>
    <n v="261"/>
    <n v="316"/>
    <n v="126"/>
    <n v="71"/>
    <n v="47"/>
    <n v="32"/>
    <n v="111"/>
    <n v="1564"/>
    <n v="2"/>
    <n v="0"/>
    <n v="-1"/>
    <n v="113.6"/>
    <n v="116.1"/>
    <n v="-2.6"/>
    <n v="11.6"/>
    <n v="1.88"/>
    <n v="15.2"/>
    <n v="3.6"/>
    <n v="16.7"/>
    <n v="10.1"/>
    <n v="8.1"/>
    <n v="62.1"/>
    <n v="64.2"/>
    <n v="19.100000000000001"/>
    <n v="103.97"/>
    <n v="11.5"/>
    <n v="3350"/>
  </r>
  <r>
    <x v="114"/>
    <x v="26"/>
    <n v="29"/>
    <n v="57"/>
    <n v="21"/>
    <n v="36"/>
    <n v="29.6"/>
    <n v="827"/>
    <n v="365"/>
    <n v="581"/>
    <n v="62.7"/>
    <n v="0"/>
    <n v="6"/>
    <n v="33.299999999999997"/>
    <n v="97"/>
    <n v="143"/>
    <n v="67.400000000000006"/>
    <n v="188"/>
    <n v="359"/>
    <n v="547"/>
    <n v="160"/>
    <n v="108"/>
    <n v="68"/>
    <n v="68"/>
    <n v="177"/>
    <n v="2018"/>
    <n v="23"/>
    <n v="0"/>
    <n v="-0.6"/>
    <n v="111.2"/>
    <n v="111.9"/>
    <n v="-0.7"/>
    <n v="13.6"/>
    <n v="1.42"/>
    <n v="17.399999999999999"/>
    <n v="11"/>
    <n v="20.6"/>
    <n v="15.8"/>
    <n v="12.2"/>
    <n v="62.8"/>
    <n v="64.099999999999994"/>
    <n v="18.399999999999999"/>
    <n v="101.44"/>
    <n v="13.3"/>
    <n v="3557"/>
  </r>
  <r>
    <x v="115"/>
    <x v="5"/>
    <n v="29"/>
    <n v="81"/>
    <n v="36"/>
    <n v="45"/>
    <n v="26.8"/>
    <n v="826"/>
    <n v="308"/>
    <n v="680"/>
    <n v="44.8"/>
    <n v="162"/>
    <n v="405"/>
    <n v="41.4"/>
    <n v="49"/>
    <n v="57"/>
    <n v="89.5"/>
    <n v="41"/>
    <n v="154"/>
    <n v="194"/>
    <n v="429"/>
    <n v="89"/>
    <n v="73"/>
    <n v="8"/>
    <n v="65"/>
    <n v="1847"/>
    <n v="6"/>
    <n v="0"/>
    <n v="-1.1000000000000001"/>
    <n v="113.6"/>
    <n v="116.1"/>
    <n v="-2.5"/>
    <n v="27.6"/>
    <n v="4.71"/>
    <n v="34.9"/>
    <n v="1.9"/>
    <n v="6.9"/>
    <n v="4.5"/>
    <n v="7.4"/>
    <n v="57"/>
    <n v="58.5"/>
    <n v="16"/>
    <n v="99.19"/>
    <n v="9.9"/>
    <n v="4500"/>
  </r>
  <r>
    <x v="116"/>
    <x v="16"/>
    <n v="21"/>
    <n v="79"/>
    <n v="47"/>
    <n v="32"/>
    <n v="25.9"/>
    <n v="822"/>
    <n v="284"/>
    <n v="679"/>
    <n v="42.5"/>
    <n v="134"/>
    <n v="395"/>
    <n v="35.200000000000003"/>
    <n v="111"/>
    <n v="134"/>
    <n v="82.2"/>
    <n v="87"/>
    <n v="182"/>
    <n v="269"/>
    <n v="134"/>
    <n v="71"/>
    <n v="47"/>
    <n v="8"/>
    <n v="142"/>
    <n v="1438"/>
    <n v="1"/>
    <n v="0"/>
    <n v="2.4"/>
    <n v="116.7"/>
    <n v="111.9"/>
    <n v="4.7"/>
    <n v="8.1999999999999993"/>
    <n v="1.96"/>
    <n v="14.4"/>
    <n v="4"/>
    <n v="8.3000000000000007"/>
    <n v="6.1"/>
    <n v="7.4"/>
    <n v="52.7"/>
    <n v="56"/>
    <n v="15.6"/>
    <n v="104.64"/>
    <n v="6.5"/>
    <n v="4444"/>
  </r>
  <r>
    <x v="117"/>
    <x v="3"/>
    <n v="26"/>
    <n v="74"/>
    <n v="44"/>
    <n v="30"/>
    <n v="25.6"/>
    <n v="821"/>
    <n v="281"/>
    <n v="659"/>
    <n v="43.1"/>
    <n v="178"/>
    <n v="437"/>
    <n v="41.6"/>
    <n v="81"/>
    <n v="89"/>
    <n v="84.8"/>
    <n v="22"/>
    <n v="148"/>
    <n v="170"/>
    <n v="89"/>
    <n v="44"/>
    <n v="74"/>
    <n v="7"/>
    <n v="126"/>
    <n v="1339"/>
    <n v="0"/>
    <n v="0"/>
    <n v="0.9"/>
    <n v="115.9"/>
    <n v="114"/>
    <n v="1.9"/>
    <n v="6.4"/>
    <n v="2.0699999999999998"/>
    <n v="10.6"/>
    <n v="1.1000000000000001"/>
    <n v="7.4"/>
    <n v="4.4000000000000004"/>
    <n v="5.0999999999999996"/>
    <n v="56.8"/>
    <n v="59.1"/>
    <n v="16.8"/>
    <n v="100.75"/>
    <n v="7"/>
    <n v="3972"/>
  </r>
  <r>
    <x v="118"/>
    <x v="4"/>
    <n v="29"/>
    <n v="42"/>
    <n v="30"/>
    <n v="12"/>
    <n v="28.8"/>
    <n v="819"/>
    <n v="277"/>
    <n v="575"/>
    <n v="48.3"/>
    <n v="105"/>
    <n v="252"/>
    <n v="41.2"/>
    <n v="160"/>
    <n v="197"/>
    <n v="80.900000000000006"/>
    <n v="67"/>
    <n v="214"/>
    <n v="286"/>
    <n v="88"/>
    <n v="55"/>
    <n v="29"/>
    <n v="63"/>
    <n v="118"/>
    <n v="1520"/>
    <n v="6"/>
    <n v="0"/>
    <n v="4.0999999999999996"/>
    <n v="116.2"/>
    <n v="110.3"/>
    <n v="5.8"/>
    <n v="11.3"/>
    <n v="1.64"/>
    <n v="10.8"/>
    <n v="5.4"/>
    <n v="16.3"/>
    <n v="11"/>
    <n v="6.6"/>
    <n v="57.2"/>
    <n v="61.8"/>
    <n v="25.3"/>
    <n v="99.83"/>
    <n v="13.2"/>
    <n v="2528"/>
  </r>
  <r>
    <x v="119"/>
    <x v="6"/>
    <n v="31"/>
    <n v="74"/>
    <n v="30"/>
    <n v="44"/>
    <n v="24.1"/>
    <n v="814"/>
    <n v="289"/>
    <n v="666"/>
    <n v="43.7"/>
    <n v="192"/>
    <n v="481"/>
    <n v="39.299999999999997"/>
    <n v="44"/>
    <n v="52"/>
    <n v="88.7"/>
    <n v="15"/>
    <n v="148"/>
    <n v="170"/>
    <n v="178"/>
    <n v="89"/>
    <n v="37"/>
    <n v="7"/>
    <n v="133"/>
    <n v="1332"/>
    <n v="0"/>
    <n v="0"/>
    <n v="0.9"/>
    <n v="110.1"/>
    <n v="109.9"/>
    <n v="0.2"/>
    <n v="14.8"/>
    <n v="2.0499999999999998"/>
    <n v="18.600000000000001"/>
    <n v="1"/>
    <n v="8.4"/>
    <n v="4.7"/>
    <n v="9.1"/>
    <n v="58.1"/>
    <n v="59.5"/>
    <n v="18.7"/>
    <n v="97.68"/>
    <n v="7.8"/>
    <n v="3661"/>
  </r>
  <r>
    <x v="120"/>
    <x v="16"/>
    <n v="24"/>
    <n v="65"/>
    <n v="38"/>
    <n v="27"/>
    <n v="25.5"/>
    <n v="813"/>
    <n v="312"/>
    <n v="650"/>
    <n v="48.3"/>
    <n v="117"/>
    <n v="325"/>
    <n v="36.799999999999997"/>
    <n v="65"/>
    <n v="91"/>
    <n v="69.099999999999994"/>
    <n v="91"/>
    <n v="325"/>
    <n v="416"/>
    <n v="189"/>
    <n v="72"/>
    <n v="52"/>
    <n v="26"/>
    <n v="78"/>
    <n v="1762"/>
    <n v="10"/>
    <n v="0"/>
    <n v="2.2999999999999998"/>
    <n v="116.1"/>
    <n v="112.6"/>
    <n v="3.5"/>
    <n v="14.9"/>
    <n v="2.65"/>
    <n v="19.899999999999999"/>
    <n v="5.2"/>
    <n v="18.100000000000001"/>
    <n v="11.6"/>
    <n v="7.5"/>
    <n v="57.6"/>
    <n v="58.8"/>
    <n v="17.899999999999999"/>
    <n v="105.41"/>
    <n v="12.1"/>
    <n v="3654"/>
  </r>
  <r>
    <x v="121"/>
    <x v="19"/>
    <n v="23"/>
    <n v="82"/>
    <n v="34"/>
    <n v="48"/>
    <n v="23.6"/>
    <n v="812"/>
    <n v="279"/>
    <n v="664"/>
    <n v="41.5"/>
    <n v="180"/>
    <n v="484"/>
    <n v="37.1"/>
    <n v="82"/>
    <n v="90"/>
    <n v="90.4"/>
    <n v="66"/>
    <n v="254"/>
    <n v="320"/>
    <n v="115"/>
    <n v="74"/>
    <n v="57"/>
    <n v="33"/>
    <n v="115"/>
    <n v="1574"/>
    <n v="0"/>
    <n v="0"/>
    <n v="-0.8"/>
    <n v="112.3"/>
    <n v="114.5"/>
    <n v="-2.1"/>
    <n v="7.8"/>
    <n v="1.5"/>
    <n v="12.6"/>
    <n v="3.2"/>
    <n v="12.1"/>
    <n v="7.7"/>
    <n v="8.4"/>
    <n v="54.9"/>
    <n v="57.7"/>
    <n v="16.399999999999999"/>
    <n v="102.25"/>
    <n v="7.9"/>
    <n v="4125"/>
  </r>
  <r>
    <x v="122"/>
    <x v="21"/>
    <n v="19"/>
    <n v="82"/>
    <n v="18"/>
    <n v="64"/>
    <n v="30"/>
    <n v="804"/>
    <n v="303"/>
    <n v="746"/>
    <n v="40.1"/>
    <n v="139"/>
    <n v="410"/>
    <n v="33.9"/>
    <n v="66"/>
    <n v="82"/>
    <n v="81.2"/>
    <n v="33"/>
    <n v="312"/>
    <n v="344"/>
    <n v="361"/>
    <n v="139"/>
    <n v="57"/>
    <n v="25"/>
    <n v="189"/>
    <n v="1845"/>
    <n v="5"/>
    <n v="0"/>
    <n v="-9.6999999999999993"/>
    <n v="102.8"/>
    <n v="118"/>
    <n v="-15.2"/>
    <n v="21.3"/>
    <n v="2.58"/>
    <n v="28.3"/>
    <n v="1.2"/>
    <n v="11.7"/>
    <n v="6.4"/>
    <n v="11"/>
    <n v="49.3"/>
    <n v="51.4"/>
    <n v="15.4"/>
    <n v="103.06"/>
    <n v="7.1"/>
    <n v="5279"/>
  </r>
  <r>
    <x v="123"/>
    <x v="9"/>
    <n v="33"/>
    <n v="37"/>
    <n v="26"/>
    <n v="11"/>
    <n v="31.9"/>
    <n v="796"/>
    <n v="311"/>
    <n v="622"/>
    <n v="49.8"/>
    <n v="78"/>
    <n v="189"/>
    <n v="41.1"/>
    <n v="96"/>
    <n v="122"/>
    <n v="81"/>
    <n v="33"/>
    <n v="185"/>
    <n v="218"/>
    <n v="115"/>
    <n v="70"/>
    <n v="59"/>
    <n v="19"/>
    <n v="56"/>
    <n v="1388"/>
    <n v="5"/>
    <n v="0"/>
    <n v="8"/>
    <n v="120.3"/>
    <n v="107.9"/>
    <n v="12.4"/>
    <n v="14.7"/>
    <n v="1.61"/>
    <n v="13.5"/>
    <n v="3.3"/>
    <n v="15.8"/>
    <n v="9.8000000000000007"/>
    <n v="8.4"/>
    <n v="56"/>
    <n v="58.9"/>
    <n v="28"/>
    <n v="97.26"/>
    <n v="13.4"/>
    <n v="2391"/>
  </r>
  <r>
    <x v="124"/>
    <x v="7"/>
    <n v="31"/>
    <n v="79"/>
    <n v="55"/>
    <n v="24"/>
    <n v="21.5"/>
    <n v="782"/>
    <n v="284"/>
    <n v="616"/>
    <n v="46.1"/>
    <n v="166"/>
    <n v="411"/>
    <n v="40.6"/>
    <n v="47"/>
    <n v="55"/>
    <n v="79.3"/>
    <n v="47"/>
    <n v="221"/>
    <n v="269"/>
    <n v="111"/>
    <n v="79"/>
    <n v="32"/>
    <n v="16"/>
    <n v="198"/>
    <n v="1319"/>
    <n v="1"/>
    <n v="0"/>
    <n v="2.5"/>
    <n v="118.7"/>
    <n v="114.1"/>
    <n v="4.7"/>
    <n v="8.6999999999999993"/>
    <n v="1.35"/>
    <n v="13.2"/>
    <n v="2.7"/>
    <n v="12.6"/>
    <n v="7.7"/>
    <n v="9.8000000000000007"/>
    <n v="59.5"/>
    <n v="60.7"/>
    <n v="17.7"/>
    <n v="102.45"/>
    <n v="7.1"/>
    <n v="3633"/>
  </r>
  <r>
    <x v="125"/>
    <x v="16"/>
    <n v="24"/>
    <n v="79"/>
    <n v="46"/>
    <n v="33"/>
    <n v="21.3"/>
    <n v="782"/>
    <n v="284"/>
    <n v="593"/>
    <n v="48"/>
    <n v="87"/>
    <n v="221"/>
    <n v="39.700000000000003"/>
    <n v="119"/>
    <n v="174"/>
    <n v="71.3"/>
    <n v="63"/>
    <n v="198"/>
    <n v="261"/>
    <n v="348"/>
    <n v="134"/>
    <n v="103"/>
    <n v="32"/>
    <n v="205"/>
    <n v="1872"/>
    <n v="9"/>
    <n v="1"/>
    <n v="0.6"/>
    <n v="111"/>
    <n v="109.7"/>
    <n v="1.3"/>
    <n v="28.3"/>
    <n v="2.5099999999999998"/>
    <n v="30.3"/>
    <n v="3.5"/>
    <n v="10.5"/>
    <n v="7"/>
    <n v="12"/>
    <n v="55.3"/>
    <n v="58.2"/>
    <n v="18.8"/>
    <n v="105.6"/>
    <n v="10.6"/>
    <n v="3700"/>
  </r>
  <r>
    <x v="126"/>
    <x v="9"/>
    <n v="28"/>
    <n v="77"/>
    <n v="48"/>
    <n v="29"/>
    <n v="24.3"/>
    <n v="778"/>
    <n v="308"/>
    <n v="585"/>
    <n v="52.6"/>
    <n v="77"/>
    <n v="216"/>
    <n v="35.6"/>
    <n v="85"/>
    <n v="116"/>
    <n v="70.3"/>
    <n v="92"/>
    <n v="169"/>
    <n v="262"/>
    <n v="62"/>
    <n v="69"/>
    <n v="77"/>
    <n v="31"/>
    <n v="154"/>
    <n v="1455"/>
    <n v="0"/>
    <n v="0"/>
    <n v="3.2"/>
    <n v="115.5"/>
    <n v="108.7"/>
    <n v="6.7"/>
    <n v="4.4000000000000004"/>
    <n v="0.91"/>
    <n v="7.8"/>
    <n v="5.0999999999999996"/>
    <n v="9.1999999999999993"/>
    <n v="7.2"/>
    <n v="8.6"/>
    <n v="59.3"/>
    <n v="60.9"/>
    <n v="16"/>
    <n v="99.72"/>
    <n v="7.6"/>
    <n v="3886"/>
  </r>
  <r>
    <x v="127"/>
    <x v="26"/>
    <n v="21"/>
    <n v="54"/>
    <n v="15"/>
    <n v="39"/>
    <n v="29.4"/>
    <n v="778"/>
    <n v="265"/>
    <n v="648"/>
    <n v="41"/>
    <n v="113"/>
    <n v="324"/>
    <n v="35"/>
    <n v="135"/>
    <n v="157"/>
    <n v="85.8"/>
    <n v="43"/>
    <n v="151"/>
    <n v="194"/>
    <n v="97"/>
    <n v="81"/>
    <n v="49"/>
    <n v="11"/>
    <n v="119"/>
    <n v="1247"/>
    <n v="0"/>
    <n v="0"/>
    <n v="-3.9"/>
    <n v="110.3"/>
    <n v="116.1"/>
    <n v="-5.8"/>
    <n v="8.6999999999999993"/>
    <n v="1.18"/>
    <n v="10.9"/>
    <n v="2.7"/>
    <n v="9.1999999999999993"/>
    <n v="5.9"/>
    <n v="9.3000000000000007"/>
    <n v="49.8"/>
    <n v="54.3"/>
    <n v="20.9"/>
    <n v="101.36"/>
    <n v="7.1"/>
    <n v="3345"/>
  </r>
  <r>
    <x v="128"/>
    <x v="7"/>
    <n v="30"/>
    <n v="64"/>
    <n v="46"/>
    <n v="18"/>
    <n v="24.9"/>
    <n v="774"/>
    <n v="282"/>
    <n v="602"/>
    <n v="46.7"/>
    <n v="109"/>
    <n v="282"/>
    <n v="37.299999999999997"/>
    <n v="109"/>
    <n v="154"/>
    <n v="71"/>
    <n v="38"/>
    <n v="160"/>
    <n v="205"/>
    <n v="218"/>
    <n v="77"/>
    <n v="58"/>
    <n v="32"/>
    <n v="96"/>
    <n v="1536"/>
    <n v="1"/>
    <n v="0"/>
    <n v="4"/>
    <n v="120.5"/>
    <n v="113.4"/>
    <n v="7.2"/>
    <n v="17.8"/>
    <n v="2.83"/>
    <n v="22.5"/>
    <n v="2.6"/>
    <n v="9.6"/>
    <n v="6.2"/>
    <n v="7.9"/>
    <n v="55.6"/>
    <n v="58.2"/>
    <n v="19.100000000000001"/>
    <n v="103.21"/>
    <n v="9.4"/>
    <n v="3437"/>
  </r>
  <r>
    <x v="129"/>
    <x v="28"/>
    <n v="21"/>
    <n v="71"/>
    <n v="14"/>
    <n v="57"/>
    <n v="20.2"/>
    <n v="774"/>
    <n v="277"/>
    <n v="596"/>
    <n v="45.9"/>
    <n v="156"/>
    <n v="369"/>
    <n v="42.2"/>
    <n v="64"/>
    <n v="71"/>
    <n v="89"/>
    <n v="43"/>
    <n v="170"/>
    <n v="213"/>
    <n v="107"/>
    <n v="107"/>
    <n v="43"/>
    <n v="7"/>
    <n v="114"/>
    <n v="1243"/>
    <n v="0"/>
    <n v="0"/>
    <n v="-4"/>
    <n v="109.9"/>
    <n v="119.5"/>
    <n v="-9.6"/>
    <n v="11.7"/>
    <n v="1.03"/>
    <n v="13"/>
    <n v="2.8"/>
    <n v="11"/>
    <n v="6.9"/>
    <n v="12.7"/>
    <n v="59"/>
    <n v="61.2"/>
    <n v="20.8"/>
    <n v="103.21"/>
    <n v="8.6999999999999993"/>
    <n v="3084"/>
  </r>
  <r>
    <x v="130"/>
    <x v="14"/>
    <n v="27"/>
    <n v="59"/>
    <n v="37"/>
    <n v="22"/>
    <n v="31.7"/>
    <n v="773"/>
    <n v="295"/>
    <n v="578"/>
    <n v="50.9"/>
    <n v="100"/>
    <n v="248"/>
    <n v="41.3"/>
    <n v="89"/>
    <n v="112"/>
    <n v="77"/>
    <n v="77"/>
    <n v="218"/>
    <n v="295"/>
    <n v="83"/>
    <n v="47"/>
    <n v="47"/>
    <n v="24"/>
    <n v="106"/>
    <n v="1416"/>
    <n v="1"/>
    <n v="0"/>
    <n v="2.7"/>
    <n v="114.8"/>
    <n v="110.9"/>
    <n v="3.9"/>
    <n v="6.3"/>
    <n v="1.69"/>
    <n v="10.9"/>
    <n v="4.4000000000000004"/>
    <n v="11.1"/>
    <n v="7.9"/>
    <n v="6.5"/>
    <n v="59.7"/>
    <n v="61.9"/>
    <n v="15.6"/>
    <n v="99.44"/>
    <n v="8.6"/>
    <n v="3875"/>
  </r>
  <r>
    <x v="131"/>
    <x v="3"/>
    <n v="25"/>
    <n v="75"/>
    <n v="43"/>
    <n v="32"/>
    <n v="19.8"/>
    <n v="773"/>
    <n v="293"/>
    <n v="653"/>
    <n v="44.9"/>
    <n v="53"/>
    <n v="180"/>
    <n v="31.1"/>
    <n v="128"/>
    <n v="173"/>
    <n v="76.900000000000006"/>
    <n v="45"/>
    <n v="233"/>
    <n v="278"/>
    <n v="255"/>
    <n v="135"/>
    <n v="83"/>
    <n v="15"/>
    <n v="120"/>
    <n v="1635"/>
    <n v="2"/>
    <n v="1"/>
    <n v="0.4"/>
    <n v="109.1"/>
    <n v="108"/>
    <n v="1.1000000000000001"/>
    <n v="27.6"/>
    <n v="1.88"/>
    <n v="22.9"/>
    <n v="2.9"/>
    <n v="14.8"/>
    <n v="9.1999999999999993"/>
    <n v="12.2"/>
    <n v="49.2"/>
    <n v="53.1"/>
    <n v="24.8"/>
    <n v="100.63"/>
    <n v="11.9"/>
    <n v="3104"/>
  </r>
  <r>
    <x v="132"/>
    <x v="1"/>
    <n v="26"/>
    <n v="82"/>
    <n v="49"/>
    <n v="33"/>
    <n v="25.3"/>
    <n v="771"/>
    <n v="271"/>
    <n v="615"/>
    <n v="43.8"/>
    <n v="139"/>
    <n v="369"/>
    <n v="38.1"/>
    <n v="90"/>
    <n v="115"/>
    <n v="78"/>
    <n v="57"/>
    <n v="213"/>
    <n v="262"/>
    <n v="221"/>
    <n v="98"/>
    <n v="49"/>
    <n v="33"/>
    <n v="139"/>
    <n v="1583"/>
    <n v="1"/>
    <n v="0"/>
    <n v="3.3"/>
    <n v="115.1"/>
    <n v="108.5"/>
    <n v="6.6"/>
    <n v="14.9"/>
    <n v="2.25"/>
    <n v="22.7"/>
    <n v="2.6"/>
    <n v="9.8000000000000007"/>
    <n v="6.2"/>
    <n v="10.1"/>
    <n v="55.3"/>
    <n v="57.9"/>
    <n v="15.5"/>
    <n v="99.57"/>
    <n v="8.1"/>
    <n v="4294"/>
  </r>
  <r>
    <x v="133"/>
    <x v="22"/>
    <n v="29"/>
    <n v="70"/>
    <n v="23"/>
    <n v="47"/>
    <n v="27.1"/>
    <n v="770"/>
    <n v="280"/>
    <n v="560"/>
    <n v="50.1"/>
    <n v="105"/>
    <n v="273"/>
    <n v="38"/>
    <n v="98"/>
    <n v="140"/>
    <n v="72.5"/>
    <n v="133"/>
    <n v="259"/>
    <n v="392"/>
    <n v="147"/>
    <n v="84"/>
    <n v="56"/>
    <n v="21"/>
    <n v="161"/>
    <n v="1624"/>
    <n v="3"/>
    <n v="0"/>
    <n v="-1.7"/>
    <n v="113.5"/>
    <n v="116.7"/>
    <n v="-3.2"/>
    <n v="11.4"/>
    <n v="1.7"/>
    <n v="17.2"/>
    <n v="7"/>
    <n v="14.9"/>
    <n v="10.8"/>
    <n v="10.1"/>
    <n v="59.3"/>
    <n v="61.6"/>
    <n v="16.3"/>
    <n v="97.28"/>
    <n v="9.1999999999999993"/>
    <n v="3842"/>
  </r>
  <r>
    <x v="134"/>
    <x v="28"/>
    <n v="27"/>
    <n v="40"/>
    <n v="12"/>
    <n v="28"/>
    <n v="30.5"/>
    <n v="760"/>
    <n v="280"/>
    <n v="532"/>
    <n v="52.7"/>
    <n v="60"/>
    <n v="148"/>
    <n v="39.9"/>
    <n v="140"/>
    <n v="164"/>
    <n v="84.8"/>
    <n v="88"/>
    <n v="240"/>
    <n v="328"/>
    <n v="80"/>
    <n v="104"/>
    <n v="40"/>
    <n v="40"/>
    <n v="116"/>
    <n v="1404"/>
    <n v="13"/>
    <n v="0"/>
    <n v="-0.4"/>
    <n v="112.4"/>
    <n v="113.3"/>
    <n v="-0.9"/>
    <n v="10.5"/>
    <n v="0.78"/>
    <n v="10.199999999999999"/>
    <n v="7.3"/>
    <n v="17.899999999999999"/>
    <n v="12.8"/>
    <n v="13.2"/>
    <n v="58.3"/>
    <n v="62.8"/>
    <n v="23.4"/>
    <n v="101.72"/>
    <n v="12.9"/>
    <n v="2590"/>
  </r>
  <r>
    <x v="135"/>
    <x v="0"/>
    <n v="25"/>
    <n v="74"/>
    <n v="63"/>
    <n v="11"/>
    <n v="21.7"/>
    <n v="755"/>
    <n v="259"/>
    <n v="585"/>
    <n v="44"/>
    <n v="192"/>
    <n v="466"/>
    <n v="41.2"/>
    <n v="44"/>
    <n v="59"/>
    <n v="82.1"/>
    <n v="44"/>
    <n v="155"/>
    <n v="192"/>
    <n v="118"/>
    <n v="37"/>
    <n v="44"/>
    <n v="7"/>
    <n v="111"/>
    <n v="1302"/>
    <n v="0"/>
    <n v="0"/>
    <n v="7.4"/>
    <n v="119.9"/>
    <n v="104.1"/>
    <n v="15.8"/>
    <n v="9.6"/>
    <n v="3.13"/>
    <n v="15.6"/>
    <n v="2.5"/>
    <n v="8.9"/>
    <n v="5.8"/>
    <n v="5"/>
    <n v="60.4"/>
    <n v="61.7"/>
    <n v="16.600000000000001"/>
    <n v="102.23"/>
    <n v="8.9"/>
    <n v="3420"/>
  </r>
  <r>
    <x v="136"/>
    <x v="29"/>
    <n v="24"/>
    <n v="79"/>
    <n v="25"/>
    <n v="54"/>
    <n v="25.7"/>
    <n v="751"/>
    <n v="245"/>
    <n v="616"/>
    <n v="39.700000000000003"/>
    <n v="119"/>
    <n v="363"/>
    <n v="33.700000000000003"/>
    <n v="134"/>
    <n v="166"/>
    <n v="81.8"/>
    <n v="71"/>
    <n v="198"/>
    <n v="269"/>
    <n v="142"/>
    <n v="79"/>
    <n v="40"/>
    <n v="8"/>
    <n v="166"/>
    <n v="1343"/>
    <n v="0"/>
    <n v="0"/>
    <n v="-3.3"/>
    <n v="106.9"/>
    <n v="113.7"/>
    <n v="-6.7"/>
    <n v="11"/>
    <n v="1.84"/>
    <n v="15.9"/>
    <n v="3.5"/>
    <n v="10.199999999999999"/>
    <n v="6.7"/>
    <n v="8.6"/>
    <n v="49.5"/>
    <n v="54.1"/>
    <n v="16.100000000000001"/>
    <n v="97.23"/>
    <n v="6.5"/>
    <n v="4122"/>
  </r>
  <r>
    <x v="137"/>
    <x v="2"/>
    <n v="29"/>
    <n v="51"/>
    <n v="33"/>
    <n v="18"/>
    <n v="28.4"/>
    <n v="750"/>
    <n v="265"/>
    <n v="495"/>
    <n v="53.1"/>
    <n v="77"/>
    <n v="173"/>
    <n v="43.6"/>
    <n v="143"/>
    <n v="179"/>
    <n v="81"/>
    <n v="82"/>
    <n v="168"/>
    <n v="245"/>
    <n v="163"/>
    <n v="71"/>
    <n v="26"/>
    <n v="15"/>
    <n v="82"/>
    <n v="1326"/>
    <n v="3"/>
    <n v="0"/>
    <n v="5.9"/>
    <n v="122.5"/>
    <n v="113"/>
    <n v="9.5"/>
    <n v="14.3"/>
    <n v="2.25"/>
    <n v="20.100000000000001"/>
    <n v="6"/>
    <n v="10.9"/>
    <n v="8.6"/>
    <n v="9"/>
    <n v="60.7"/>
    <n v="65"/>
    <n v="18.600000000000001"/>
    <n v="101.64"/>
    <n v="10.4"/>
    <n v="3068"/>
  </r>
  <r>
    <x v="138"/>
    <x v="25"/>
    <n v="22"/>
    <n v="78"/>
    <n v="40"/>
    <n v="38"/>
    <n v="27.3"/>
    <n v="749"/>
    <n v="250"/>
    <n v="593"/>
    <n v="42.7"/>
    <n v="117"/>
    <n v="312"/>
    <n v="36.6"/>
    <n v="133"/>
    <n v="148"/>
    <n v="85.5"/>
    <n v="39"/>
    <n v="218"/>
    <n v="257"/>
    <n v="148"/>
    <n v="86"/>
    <n v="62"/>
    <n v="31"/>
    <n v="117"/>
    <n v="1474"/>
    <n v="0"/>
    <n v="0"/>
    <n v="-1.1000000000000001"/>
    <n v="112.6"/>
    <n v="114.3"/>
    <n v="-1.7"/>
    <n v="9.3000000000000007"/>
    <n v="1.66"/>
    <n v="16.399999999999999"/>
    <n v="1.9"/>
    <n v="10.199999999999999"/>
    <n v="6.1"/>
    <n v="9.9"/>
    <n v="52.5"/>
    <n v="57"/>
    <n v="15"/>
    <n v="100.27"/>
    <n v="6.9"/>
    <n v="4440"/>
  </r>
  <r>
    <x v="139"/>
    <x v="13"/>
    <n v="22"/>
    <n v="64"/>
    <n v="38"/>
    <n v="26"/>
    <n v="26.8"/>
    <n v="749"/>
    <n v="282"/>
    <n v="627"/>
    <n v="44.5"/>
    <n v="115"/>
    <n v="307"/>
    <n v="37.200000000000003"/>
    <n v="70"/>
    <n v="96"/>
    <n v="75.8"/>
    <n v="64"/>
    <n v="262"/>
    <n v="326"/>
    <n v="218"/>
    <n v="77"/>
    <n v="70"/>
    <n v="13"/>
    <n v="96"/>
    <n v="1638"/>
    <n v="2"/>
    <n v="0"/>
    <n v="4.0999999999999996"/>
    <n v="111.6"/>
    <n v="105.1"/>
    <n v="6.6"/>
    <n v="19.399999999999999"/>
    <n v="2.93"/>
    <n v="22.8"/>
    <n v="3.4"/>
    <n v="15.1"/>
    <n v="8.9"/>
    <n v="7.8"/>
    <n v="53.7"/>
    <n v="55.7"/>
    <n v="17.7"/>
    <n v="100.36"/>
    <n v="11.4"/>
    <n v="3600"/>
  </r>
  <r>
    <x v="140"/>
    <x v="27"/>
    <n v="24"/>
    <n v="30"/>
    <n v="10"/>
    <n v="20"/>
    <n v="28.6"/>
    <n v="738"/>
    <n v="288"/>
    <n v="507"/>
    <n v="56.7"/>
    <n v="3"/>
    <n v="12"/>
    <n v="23.1"/>
    <n v="159"/>
    <n v="240"/>
    <n v="65.599999999999994"/>
    <n v="75"/>
    <n v="141"/>
    <n v="216"/>
    <n v="159"/>
    <n v="90"/>
    <n v="36"/>
    <n v="27"/>
    <n v="81"/>
    <n v="1338"/>
    <n v="8"/>
    <n v="2"/>
    <n v="-1.4"/>
    <n v="113.7"/>
    <n v="115.5"/>
    <n v="-1.8"/>
    <n v="32.5"/>
    <n v="1.77"/>
    <n v="18.5"/>
    <n v="8"/>
    <n v="15.2"/>
    <n v="11.6"/>
    <n v="10.5"/>
    <n v="57"/>
    <n v="60"/>
    <n v="32.5"/>
    <n v="103.3"/>
    <n v="16.7"/>
    <n v="1841"/>
  </r>
  <r>
    <x v="141"/>
    <x v="20"/>
    <n v="21"/>
    <n v="78"/>
    <n v="39"/>
    <n v="39"/>
    <n v="24.2"/>
    <n v="733"/>
    <n v="265"/>
    <n v="616"/>
    <n v="42.3"/>
    <n v="62"/>
    <n v="195"/>
    <n v="31.8"/>
    <n v="148"/>
    <n v="195"/>
    <n v="76.099999999999994"/>
    <n v="55"/>
    <n v="179"/>
    <n v="226"/>
    <n v="242"/>
    <n v="140"/>
    <n v="86"/>
    <n v="47"/>
    <n v="164"/>
    <n v="1638"/>
    <n v="1"/>
    <n v="0"/>
    <n v="-0.5"/>
    <n v="106.2"/>
    <n v="107.1"/>
    <n v="-0.9"/>
    <n v="20.100000000000001"/>
    <n v="1.73"/>
    <n v="22.2"/>
    <n v="2.6"/>
    <n v="10"/>
    <n v="6.1"/>
    <n v="12.8"/>
    <n v="47.3"/>
    <n v="52.1"/>
    <n v="19"/>
    <n v="97.83"/>
    <n v="8.4"/>
    <n v="3844"/>
  </r>
  <r>
    <x v="142"/>
    <x v="29"/>
    <n v="29"/>
    <n v="58"/>
    <n v="26"/>
    <n v="32"/>
    <n v="25.5"/>
    <n v="731"/>
    <n v="249"/>
    <n v="638"/>
    <n v="39"/>
    <n v="110"/>
    <n v="360"/>
    <n v="31.4"/>
    <n v="122"/>
    <n v="145"/>
    <n v="83.4"/>
    <n v="17"/>
    <n v="139"/>
    <n v="162"/>
    <n v="296"/>
    <n v="110"/>
    <n v="58"/>
    <n v="23"/>
    <n v="116"/>
    <n v="1502"/>
    <n v="4"/>
    <n v="0"/>
    <n v="0"/>
    <n v="110.1"/>
    <n v="111.6"/>
    <n v="-1.5"/>
    <n v="30.2"/>
    <n v="2.75"/>
    <n v="26.9"/>
    <n v="1.3"/>
    <n v="9.3000000000000007"/>
    <n v="5.3"/>
    <n v="9.8000000000000007"/>
    <n v="47.9"/>
    <n v="52.2"/>
    <n v="22.8"/>
    <n v="99.59"/>
    <n v="9.8000000000000007"/>
    <n v="3092"/>
  </r>
  <r>
    <x v="143"/>
    <x v="21"/>
    <n v="20"/>
    <n v="59"/>
    <n v="13"/>
    <n v="46"/>
    <n v="33"/>
    <n v="726"/>
    <n v="266"/>
    <n v="625"/>
    <n v="42.1"/>
    <n v="65"/>
    <n v="224"/>
    <n v="28.1"/>
    <n v="136"/>
    <n v="183"/>
    <n v="74.599999999999994"/>
    <n v="89"/>
    <n v="201"/>
    <n v="295"/>
    <n v="201"/>
    <n v="124"/>
    <n v="77"/>
    <n v="41"/>
    <n v="142"/>
    <n v="1611"/>
    <n v="3"/>
    <n v="1"/>
    <n v="-9.9"/>
    <n v="104.5"/>
    <n v="118.3"/>
    <n v="-13.8"/>
    <n v="15"/>
    <n v="1.59"/>
    <n v="19.399999999999999"/>
    <n v="4.3"/>
    <n v="9.8000000000000007"/>
    <n v="7"/>
    <n v="12.2"/>
    <n v="47.2"/>
    <n v="51.5"/>
    <n v="17.5"/>
    <n v="103.22"/>
    <n v="7"/>
    <n v="4183"/>
  </r>
  <r>
    <x v="144"/>
    <x v="13"/>
    <n v="23"/>
    <n v="74"/>
    <n v="45"/>
    <n v="29"/>
    <n v="22.3"/>
    <n v="725"/>
    <n v="244"/>
    <n v="570"/>
    <n v="43.3"/>
    <n v="126"/>
    <n v="340"/>
    <n v="37.4"/>
    <n v="104"/>
    <n v="133"/>
    <n v="79.7"/>
    <n v="52"/>
    <n v="141"/>
    <n v="192"/>
    <n v="96"/>
    <n v="52"/>
    <n v="59"/>
    <n v="30"/>
    <n v="118"/>
    <n v="1310"/>
    <n v="0"/>
    <n v="0"/>
    <n v="1.8"/>
    <n v="113.2"/>
    <n v="108.9"/>
    <n v="4.3"/>
    <n v="8.4"/>
    <n v="1.78"/>
    <n v="12.4"/>
    <n v="2.9"/>
    <n v="8.4"/>
    <n v="5.6"/>
    <n v="7"/>
    <n v="54.4"/>
    <n v="57.8"/>
    <n v="17"/>
    <n v="100.74"/>
    <n v="7.6"/>
    <n v="3454"/>
  </r>
  <r>
    <x v="145"/>
    <x v="1"/>
    <n v="28"/>
    <n v="62"/>
    <n v="37"/>
    <n v="25"/>
    <n v="25.9"/>
    <n v="725"/>
    <n v="248"/>
    <n v="595"/>
    <n v="42.2"/>
    <n v="174"/>
    <n v="440"/>
    <n v="39.700000000000003"/>
    <n v="50"/>
    <n v="62"/>
    <n v="77.8"/>
    <n v="31"/>
    <n v="198"/>
    <n v="229"/>
    <n v="223"/>
    <n v="99"/>
    <n v="74"/>
    <n v="19"/>
    <n v="112"/>
    <n v="1507"/>
    <n v="1"/>
    <n v="0"/>
    <n v="2.8"/>
    <n v="114.2"/>
    <n v="109.1"/>
    <n v="5.0999999999999996"/>
    <n v="20.3"/>
    <n v="2.27"/>
    <n v="23.8"/>
    <n v="2"/>
    <n v="11.5"/>
    <n v="6.8"/>
    <n v="10.5"/>
    <n v="56.8"/>
    <n v="58.2"/>
    <n v="18.8"/>
    <n v="100.17"/>
    <n v="10"/>
    <n v="3352"/>
  </r>
  <r>
    <x v="146"/>
    <x v="19"/>
    <n v="40"/>
    <n v="82"/>
    <n v="34"/>
    <n v="48"/>
    <n v="28"/>
    <n v="722"/>
    <n v="246"/>
    <n v="582"/>
    <n v="42.7"/>
    <n v="139"/>
    <n v="369"/>
    <n v="37.700000000000003"/>
    <n v="82"/>
    <n v="90"/>
    <n v="92.4"/>
    <n v="33"/>
    <n v="262"/>
    <n v="295"/>
    <n v="607"/>
    <n v="131"/>
    <n v="107"/>
    <n v="25"/>
    <n v="148"/>
    <n v="2230"/>
    <n v="12"/>
    <n v="0"/>
    <n v="0"/>
    <n v="114.2"/>
    <n v="115"/>
    <n v="-0.8"/>
    <n v="34.200000000000003"/>
    <n v="4.6900000000000004"/>
    <n v="45"/>
    <n v="1.4"/>
    <n v="11"/>
    <n v="6.2"/>
    <n v="9.6"/>
    <n v="54.7"/>
    <n v="58"/>
    <n v="13.7"/>
    <n v="100.48"/>
    <n v="10.199999999999999"/>
    <n v="4817"/>
  </r>
  <r>
    <x v="147"/>
    <x v="29"/>
    <n v="26"/>
    <n v="70"/>
    <n v="20"/>
    <n v="50"/>
    <n v="26.9"/>
    <n v="721"/>
    <n v="322"/>
    <n v="567"/>
    <n v="56.3"/>
    <n v="7"/>
    <n v="21"/>
    <n v="23.8"/>
    <n v="77"/>
    <n v="154"/>
    <n v="51.3"/>
    <n v="154"/>
    <n v="357"/>
    <n v="518"/>
    <n v="154"/>
    <n v="84"/>
    <n v="63"/>
    <n v="98"/>
    <n v="147"/>
    <n v="1974"/>
    <n v="13"/>
    <n v="0"/>
    <n v="-7.1"/>
    <n v="103.6"/>
    <n v="116.2"/>
    <n v="-12.6"/>
    <n v="14"/>
    <n v="1.8"/>
    <n v="17.899999999999999"/>
    <n v="8"/>
    <n v="19.8"/>
    <n v="13.7"/>
    <n v="9.9"/>
    <n v="56.8"/>
    <n v="56.9"/>
    <n v="16.600000000000001"/>
    <n v="97.38"/>
    <n v="11.5"/>
    <n v="3811"/>
  </r>
  <r>
    <x v="148"/>
    <x v="13"/>
    <n v="22"/>
    <n v="47"/>
    <n v="28"/>
    <n v="19"/>
    <n v="24.3"/>
    <n v="719"/>
    <n v="259"/>
    <n v="569"/>
    <n v="45.4"/>
    <n v="47"/>
    <n v="150"/>
    <n v="30.5"/>
    <n v="155"/>
    <n v="235"/>
    <n v="66.8"/>
    <n v="56"/>
    <n v="160"/>
    <n v="216"/>
    <n v="103"/>
    <n v="71"/>
    <n v="38"/>
    <n v="19"/>
    <n v="89"/>
    <n v="1241"/>
    <n v="2"/>
    <n v="0"/>
    <n v="0.2"/>
    <n v="110"/>
    <n v="108.9"/>
    <n v="1"/>
    <n v="15.1"/>
    <n v="1.46"/>
    <n v="12.2"/>
    <n v="4.5"/>
    <n v="13.4"/>
    <n v="8.8000000000000007"/>
    <n v="8.3000000000000007"/>
    <n v="49.5"/>
    <n v="53.5"/>
    <n v="27.1"/>
    <n v="100.21"/>
    <n v="11"/>
    <n v="2381"/>
  </r>
  <r>
    <x v="149"/>
    <x v="17"/>
    <n v="33"/>
    <n v="79"/>
    <n v="49"/>
    <n v="30"/>
    <n v="17.899999999999999"/>
    <n v="719"/>
    <n v="324"/>
    <n v="624"/>
    <n v="51.9"/>
    <n v="16"/>
    <n v="47"/>
    <n v="30.6"/>
    <n v="55"/>
    <n v="79"/>
    <n v="74"/>
    <n v="47"/>
    <n v="150"/>
    <n v="190"/>
    <n v="348"/>
    <n v="111"/>
    <n v="87"/>
    <n v="24"/>
    <n v="79"/>
    <n v="1683"/>
    <n v="2"/>
    <n v="0"/>
    <n v="-0.7"/>
    <n v="111.1"/>
    <n v="113.8"/>
    <n v="-2.7"/>
    <n v="35.9"/>
    <n v="3.22"/>
    <n v="31.3"/>
    <n v="3.2"/>
    <n v="10.4"/>
    <n v="6.9"/>
    <n v="9.6999999999999993"/>
    <n v="53.1"/>
    <n v="54.7"/>
    <n v="22.6"/>
    <n v="103.69"/>
    <n v="12.9"/>
    <n v="3069"/>
  </r>
  <r>
    <x v="150"/>
    <x v="0"/>
    <n v="26"/>
    <n v="71"/>
    <n v="57"/>
    <n v="14"/>
    <n v="29.2"/>
    <n v="717"/>
    <n v="256"/>
    <n v="596"/>
    <n v="43.5"/>
    <n v="170"/>
    <n v="412"/>
    <n v="41.2"/>
    <n v="36"/>
    <n v="43"/>
    <n v="71.7"/>
    <n v="92"/>
    <n v="206"/>
    <n v="291"/>
    <n v="114"/>
    <n v="50"/>
    <n v="78"/>
    <n v="36"/>
    <n v="206"/>
    <n v="1548"/>
    <n v="0"/>
    <n v="0"/>
    <n v="7.7"/>
    <n v="120.4"/>
    <n v="107.3"/>
    <n v="13.1"/>
    <n v="6.7"/>
    <n v="2.25"/>
    <n v="14.8"/>
    <n v="4.0999999999999996"/>
    <n v="9.3000000000000007"/>
    <n v="6.7"/>
    <n v="6.6"/>
    <n v="57.8"/>
    <n v="58.6"/>
    <n v="13.3"/>
    <n v="101.75"/>
    <n v="6.3"/>
    <n v="4383"/>
  </r>
  <r>
    <x v="151"/>
    <x v="14"/>
    <n v="24"/>
    <n v="78"/>
    <n v="47"/>
    <n v="31"/>
    <n v="19.2"/>
    <n v="710"/>
    <n v="257"/>
    <n v="554"/>
    <n v="46.1"/>
    <n v="125"/>
    <n v="343"/>
    <n v="37.6"/>
    <n v="62"/>
    <n v="86"/>
    <n v="76.2"/>
    <n v="39"/>
    <n v="179"/>
    <n v="218"/>
    <n v="62"/>
    <n v="39"/>
    <n v="23"/>
    <n v="8"/>
    <n v="94"/>
    <n v="1123"/>
    <n v="0"/>
    <n v="0"/>
    <n v="-0.9"/>
    <n v="112.2"/>
    <n v="114.9"/>
    <n v="-2.8"/>
    <n v="6.7"/>
    <n v="1.78"/>
    <n v="9.5"/>
    <n v="2.6"/>
    <n v="11.6"/>
    <n v="7.3"/>
    <n v="5.3"/>
    <n v="57.6"/>
    <n v="59.4"/>
    <n v="18.100000000000001"/>
    <n v="98.26"/>
    <n v="8.6999999999999993"/>
    <n v="3063"/>
  </r>
  <r>
    <x v="152"/>
    <x v="21"/>
    <n v="26"/>
    <n v="61"/>
    <n v="14"/>
    <n v="47"/>
    <n v="26.3"/>
    <n v="708"/>
    <n v="256"/>
    <n v="567"/>
    <n v="45.1"/>
    <n v="122"/>
    <n v="329"/>
    <n v="36.4"/>
    <n v="73"/>
    <n v="85"/>
    <n v="85.2"/>
    <n v="37"/>
    <n v="146"/>
    <n v="183"/>
    <n v="104"/>
    <n v="61"/>
    <n v="24"/>
    <n v="12"/>
    <n v="98"/>
    <n v="1135"/>
    <n v="0"/>
    <n v="0"/>
    <n v="-4.5"/>
    <n v="108.7"/>
    <n v="117.1"/>
    <n v="-8.5"/>
    <n v="9.4"/>
    <n v="1.61"/>
    <n v="13.4"/>
    <n v="2.1"/>
    <n v="8.4"/>
    <n v="5.3"/>
    <n v="8.3000000000000007"/>
    <n v="55.8"/>
    <n v="58.4"/>
    <n v="16.899999999999999"/>
    <n v="102.68"/>
    <n v="7.4"/>
    <n v="3433"/>
  </r>
  <r>
    <x v="153"/>
    <x v="25"/>
    <n v="26"/>
    <n v="57"/>
    <n v="28"/>
    <n v="29"/>
    <n v="21.5"/>
    <n v="701"/>
    <n v="285"/>
    <n v="405"/>
    <n v="70.2"/>
    <n v="0"/>
    <n v="0"/>
    <n v="0"/>
    <n v="137"/>
    <n v="194"/>
    <n v="68.900000000000006"/>
    <n v="154"/>
    <n v="234"/>
    <n v="388"/>
    <n v="80"/>
    <n v="68"/>
    <n v="23"/>
    <n v="103"/>
    <n v="154"/>
    <n v="1596"/>
    <n v="8"/>
    <n v="0"/>
    <n v="0.6"/>
    <n v="114.9"/>
    <n v="113.4"/>
    <n v="1.5"/>
    <n v="9.6999999999999993"/>
    <n v="1.21"/>
    <n v="12.7"/>
    <n v="12.7"/>
    <n v="16.8"/>
    <n v="14.9"/>
    <n v="10.4"/>
    <n v="70.2"/>
    <n v="71.599999999999994"/>
    <n v="18.600000000000001"/>
    <n v="101.73"/>
    <n v="14.1"/>
    <n v="2597"/>
  </r>
  <r>
    <x v="154"/>
    <x v="9"/>
    <n v="27"/>
    <n v="72"/>
    <n v="41"/>
    <n v="31"/>
    <n v="24.3"/>
    <n v="698"/>
    <n v="238"/>
    <n v="511"/>
    <n v="47.1"/>
    <n v="101"/>
    <n v="245"/>
    <n v="40.9"/>
    <n v="115"/>
    <n v="130"/>
    <n v="89.1"/>
    <n v="29"/>
    <n v="130"/>
    <n v="158"/>
    <n v="79"/>
    <n v="43"/>
    <n v="43"/>
    <n v="7"/>
    <n v="122"/>
    <n v="1102"/>
    <n v="0"/>
    <n v="0"/>
    <n v="-0.9"/>
    <n v="109.1"/>
    <n v="110.6"/>
    <n v="-1.4"/>
    <n v="6.5"/>
    <n v="1.71"/>
    <n v="11.2"/>
    <n v="1.9"/>
    <n v="7.2"/>
    <n v="4.5999999999999996"/>
    <n v="6.6"/>
    <n v="57"/>
    <n v="61.4"/>
    <n v="15"/>
    <n v="99.23"/>
    <n v="7.2"/>
    <n v="3606"/>
  </r>
  <r>
    <x v="155"/>
    <x v="12"/>
    <n v="22"/>
    <n v="57"/>
    <n v="40"/>
    <n v="17"/>
    <n v="30.1"/>
    <n v="695"/>
    <n v="251"/>
    <n v="564"/>
    <n v="43.8"/>
    <n v="97"/>
    <n v="279"/>
    <n v="35.4"/>
    <n v="103"/>
    <n v="125"/>
    <n v="82.5"/>
    <n v="103"/>
    <n v="296"/>
    <n v="399"/>
    <n v="63"/>
    <n v="63"/>
    <n v="23"/>
    <n v="40"/>
    <n v="125"/>
    <n v="1402"/>
    <n v="8"/>
    <n v="0"/>
    <n v="4.4000000000000004"/>
    <n v="113.4"/>
    <n v="106.1"/>
    <n v="7.3"/>
    <n v="4.8"/>
    <n v="0.98"/>
    <n v="8.1"/>
    <n v="5.5"/>
    <n v="16.2"/>
    <n v="10.7"/>
    <n v="8.1999999999999993"/>
    <n v="52.5"/>
    <n v="56.2"/>
    <n v="16"/>
    <n v="100"/>
    <n v="9.3000000000000007"/>
    <n v="3569"/>
  </r>
  <r>
    <x v="156"/>
    <x v="28"/>
    <n v="21"/>
    <n v="72"/>
    <n v="13"/>
    <n v="59"/>
    <n v="21.1"/>
    <n v="691"/>
    <n v="259"/>
    <n v="518"/>
    <n v="50.2"/>
    <n v="79"/>
    <n v="223"/>
    <n v="35"/>
    <n v="94"/>
    <n v="144"/>
    <n v="65"/>
    <n v="115"/>
    <n v="331"/>
    <n v="439"/>
    <n v="137"/>
    <n v="101"/>
    <n v="50"/>
    <n v="22"/>
    <n v="173"/>
    <n v="1534"/>
    <n v="13"/>
    <n v="0"/>
    <n v="-5.0999999999999996"/>
    <n v="107.7"/>
    <n v="118.9"/>
    <n v="-11.3"/>
    <n v="14"/>
    <n v="1.37"/>
    <n v="17"/>
    <n v="7"/>
    <n v="21.3"/>
    <n v="14"/>
    <n v="12.4"/>
    <n v="57.6"/>
    <n v="59.4"/>
    <n v="18.399999999999999"/>
    <n v="102.46"/>
    <n v="10.3"/>
    <n v="3248"/>
  </r>
  <r>
    <x v="157"/>
    <x v="4"/>
    <n v="34"/>
    <n v="62"/>
    <n v="47"/>
    <n v="15"/>
    <n v="30.6"/>
    <n v="688"/>
    <n v="254"/>
    <n v="570"/>
    <n v="44.3"/>
    <n v="105"/>
    <n v="304"/>
    <n v="35.299999999999997"/>
    <n v="68"/>
    <n v="74"/>
    <n v="90.9"/>
    <n v="74"/>
    <n v="186"/>
    <n v="267"/>
    <n v="242"/>
    <n v="74"/>
    <n v="68"/>
    <n v="25"/>
    <n v="99"/>
    <n v="1562"/>
    <n v="1"/>
    <n v="0"/>
    <n v="5.5"/>
    <n v="116.6"/>
    <n v="107.7"/>
    <n v="8.9"/>
    <n v="17.399999999999999"/>
    <n v="3.1"/>
    <n v="25.9"/>
    <n v="3.8"/>
    <n v="9.1"/>
    <n v="6.5"/>
    <n v="8.3000000000000007"/>
    <n v="53.8"/>
    <n v="56.5"/>
    <n v="15.6"/>
    <n v="99.38"/>
    <n v="8.8000000000000007"/>
    <n v="3921"/>
  </r>
  <r>
    <x v="158"/>
    <x v="18"/>
    <n v="20"/>
    <n v="80"/>
    <n v="39"/>
    <n v="41"/>
    <n v="18.899999999999999"/>
    <n v="688"/>
    <n v="256"/>
    <n v="552"/>
    <n v="45.4"/>
    <n v="96"/>
    <n v="264"/>
    <n v="36.1"/>
    <n v="88"/>
    <n v="112"/>
    <n v="81.5"/>
    <n v="56"/>
    <n v="224"/>
    <n v="280"/>
    <n v="80"/>
    <n v="72"/>
    <n v="32"/>
    <n v="72"/>
    <n v="128"/>
    <n v="1376"/>
    <n v="1"/>
    <n v="0"/>
    <n v="-0.4"/>
    <n v="110.4"/>
    <n v="112.1"/>
    <n v="-1.7"/>
    <n v="7.2"/>
    <n v="1.07"/>
    <n v="10.4"/>
    <n v="3.5"/>
    <n v="13.3"/>
    <n v="8.5"/>
    <n v="9.8000000000000007"/>
    <n v="54.1"/>
    <n v="57.1"/>
    <n v="18.100000000000001"/>
    <n v="105.38"/>
    <n v="7.9"/>
    <n v="3328"/>
  </r>
  <r>
    <x v="159"/>
    <x v="12"/>
    <n v="24"/>
    <n v="57"/>
    <n v="36"/>
    <n v="21"/>
    <n v="24.9"/>
    <n v="684"/>
    <n v="274"/>
    <n v="559"/>
    <n v="48.7"/>
    <n v="63"/>
    <n v="182"/>
    <n v="34.200000000000003"/>
    <n v="80"/>
    <n v="103"/>
    <n v="76"/>
    <n v="125"/>
    <n v="234"/>
    <n v="365"/>
    <n v="86"/>
    <n v="63"/>
    <n v="97"/>
    <n v="51"/>
    <n v="137"/>
    <n v="1619"/>
    <n v="6"/>
    <n v="0"/>
    <n v="2.5"/>
    <n v="114.8"/>
    <n v="109.2"/>
    <n v="5.6"/>
    <n v="8.1999999999999993"/>
    <n v="1.28"/>
    <n v="11"/>
    <n v="8.1"/>
    <n v="15.8"/>
    <n v="11.8"/>
    <n v="8.6"/>
    <n v="54.3"/>
    <n v="56.7"/>
    <n v="18.5"/>
    <n v="101.55"/>
    <n v="11.7"/>
    <n v="2994"/>
  </r>
  <r>
    <x v="160"/>
    <x v="18"/>
    <n v="26"/>
    <n v="69"/>
    <n v="39"/>
    <n v="30"/>
    <n v="24.3"/>
    <n v="683"/>
    <n v="255"/>
    <n v="607"/>
    <n v="42.5"/>
    <n v="131"/>
    <n v="393"/>
    <n v="33.799999999999997"/>
    <n v="35"/>
    <n v="48"/>
    <n v="71.400000000000006"/>
    <n v="28"/>
    <n v="173"/>
    <n v="207"/>
    <n v="159"/>
    <n v="69"/>
    <n v="69"/>
    <n v="21"/>
    <n v="124"/>
    <n v="1359"/>
    <n v="0"/>
    <n v="0"/>
    <n v="1.5"/>
    <n v="114.5"/>
    <n v="111.7"/>
    <n v="2.8"/>
    <n v="12.4"/>
    <n v="2.33"/>
    <n v="18.399999999999999"/>
    <n v="1.7"/>
    <n v="9.8000000000000007"/>
    <n v="5.8"/>
    <n v="7.9"/>
    <n v="53.5"/>
    <n v="54.4"/>
    <n v="17.100000000000001"/>
    <n v="102.32"/>
    <n v="7.3"/>
    <n v="3581"/>
  </r>
  <r>
    <x v="161"/>
    <x v="5"/>
    <n v="32"/>
    <n v="75"/>
    <n v="33"/>
    <n v="42"/>
    <n v="24.5"/>
    <n v="683"/>
    <n v="240"/>
    <n v="570"/>
    <n v="42.3"/>
    <n v="180"/>
    <n v="443"/>
    <n v="40.6"/>
    <n v="23"/>
    <n v="23"/>
    <n v="73.099999999999994"/>
    <n v="53"/>
    <n v="293"/>
    <n v="353"/>
    <n v="165"/>
    <n v="68"/>
    <n v="68"/>
    <n v="38"/>
    <n v="150"/>
    <n v="1583"/>
    <n v="1"/>
    <n v="0"/>
    <n v="-2.1"/>
    <n v="112.1"/>
    <n v="116.4"/>
    <n v="-4.2"/>
    <n v="12.8"/>
    <n v="2.5099999999999998"/>
    <n v="20.100000000000001"/>
    <n v="2.9"/>
    <n v="15.7"/>
    <n v="9.4"/>
    <n v="8"/>
    <n v="58"/>
    <n v="58.5"/>
    <n v="15.1"/>
    <n v="100.27"/>
    <n v="8.5"/>
    <n v="3840"/>
  </r>
  <r>
    <x v="162"/>
    <x v="3"/>
    <n v="30"/>
    <n v="49"/>
    <n v="30"/>
    <n v="19"/>
    <n v="25.4"/>
    <n v="681"/>
    <n v="279"/>
    <n v="593"/>
    <n v="46.6"/>
    <n v="64"/>
    <n v="176"/>
    <n v="36.5"/>
    <n v="59"/>
    <n v="74"/>
    <n v="83.6"/>
    <n v="88"/>
    <n v="323"/>
    <n v="412"/>
    <n v="103"/>
    <n v="59"/>
    <n v="34"/>
    <n v="25"/>
    <n v="93"/>
    <n v="1455"/>
    <n v="11"/>
    <n v="0"/>
    <n v="1.9"/>
    <n v="114.1"/>
    <n v="110.8"/>
    <n v="3.4"/>
    <n v="12.6"/>
    <n v="1.82"/>
    <n v="13.2"/>
    <n v="7.1"/>
    <n v="23.5"/>
    <n v="15.6"/>
    <n v="7.2"/>
    <n v="52"/>
    <n v="54.2"/>
    <n v="23.4"/>
    <n v="101.2"/>
    <n v="13.1"/>
    <n v="2625"/>
  </r>
  <r>
    <x v="163"/>
    <x v="7"/>
    <n v="23"/>
    <n v="36"/>
    <n v="18"/>
    <n v="18"/>
    <n v="35.700000000000003"/>
    <n v="680"/>
    <n v="270"/>
    <n v="544"/>
    <n v="50"/>
    <n v="43"/>
    <n v="140"/>
    <n v="31.2"/>
    <n v="94"/>
    <n v="126"/>
    <n v="74.599999999999994"/>
    <n v="61"/>
    <n v="299"/>
    <n v="360"/>
    <n v="180"/>
    <n v="104"/>
    <n v="58"/>
    <n v="36"/>
    <n v="68"/>
    <n v="1552"/>
    <n v="20"/>
    <n v="1"/>
    <n v="1.5"/>
    <n v="111.8"/>
    <n v="110.2"/>
    <n v="1.6"/>
    <n v="20.3"/>
    <n v="1.71"/>
    <n v="20.5"/>
    <n v="4.5999999999999996"/>
    <n v="21.6"/>
    <n v="13.2"/>
    <n v="12"/>
    <n v="54.1"/>
    <n v="56.9"/>
    <n v="21.4"/>
    <n v="106.68"/>
    <n v="13.5"/>
    <n v="2858"/>
  </r>
  <r>
    <x v="164"/>
    <x v="6"/>
    <n v="31"/>
    <n v="64"/>
    <n v="27"/>
    <n v="37"/>
    <n v="25.9"/>
    <n v="678"/>
    <n v="250"/>
    <n v="634"/>
    <n v="39.1"/>
    <n v="90"/>
    <n v="307"/>
    <n v="29.5"/>
    <n v="90"/>
    <n v="109"/>
    <n v="85.2"/>
    <n v="45"/>
    <n v="192"/>
    <n v="237"/>
    <n v="166"/>
    <n v="77"/>
    <n v="38"/>
    <n v="13"/>
    <n v="70"/>
    <n v="1293"/>
    <n v="0"/>
    <n v="0"/>
    <n v="-2.2000000000000002"/>
    <n v="107.3"/>
    <n v="112.3"/>
    <n v="-4.9000000000000004"/>
    <n v="15.2"/>
    <n v="2.14"/>
    <n v="18.100000000000001"/>
    <n v="2.5"/>
    <n v="11.3"/>
    <n v="6.8"/>
    <n v="8.4"/>
    <n v="46.2"/>
    <n v="49.7"/>
    <n v="19.5"/>
    <n v="99.13"/>
    <n v="7.8"/>
    <n v="3437"/>
  </r>
  <r>
    <x v="165"/>
    <x v="5"/>
    <n v="29"/>
    <n v="64"/>
    <n v="29"/>
    <n v="35"/>
    <n v="24.1"/>
    <n v="678"/>
    <n v="218"/>
    <n v="486"/>
    <n v="44.8"/>
    <n v="147"/>
    <n v="352"/>
    <n v="42.6"/>
    <n v="96"/>
    <n v="115"/>
    <n v="81.599999999999994"/>
    <n v="32"/>
    <n v="160"/>
    <n v="192"/>
    <n v="134"/>
    <n v="77"/>
    <n v="51"/>
    <n v="19"/>
    <n v="96"/>
    <n v="1261"/>
    <n v="1"/>
    <n v="0"/>
    <n v="-1.2"/>
    <n v="114.7"/>
    <n v="118"/>
    <n v="-3.3"/>
    <n v="12.5"/>
    <n v="1.83"/>
    <n v="18.2"/>
    <n v="2.2999999999999998"/>
    <n v="10.3"/>
    <n v="6.4"/>
    <n v="10"/>
    <n v="60"/>
    <n v="63.1"/>
    <n v="16.899999999999999"/>
    <n v="100.84"/>
    <n v="8.4"/>
    <n v="3255"/>
  </r>
  <r>
    <x v="166"/>
    <x v="23"/>
    <n v="31"/>
    <n v="47"/>
    <n v="22"/>
    <n v="25"/>
    <n v="32.4"/>
    <n v="677"/>
    <n v="216"/>
    <n v="573"/>
    <n v="37.299999999999997"/>
    <n v="108"/>
    <n v="296"/>
    <n v="36.5"/>
    <n v="141"/>
    <n v="165"/>
    <n v="84.9"/>
    <n v="28"/>
    <n v="136"/>
    <n v="165"/>
    <n v="99"/>
    <n v="66"/>
    <n v="42"/>
    <n v="47"/>
    <n v="108"/>
    <n v="1222"/>
    <n v="0"/>
    <n v="0"/>
    <n v="-4.3"/>
    <n v="107.4"/>
    <n v="113.4"/>
    <n v="-6.1"/>
    <n v="9.9"/>
    <n v="1.55"/>
    <n v="12.5"/>
    <n v="1.5"/>
    <n v="8.8000000000000007"/>
    <n v="5"/>
    <n v="8"/>
    <n v="46.7"/>
    <n v="52.3"/>
    <n v="19.2"/>
    <n v="100.41"/>
    <n v="7"/>
    <n v="3183"/>
  </r>
  <r>
    <x v="167"/>
    <x v="24"/>
    <n v="23"/>
    <n v="44"/>
    <n v="9"/>
    <n v="35"/>
    <n v="26.6"/>
    <n v="673"/>
    <n v="268"/>
    <n v="449"/>
    <n v="60.4"/>
    <n v="0"/>
    <n v="4"/>
    <n v="0"/>
    <n v="132"/>
    <n v="163"/>
    <n v="80.400000000000006"/>
    <n v="132"/>
    <n v="317"/>
    <n v="449"/>
    <n v="110"/>
    <n v="70"/>
    <n v="31"/>
    <n v="53"/>
    <n v="106"/>
    <n v="1558"/>
    <n v="21"/>
    <n v="0"/>
    <n v="-6.8"/>
    <n v="106.3"/>
    <n v="118.9"/>
    <n v="-12.7"/>
    <n v="15.4"/>
    <n v="1.54"/>
    <n v="15.7"/>
    <n v="10.3"/>
    <n v="25.5"/>
    <n v="17.8"/>
    <n v="10.199999999999999"/>
    <n v="60.4"/>
    <n v="64.7"/>
    <n v="21"/>
    <n v="100.77"/>
    <n v="15.6"/>
    <n v="2463"/>
  </r>
  <r>
    <x v="168"/>
    <x v="20"/>
    <n v="32"/>
    <n v="77"/>
    <n v="38"/>
    <n v="39"/>
    <n v="29.6"/>
    <n v="670"/>
    <n v="239"/>
    <n v="547"/>
    <n v="43.9"/>
    <n v="116"/>
    <n v="331"/>
    <n v="34.200000000000003"/>
    <n v="85"/>
    <n v="92"/>
    <n v="86.3"/>
    <n v="31"/>
    <n v="139"/>
    <n v="169"/>
    <n v="139"/>
    <n v="62"/>
    <n v="100"/>
    <n v="31"/>
    <n v="139"/>
    <n v="1417"/>
    <n v="0"/>
    <n v="0"/>
    <n v="0.1"/>
    <n v="109.1"/>
    <n v="108.6"/>
    <n v="0.5"/>
    <n v="8.6"/>
    <n v="2.19"/>
    <n v="17.7"/>
    <n v="1.4"/>
    <n v="6.4"/>
    <n v="3.8"/>
    <n v="8.1"/>
    <n v="54.3"/>
    <n v="57.4"/>
    <n v="12.1"/>
    <n v="96.52"/>
    <n v="6.5"/>
    <n v="4577"/>
  </r>
  <r>
    <x v="169"/>
    <x v="26"/>
    <n v="25"/>
    <n v="64"/>
    <n v="19"/>
    <n v="45"/>
    <n v="27.2"/>
    <n v="666"/>
    <n v="269"/>
    <n v="531"/>
    <n v="49.8"/>
    <n v="102"/>
    <n v="256"/>
    <n v="39.9"/>
    <n v="32"/>
    <n v="51"/>
    <n v="70.8"/>
    <n v="64"/>
    <n v="179"/>
    <n v="243"/>
    <n v="96"/>
    <n v="51"/>
    <n v="58"/>
    <n v="32"/>
    <n v="128"/>
    <n v="1312"/>
    <n v="0"/>
    <n v="0"/>
    <n v="-3.3"/>
    <n v="106.4"/>
    <n v="112.2"/>
    <n v="-5.7"/>
    <n v="8.1"/>
    <n v="1.81"/>
    <n v="13.9"/>
    <n v="3.3"/>
    <n v="9.8000000000000007"/>
    <n v="6.6"/>
    <n v="7.6"/>
    <n v="59.3"/>
    <n v="60.1"/>
    <n v="14.4"/>
    <n v="101.93"/>
    <n v="8.1"/>
    <n v="3691"/>
  </r>
  <r>
    <x v="170"/>
    <x v="27"/>
    <n v="21"/>
    <n v="73"/>
    <n v="19"/>
    <n v="54"/>
    <n v="26.8"/>
    <n v="664"/>
    <n v="270"/>
    <n v="489"/>
    <n v="54.7"/>
    <n v="0"/>
    <n v="0"/>
    <n v="0"/>
    <n v="124"/>
    <n v="204"/>
    <n v="62.3"/>
    <n v="256"/>
    <n v="343"/>
    <n v="599"/>
    <n v="102"/>
    <n v="80"/>
    <n v="37"/>
    <n v="95"/>
    <n v="146"/>
    <n v="1854"/>
    <n v="14"/>
    <n v="0"/>
    <n v="-7"/>
    <n v="107.8"/>
    <n v="120.5"/>
    <n v="-12.7"/>
    <n v="7.2"/>
    <n v="1.21"/>
    <n v="12.9"/>
    <n v="12.2"/>
    <n v="17.7"/>
    <n v="14.9"/>
    <n v="10.7"/>
    <n v="54.7"/>
    <n v="57.2"/>
    <n v="14.1"/>
    <n v="99.85"/>
    <n v="9"/>
    <n v="4069"/>
  </r>
  <r>
    <x v="171"/>
    <x v="22"/>
    <n v="35"/>
    <n v="41"/>
    <n v="15"/>
    <n v="26"/>
    <n v="32.5"/>
    <n v="664"/>
    <n v="246"/>
    <n v="570"/>
    <n v="43"/>
    <n v="94"/>
    <n v="267"/>
    <n v="35.799999999999997"/>
    <n v="78"/>
    <n v="98"/>
    <n v="81.400000000000006"/>
    <n v="25"/>
    <n v="197"/>
    <n v="217"/>
    <n v="176"/>
    <n v="107"/>
    <n v="74"/>
    <n v="21"/>
    <n v="103"/>
    <n v="1374"/>
    <n v="3"/>
    <n v="0"/>
    <n v="-2"/>
    <n v="108.3"/>
    <n v="112.2"/>
    <n v="-3.8"/>
    <n v="21.7"/>
    <n v="1.68"/>
    <n v="19.899999999999999"/>
    <n v="1.8"/>
    <n v="15.3"/>
    <n v="8.3000000000000007"/>
    <n v="11.8"/>
    <n v="51.4"/>
    <n v="54.3"/>
    <n v="23.3"/>
    <n v="98.87"/>
    <n v="10.6"/>
    <n v="2757"/>
  </r>
  <r>
    <x v="172"/>
    <x v="11"/>
    <n v="25"/>
    <n v="80"/>
    <n v="39"/>
    <n v="41"/>
    <n v="24.4"/>
    <n v="664"/>
    <n v="224"/>
    <n v="464"/>
    <n v="48.9"/>
    <n v="136"/>
    <n v="320"/>
    <n v="43.3"/>
    <n v="72"/>
    <n v="88"/>
    <n v="84.9"/>
    <n v="64"/>
    <n v="152"/>
    <n v="216"/>
    <n v="120"/>
    <n v="72"/>
    <n v="120"/>
    <n v="64"/>
    <n v="176"/>
    <n v="1584"/>
    <n v="0"/>
    <n v="0"/>
    <n v="0.8"/>
    <n v="116.1"/>
    <n v="113.2"/>
    <n v="3"/>
    <n v="8"/>
    <n v="1.69"/>
    <n v="17.399999999999999"/>
    <n v="3.1"/>
    <n v="7.9"/>
    <n v="5.5"/>
    <n v="10.3"/>
    <n v="63.9"/>
    <n v="66.400000000000006"/>
    <n v="12.5"/>
    <n v="99.07"/>
    <n v="7.3"/>
    <n v="3997"/>
  </r>
  <r>
    <x v="173"/>
    <x v="3"/>
    <n v="31"/>
    <n v="80"/>
    <n v="46"/>
    <n v="34"/>
    <n v="27.1"/>
    <n v="656"/>
    <n v="232"/>
    <n v="512"/>
    <n v="45.7"/>
    <n v="144"/>
    <n v="336"/>
    <n v="43.9"/>
    <n v="40"/>
    <n v="48"/>
    <n v="81.3"/>
    <n v="32"/>
    <n v="256"/>
    <n v="288"/>
    <n v="152"/>
    <n v="80"/>
    <n v="80"/>
    <n v="16"/>
    <n v="168"/>
    <n v="1424"/>
    <n v="1"/>
    <n v="0"/>
    <n v="-0.3"/>
    <n v="114"/>
    <n v="114.5"/>
    <n v="-0.4"/>
    <n v="9.3000000000000007"/>
    <n v="1.89"/>
    <n v="20.100000000000001"/>
    <n v="1.6"/>
    <n v="11"/>
    <n v="6.5"/>
    <n v="10.6"/>
    <n v="60"/>
    <n v="61.3"/>
    <n v="12.3"/>
    <n v="100.95"/>
    <n v="6.4"/>
    <n v="4554"/>
  </r>
  <r>
    <x v="174"/>
    <x v="17"/>
    <n v="25"/>
    <n v="65"/>
    <n v="44"/>
    <n v="21"/>
    <n v="28.9"/>
    <n v="650"/>
    <n v="247"/>
    <n v="540"/>
    <n v="45.8"/>
    <n v="52"/>
    <n v="176"/>
    <n v="29.1"/>
    <n v="111"/>
    <n v="137"/>
    <n v="79.400000000000006"/>
    <n v="33"/>
    <n v="182"/>
    <n v="215"/>
    <n v="325"/>
    <n v="111"/>
    <n v="78"/>
    <n v="13"/>
    <n v="150"/>
    <n v="1560"/>
    <n v="2"/>
    <n v="0"/>
    <n v="3.1"/>
    <n v="115.5"/>
    <n v="110.2"/>
    <n v="5.3"/>
    <n v="22.5"/>
    <n v="2.91"/>
    <n v="31.4"/>
    <n v="1.8"/>
    <n v="9.3000000000000007"/>
    <n v="5.7"/>
    <n v="10.8"/>
    <n v="50.6"/>
    <n v="54.5"/>
    <n v="16.3"/>
    <n v="101.31"/>
    <n v="8.1"/>
    <n v="3967"/>
  </r>
  <r>
    <x v="175"/>
    <x v="28"/>
    <n v="23"/>
    <n v="58"/>
    <n v="14"/>
    <n v="44"/>
    <n v="30"/>
    <n v="644"/>
    <n v="278"/>
    <n v="418"/>
    <n v="66.3"/>
    <n v="6"/>
    <n v="35"/>
    <n v="17.600000000000001"/>
    <n v="81"/>
    <n v="151"/>
    <n v="52"/>
    <n v="267"/>
    <n v="441"/>
    <n v="708"/>
    <n v="99"/>
    <n v="87"/>
    <n v="35"/>
    <n v="139"/>
    <n v="128"/>
    <n v="2071"/>
    <n v="28"/>
    <n v="0"/>
    <n v="-5.7"/>
    <n v="109.2"/>
    <n v="118.3"/>
    <n v="-9.1"/>
    <n v="8.3000000000000007"/>
    <n v="1.1299999999999999"/>
    <n v="14.6"/>
    <n v="14.5"/>
    <n v="23.5"/>
    <n v="19"/>
    <n v="13"/>
    <n v="67.099999999999994"/>
    <n v="66"/>
    <n v="13.3"/>
    <n v="100.8"/>
    <n v="12.7"/>
    <n v="3656"/>
  </r>
  <r>
    <x v="176"/>
    <x v="0"/>
    <n v="27"/>
    <n v="57"/>
    <n v="49"/>
    <n v="8"/>
    <n v="27.9"/>
    <n v="638"/>
    <n v="279"/>
    <n v="479"/>
    <n v="58.1"/>
    <n v="0"/>
    <n v="17"/>
    <n v="0"/>
    <n v="80"/>
    <n v="120"/>
    <n v="67.5"/>
    <n v="165"/>
    <n v="450"/>
    <n v="610"/>
    <n v="217"/>
    <n v="97"/>
    <n v="46"/>
    <n v="63"/>
    <n v="171"/>
    <n v="1927"/>
    <n v="28"/>
    <n v="0"/>
    <n v="7.3"/>
    <n v="118.3"/>
    <n v="105.3"/>
    <n v="13"/>
    <n v="17.7"/>
    <n v="2.27"/>
    <n v="25.8"/>
    <n v="10.3"/>
    <n v="26.2"/>
    <n v="18.5"/>
    <n v="11.3"/>
    <n v="58.1"/>
    <n v="59.9"/>
    <n v="16.5"/>
    <n v="101.56"/>
    <n v="13.8"/>
    <n v="3355"/>
  </r>
  <r>
    <x v="177"/>
    <x v="29"/>
    <n v="23"/>
    <n v="63"/>
    <n v="22"/>
    <n v="41"/>
    <n v="24.5"/>
    <n v="630"/>
    <n v="214"/>
    <n v="523"/>
    <n v="41.2"/>
    <n v="101"/>
    <n v="302"/>
    <n v="34.1"/>
    <n v="101"/>
    <n v="126"/>
    <n v="82.1"/>
    <n v="63"/>
    <n v="227"/>
    <n v="290"/>
    <n v="82"/>
    <n v="69"/>
    <n v="63"/>
    <n v="25"/>
    <n v="151"/>
    <n v="1304"/>
    <n v="2"/>
    <n v="0"/>
    <n v="-5.2"/>
    <n v="106.5"/>
    <n v="116.2"/>
    <n v="-9.6999999999999993"/>
    <n v="8.6"/>
    <n v="1.25"/>
    <n v="11.6"/>
    <n v="3.7"/>
    <n v="15.4"/>
    <n v="9.3000000000000007"/>
    <n v="9.3000000000000007"/>
    <n v="51.1"/>
    <n v="55"/>
    <n v="17.899999999999999"/>
    <n v="97.77"/>
    <n v="8.1"/>
    <n v="3128"/>
  </r>
  <r>
    <x v="178"/>
    <x v="20"/>
    <n v="25"/>
    <n v="67"/>
    <n v="35"/>
    <n v="32"/>
    <n v="18.399999999999999"/>
    <n v="630"/>
    <n v="228"/>
    <n v="543"/>
    <n v="42.4"/>
    <n v="74"/>
    <n v="221"/>
    <n v="35.299999999999997"/>
    <n v="94"/>
    <n v="114"/>
    <n v="82.3"/>
    <n v="47"/>
    <n v="161"/>
    <n v="201"/>
    <n v="194"/>
    <n v="101"/>
    <n v="47"/>
    <n v="34"/>
    <n v="154"/>
    <n v="1286"/>
    <n v="0"/>
    <n v="0"/>
    <n v="-0.2"/>
    <n v="107.7"/>
    <n v="109"/>
    <n v="-1.2"/>
    <n v="25.3"/>
    <n v="1.85"/>
    <n v="21.6"/>
    <n v="3.4"/>
    <n v="13.1"/>
    <n v="8"/>
    <n v="11.6"/>
    <n v="49.4"/>
    <n v="53.1"/>
    <n v="23.8"/>
    <n v="97.7"/>
    <n v="10.5"/>
    <n v="2519"/>
  </r>
  <r>
    <x v="179"/>
    <x v="20"/>
    <n v="26"/>
    <n v="68"/>
    <n v="31"/>
    <n v="37"/>
    <n v="25.9"/>
    <n v="619"/>
    <n v="224"/>
    <n v="490"/>
    <n v="46"/>
    <n v="34"/>
    <n v="156"/>
    <n v="23.4"/>
    <n v="129"/>
    <n v="177"/>
    <n v="73.7"/>
    <n v="150"/>
    <n v="340"/>
    <n v="490"/>
    <n v="136"/>
    <n v="75"/>
    <n v="54"/>
    <n v="41"/>
    <n v="197"/>
    <n v="1612"/>
    <n v="10"/>
    <n v="0"/>
    <n v="-0.2"/>
    <n v="107.8"/>
    <n v="107.8"/>
    <n v="0"/>
    <n v="11.7"/>
    <n v="1.74"/>
    <n v="17.2"/>
    <n v="8.3000000000000007"/>
    <n v="20.2"/>
    <n v="14"/>
    <n v="9.9"/>
    <n v="49.8"/>
    <n v="54.4"/>
    <n v="15.9"/>
    <n v="97.19"/>
    <n v="9.9"/>
    <n v="3554"/>
  </r>
  <r>
    <x v="180"/>
    <x v="28"/>
    <n v="20"/>
    <n v="71"/>
    <n v="14"/>
    <n v="57"/>
    <n v="25.9"/>
    <n v="618"/>
    <n v="234"/>
    <n v="554"/>
    <n v="42.2"/>
    <n v="43"/>
    <n v="170"/>
    <n v="24.9"/>
    <n v="107"/>
    <n v="156"/>
    <n v="68.2"/>
    <n v="36"/>
    <n v="206"/>
    <n v="234"/>
    <n v="447"/>
    <n v="206"/>
    <n v="64"/>
    <n v="14"/>
    <n v="149"/>
    <n v="1605"/>
    <n v="11"/>
    <n v="0"/>
    <n v="-5.7"/>
    <n v="108.3"/>
    <n v="118.6"/>
    <n v="-10.4"/>
    <n v="34.200000000000003"/>
    <n v="2.14"/>
    <n v="34.9"/>
    <n v="1.7"/>
    <n v="10.4"/>
    <n v="6.1"/>
    <n v="16.3"/>
    <n v="45.9"/>
    <n v="49.4"/>
    <n v="18.600000000000001"/>
    <n v="102.44"/>
    <n v="7.7"/>
    <n v="3927"/>
  </r>
  <r>
    <x v="181"/>
    <x v="19"/>
    <n v="22"/>
    <n v="54"/>
    <n v="21"/>
    <n v="33"/>
    <n v="25.3"/>
    <n v="616"/>
    <n v="248"/>
    <n v="470"/>
    <n v="53.5"/>
    <n v="27"/>
    <n v="92"/>
    <n v="30.8"/>
    <n v="86"/>
    <n v="124"/>
    <n v="69.599999999999994"/>
    <n v="130"/>
    <n v="227"/>
    <n v="351"/>
    <n v="130"/>
    <n v="86"/>
    <n v="43"/>
    <n v="27"/>
    <n v="130"/>
    <n v="1361"/>
    <n v="8"/>
    <n v="0"/>
    <n v="-1.6"/>
    <n v="111.9"/>
    <n v="114.5"/>
    <n v="-2.7"/>
    <n v="13.8"/>
    <n v="1.52"/>
    <n v="17.399999999999999"/>
    <n v="8.8000000000000007"/>
    <n v="15.4"/>
    <n v="12.1"/>
    <n v="11.4"/>
    <n v="56.5"/>
    <n v="58.9"/>
    <n v="18.399999999999999"/>
    <n v="101.53"/>
    <n v="10.1"/>
    <n v="2880"/>
  </r>
  <r>
    <x v="182"/>
    <x v="13"/>
    <n v="35"/>
    <n v="68"/>
    <n v="42"/>
    <n v="26"/>
    <n v="29.2"/>
    <n v="612"/>
    <n v="218"/>
    <n v="510"/>
    <n v="42.4"/>
    <n v="82"/>
    <n v="245"/>
    <n v="32.5"/>
    <n v="102"/>
    <n v="150"/>
    <n v="68.7"/>
    <n v="75"/>
    <n v="340"/>
    <n v="415"/>
    <n v="381"/>
    <n v="177"/>
    <n v="102"/>
    <n v="68"/>
    <n v="218"/>
    <n v="2020"/>
    <n v="6"/>
    <n v="1"/>
    <n v="4"/>
    <n v="115.4"/>
    <n v="108.8"/>
    <n v="6.6"/>
    <n v="25.5"/>
    <n v="2.2000000000000002"/>
    <n v="33.9"/>
    <n v="3.6"/>
    <n v="16.8"/>
    <n v="10.199999999999999"/>
    <n v="15.4"/>
    <n v="50.3"/>
    <n v="53.4"/>
    <n v="15.7"/>
    <n v="101.35"/>
    <n v="8.8000000000000007"/>
    <n v="4186"/>
  </r>
  <r>
    <x v="183"/>
    <x v="10"/>
    <n v="24"/>
    <n v="64"/>
    <n v="39"/>
    <n v="25"/>
    <n v="24.9"/>
    <n v="608"/>
    <n v="224"/>
    <n v="544"/>
    <n v="40.6"/>
    <n v="115"/>
    <n v="314"/>
    <n v="36.9"/>
    <n v="51"/>
    <n v="64"/>
    <n v="81.3"/>
    <n v="45"/>
    <n v="115"/>
    <n v="160"/>
    <n v="186"/>
    <n v="38"/>
    <n v="64"/>
    <n v="19"/>
    <n v="109"/>
    <n v="1293"/>
    <n v="0"/>
    <n v="0"/>
    <n v="3.3"/>
    <n v="116.8"/>
    <n v="109.7"/>
    <n v="7.1"/>
    <n v="15.5"/>
    <n v="4.5599999999999996"/>
    <n v="23.3"/>
    <n v="2.8"/>
    <n v="6.9"/>
    <n v="4.9000000000000004"/>
    <n v="5.0999999999999996"/>
    <n v="51.1"/>
    <n v="53.1"/>
    <n v="16.2"/>
    <n v="99.2"/>
    <n v="7.7"/>
    <n v="3283"/>
  </r>
  <r>
    <x v="184"/>
    <x v="16"/>
    <n v="23"/>
    <n v="66"/>
    <n v="35"/>
    <n v="31"/>
    <n v="21.5"/>
    <n v="607"/>
    <n v="251"/>
    <n v="436"/>
    <n v="58"/>
    <n v="20"/>
    <n v="53"/>
    <n v="34.6"/>
    <n v="92"/>
    <n v="125"/>
    <n v="70.900000000000006"/>
    <n v="231"/>
    <n v="317"/>
    <n v="548"/>
    <n v="66"/>
    <n v="86"/>
    <n v="33"/>
    <n v="86"/>
    <n v="185"/>
    <n v="1643"/>
    <n v="12"/>
    <n v="0"/>
    <n v="2.5"/>
    <n v="116.8"/>
    <n v="111.5"/>
    <n v="5.3"/>
    <n v="5.9"/>
    <n v="0.74"/>
    <n v="10.199999999999999"/>
    <n v="15.3"/>
    <n v="20.399999999999999"/>
    <n v="17.899999999999999"/>
    <n v="13.9"/>
    <n v="60"/>
    <n v="62.4"/>
    <n v="15.6"/>
    <n v="104.2"/>
    <n v="11.1"/>
    <n v="3074"/>
  </r>
  <r>
    <x v="185"/>
    <x v="27"/>
    <n v="23"/>
    <n v="56"/>
    <n v="18"/>
    <n v="38"/>
    <n v="23.6"/>
    <n v="605"/>
    <n v="207"/>
    <n v="554"/>
    <n v="37.200000000000003"/>
    <n v="112"/>
    <n v="330"/>
    <n v="33.1"/>
    <n v="78"/>
    <n v="101"/>
    <n v="81.599999999999994"/>
    <n v="22"/>
    <n v="134"/>
    <n v="157"/>
    <n v="67"/>
    <n v="56"/>
    <n v="28"/>
    <n v="22"/>
    <n v="50"/>
    <n v="991"/>
    <n v="0"/>
    <n v="0"/>
    <n v="-5.7"/>
    <n v="106.6"/>
    <n v="118.1"/>
    <n v="-11.4"/>
    <n v="7.6"/>
    <n v="1.1399999999999999"/>
    <n v="9.1999999999999993"/>
    <n v="1.7"/>
    <n v="9.6999999999999993"/>
    <n v="5.6"/>
    <n v="8.1"/>
    <n v="47.1"/>
    <n v="50.4"/>
    <n v="20.399999999999999"/>
    <n v="101.14"/>
    <n v="6.6"/>
    <n v="2783"/>
  </r>
  <r>
    <x v="186"/>
    <x v="4"/>
    <n v="27"/>
    <n v="71"/>
    <n v="52"/>
    <n v="19"/>
    <n v="21.7"/>
    <n v="604"/>
    <n v="213"/>
    <n v="476"/>
    <n v="45.1"/>
    <n v="163"/>
    <n v="398"/>
    <n v="41.6"/>
    <n v="14"/>
    <n v="14"/>
    <n v="100"/>
    <n v="43"/>
    <n v="178"/>
    <n v="227"/>
    <n v="64"/>
    <n v="21"/>
    <n v="43"/>
    <n v="14"/>
    <n v="85"/>
    <n v="1108"/>
    <n v="0"/>
    <n v="0"/>
    <n v="4.5999999999999996"/>
    <n v="119.8"/>
    <n v="109.8"/>
    <n v="10"/>
    <n v="5.7"/>
    <n v="2.78"/>
    <n v="11.3"/>
    <n v="2.7"/>
    <n v="11.3"/>
    <n v="7"/>
    <n v="4.0999999999999996"/>
    <n v="62.7"/>
    <n v="63.2"/>
    <n v="14"/>
    <n v="96.4"/>
    <n v="8.3000000000000007"/>
    <n v="3102"/>
  </r>
  <r>
    <x v="187"/>
    <x v="29"/>
    <n v="23"/>
    <n v="25"/>
    <n v="8"/>
    <n v="17"/>
    <n v="31.2"/>
    <n v="600"/>
    <n v="200"/>
    <n v="455"/>
    <n v="43.8"/>
    <n v="68"/>
    <n v="195"/>
    <n v="34.9"/>
    <n v="133"/>
    <n v="150"/>
    <n v="88.1"/>
    <n v="15"/>
    <n v="68"/>
    <n v="83"/>
    <n v="95"/>
    <n v="63"/>
    <n v="15"/>
    <n v="3"/>
    <n v="45"/>
    <n v="828"/>
    <n v="1"/>
    <n v="0"/>
    <n v="-3.7"/>
    <n v="114.9"/>
    <n v="120.6"/>
    <n v="-5.7"/>
    <n v="21.7"/>
    <n v="1.52"/>
    <n v="14"/>
    <n v="2"/>
    <n v="8.9"/>
    <n v="5.4"/>
    <n v="9.1999999999999993"/>
    <n v="51.3"/>
    <n v="57.5"/>
    <n v="32.799999999999997"/>
    <n v="96.1"/>
    <n v="12.2"/>
    <n v="1563"/>
  </r>
  <r>
    <x v="188"/>
    <x v="28"/>
    <n v="33"/>
    <n v="37"/>
    <n v="10"/>
    <n v="27"/>
    <n v="26"/>
    <n v="599"/>
    <n v="200"/>
    <n v="492"/>
    <n v="40.799999999999997"/>
    <n v="85"/>
    <n v="233"/>
    <n v="36.200000000000003"/>
    <n v="115"/>
    <n v="144"/>
    <n v="79.7"/>
    <n v="26"/>
    <n v="93"/>
    <n v="118"/>
    <n v="137"/>
    <n v="85"/>
    <n v="30"/>
    <n v="7"/>
    <n v="52"/>
    <n v="984"/>
    <n v="0"/>
    <n v="0"/>
    <n v="-5.5"/>
    <n v="107.5"/>
    <n v="117.5"/>
    <n v="-10"/>
    <n v="23.8"/>
    <n v="1.6"/>
    <n v="17.8"/>
    <n v="2.5"/>
    <n v="9.1999999999999993"/>
    <n v="5.8"/>
    <n v="11.1"/>
    <n v="49.3"/>
    <n v="54"/>
    <n v="26.9"/>
    <n v="102.16"/>
    <n v="10.199999999999999"/>
    <n v="2049"/>
  </r>
  <r>
    <x v="189"/>
    <x v="8"/>
    <n v="22"/>
    <n v="59"/>
    <n v="34"/>
    <n v="25"/>
    <n v="22.5"/>
    <n v="596"/>
    <n v="248"/>
    <n v="460"/>
    <n v="53.5"/>
    <n v="12"/>
    <n v="47"/>
    <n v="22.4"/>
    <n v="89"/>
    <n v="142"/>
    <n v="64.099999999999994"/>
    <n v="112"/>
    <n v="195"/>
    <n v="301"/>
    <n v="136"/>
    <n v="83"/>
    <n v="100"/>
    <n v="41"/>
    <n v="165"/>
    <n v="1493"/>
    <n v="3"/>
    <n v="0"/>
    <n v="1.1000000000000001"/>
    <n v="113.1"/>
    <n v="109.2"/>
    <n v="4"/>
    <n v="13.9"/>
    <n v="1.68"/>
    <n v="18.2"/>
    <n v="8.1"/>
    <n v="13.9"/>
    <n v="11"/>
    <n v="10.8"/>
    <n v="54.7"/>
    <n v="56.8"/>
    <n v="18.5"/>
    <n v="102.76"/>
    <n v="10.4"/>
    <n v="2822"/>
  </r>
  <r>
    <x v="190"/>
    <x v="6"/>
    <n v="21"/>
    <n v="64"/>
    <n v="28"/>
    <n v="36"/>
    <n v="22.2"/>
    <n v="595"/>
    <n v="256"/>
    <n v="467"/>
    <n v="55.4"/>
    <n v="32"/>
    <n v="109"/>
    <n v="31.5"/>
    <n v="45"/>
    <n v="64"/>
    <n v="68.7"/>
    <n v="115"/>
    <n v="358"/>
    <n v="474"/>
    <n v="58"/>
    <n v="58"/>
    <n v="38"/>
    <n v="70"/>
    <n v="109"/>
    <n v="1523"/>
    <n v="15"/>
    <n v="0"/>
    <n v="0.6"/>
    <n v="112.8"/>
    <n v="110.9"/>
    <n v="1.9"/>
    <n v="6.2"/>
    <n v="1.05"/>
    <n v="9.8000000000000007"/>
    <n v="8.6999999999999993"/>
    <n v="23.8"/>
    <n v="16.7"/>
    <n v="9.3000000000000007"/>
    <n v="59.2"/>
    <n v="60.3"/>
    <n v="16.899999999999999"/>
    <n v="98.6"/>
    <n v="11.9"/>
    <n v="2914"/>
  </r>
  <r>
    <x v="191"/>
    <x v="24"/>
    <n v="21"/>
    <n v="60"/>
    <n v="14"/>
    <n v="46"/>
    <n v="22.8"/>
    <n v="594"/>
    <n v="222"/>
    <n v="570"/>
    <n v="39.1"/>
    <n v="102"/>
    <n v="306"/>
    <n v="34"/>
    <n v="42"/>
    <n v="48"/>
    <n v="93.5"/>
    <n v="12"/>
    <n v="114"/>
    <n v="126"/>
    <n v="144"/>
    <n v="84"/>
    <n v="18"/>
    <n v="6"/>
    <n v="78"/>
    <n v="948"/>
    <n v="1"/>
    <n v="0"/>
    <n v="-6.6"/>
    <n v="102.1"/>
    <n v="116.4"/>
    <n v="-14.3"/>
    <n v="16.899999999999999"/>
    <n v="1.77"/>
    <n v="17.8"/>
    <n v="0.9"/>
    <n v="8"/>
    <n v="4.3"/>
    <n v="10.1"/>
    <n v="48.2"/>
    <n v="50.2"/>
    <n v="20.5"/>
    <n v="99.74"/>
    <n v="6.4"/>
    <n v="2848"/>
  </r>
  <r>
    <x v="192"/>
    <x v="21"/>
    <n v="21"/>
    <n v="68"/>
    <n v="15"/>
    <n v="53"/>
    <n v="26.5"/>
    <n v="592"/>
    <n v="204"/>
    <n v="544"/>
    <n v="37.200000000000003"/>
    <n v="116"/>
    <n v="354"/>
    <n v="32.200000000000003"/>
    <n v="68"/>
    <n v="95"/>
    <n v="75.3"/>
    <n v="48"/>
    <n v="238"/>
    <n v="286"/>
    <n v="170"/>
    <n v="95"/>
    <n v="68"/>
    <n v="48"/>
    <n v="204"/>
    <n v="1442"/>
    <n v="1"/>
    <n v="0"/>
    <n v="-5.3"/>
    <n v="105.4"/>
    <n v="115.5"/>
    <n v="-10.1"/>
    <n v="13.3"/>
    <n v="1.74"/>
    <n v="19.8"/>
    <n v="2.5"/>
    <n v="12.2"/>
    <n v="7.4"/>
    <n v="11.4"/>
    <n v="47.6"/>
    <n v="50.3"/>
    <n v="15.6"/>
    <n v="102.7"/>
    <n v="5.8"/>
    <n v="3869"/>
  </r>
  <r>
    <x v="193"/>
    <x v="2"/>
    <n v="23"/>
    <n v="65"/>
    <n v="41"/>
    <n v="24"/>
    <n v="21.3"/>
    <n v="585"/>
    <n v="208"/>
    <n v="488"/>
    <n v="43.2"/>
    <n v="91"/>
    <n v="267"/>
    <n v="34.9"/>
    <n v="72"/>
    <n v="91"/>
    <n v="82.2"/>
    <n v="20"/>
    <n v="124"/>
    <n v="143"/>
    <n v="85"/>
    <n v="59"/>
    <n v="39"/>
    <n v="13"/>
    <n v="150"/>
    <n v="988"/>
    <n v="0"/>
    <n v="0"/>
    <n v="-1.1000000000000001"/>
    <n v="111.9"/>
    <n v="114.4"/>
    <n v="-2.5"/>
    <n v="8.1999999999999993"/>
    <n v="1.46"/>
    <n v="12.5"/>
    <n v="1.2"/>
    <n v="8.3000000000000007"/>
    <n v="4.9000000000000004"/>
    <n v="8.6"/>
    <n v="52.9"/>
    <n v="55.9"/>
    <n v="17.3"/>
    <n v="102.79"/>
    <n v="5.7"/>
    <n v="2964"/>
  </r>
  <r>
    <x v="194"/>
    <x v="6"/>
    <n v="26"/>
    <n v="74"/>
    <n v="25"/>
    <n v="49"/>
    <n v="27.4"/>
    <n v="585"/>
    <n v="222"/>
    <n v="474"/>
    <n v="46.8"/>
    <n v="81"/>
    <n v="215"/>
    <n v="39.799999999999997"/>
    <n v="59"/>
    <n v="81"/>
    <n v="69"/>
    <n v="37"/>
    <n v="133"/>
    <n v="170"/>
    <n v="363"/>
    <n v="126"/>
    <n v="74"/>
    <n v="15"/>
    <n v="185"/>
    <n v="1473"/>
    <n v="1"/>
    <n v="0"/>
    <n v="0"/>
    <n v="111"/>
    <n v="110.7"/>
    <n v="0.3"/>
    <n v="23.7"/>
    <n v="2.84"/>
    <n v="36.200000000000003"/>
    <n v="1.7"/>
    <n v="6.3"/>
    <n v="4.0999999999999996"/>
    <n v="12.8"/>
    <n v="55.7"/>
    <n v="57.3"/>
    <n v="13.5"/>
    <n v="98.76"/>
    <n v="6.9"/>
    <n v="4164"/>
  </r>
  <r>
    <x v="195"/>
    <x v="9"/>
    <n v="32"/>
    <n v="54"/>
    <n v="33"/>
    <n v="21"/>
    <n v="25"/>
    <n v="583"/>
    <n v="211"/>
    <n v="491"/>
    <n v="42.7"/>
    <n v="103"/>
    <n v="292"/>
    <n v="36.299999999999997"/>
    <n v="59"/>
    <n v="65"/>
    <n v="87.9"/>
    <n v="22"/>
    <n v="135"/>
    <n v="157"/>
    <n v="146"/>
    <n v="76"/>
    <n v="43"/>
    <n v="11"/>
    <n v="130"/>
    <n v="1075"/>
    <n v="1"/>
    <n v="0"/>
    <n v="2"/>
    <n v="112.7"/>
    <n v="110"/>
    <n v="2.7"/>
    <n v="15.2"/>
    <n v="1.97"/>
    <n v="19.7"/>
    <n v="1.7"/>
    <n v="9.8000000000000007"/>
    <n v="5.7"/>
    <n v="10"/>
    <n v="53.4"/>
    <n v="55.9"/>
    <n v="18.3"/>
    <n v="101.35"/>
    <n v="7.4"/>
    <n v="2858"/>
  </r>
  <r>
    <x v="196"/>
    <x v="1"/>
    <n v="37"/>
    <n v="71"/>
    <n v="44"/>
    <n v="27"/>
    <n v="24.7"/>
    <n v="582"/>
    <n v="185"/>
    <n v="469"/>
    <n v="40"/>
    <n v="128"/>
    <n v="312"/>
    <n v="41"/>
    <n v="78"/>
    <n v="92"/>
    <n v="90"/>
    <n v="36"/>
    <n v="149"/>
    <n v="185"/>
    <n v="320"/>
    <n v="78"/>
    <n v="78"/>
    <n v="14"/>
    <n v="114"/>
    <n v="1484"/>
    <n v="1"/>
    <n v="0"/>
    <n v="3.7"/>
    <n v="115.5"/>
    <n v="109"/>
    <n v="6.5"/>
    <n v="24.3"/>
    <n v="4.25"/>
    <n v="35.6"/>
    <n v="1.8"/>
    <n v="8.5"/>
    <n v="5.2"/>
    <n v="8.4"/>
    <n v="53.5"/>
    <n v="57.3"/>
    <n v="14.1"/>
    <n v="97.92"/>
    <n v="9.1999999999999993"/>
    <n v="3596"/>
  </r>
  <r>
    <x v="197"/>
    <x v="16"/>
    <n v="28"/>
    <n v="65"/>
    <n v="37"/>
    <n v="28"/>
    <n v="22.6"/>
    <n v="579"/>
    <n v="208"/>
    <n v="429"/>
    <n v="47.8"/>
    <n v="111"/>
    <n v="260"/>
    <n v="43.3"/>
    <n v="52"/>
    <n v="59"/>
    <n v="89.5"/>
    <n v="39"/>
    <n v="143"/>
    <n v="182"/>
    <n v="215"/>
    <n v="72"/>
    <n v="52"/>
    <n v="7"/>
    <n v="59"/>
    <n v="1209"/>
    <n v="0"/>
    <n v="0"/>
    <n v="1.9"/>
    <n v="117.6"/>
    <n v="114.5"/>
    <n v="3.1"/>
    <n v="17.899999999999999"/>
    <n v="2.99"/>
    <n v="29.3"/>
    <n v="2.4"/>
    <n v="9.4"/>
    <n v="5.9"/>
    <n v="9.8000000000000007"/>
    <n v="60.9"/>
    <n v="63.1"/>
    <n v="14"/>
    <n v="104.99"/>
    <n v="9.3000000000000007"/>
    <n v="3228"/>
  </r>
  <r>
    <x v="198"/>
    <x v="27"/>
    <n v="27"/>
    <n v="56"/>
    <n v="19"/>
    <n v="37"/>
    <n v="24.4"/>
    <n v="577"/>
    <n v="202"/>
    <n v="521"/>
    <n v="39.200000000000003"/>
    <n v="112"/>
    <n v="308"/>
    <n v="35.9"/>
    <n v="62"/>
    <n v="73"/>
    <n v="81.099999999999994"/>
    <n v="28"/>
    <n v="106"/>
    <n v="134"/>
    <n v="258"/>
    <n v="84"/>
    <n v="73"/>
    <n v="17"/>
    <n v="90"/>
    <n v="1310"/>
    <n v="2"/>
    <n v="0"/>
    <n v="-4.0999999999999996"/>
    <n v="108.4"/>
    <n v="117.1"/>
    <n v="-8.6999999999999993"/>
    <n v="27.8"/>
    <n v="3.01"/>
    <n v="29"/>
    <n v="1.9"/>
    <n v="7.7"/>
    <n v="4.7"/>
    <n v="9.6"/>
    <n v="49.8"/>
    <n v="52.3"/>
    <n v="19.3"/>
    <n v="99.89"/>
    <n v="9"/>
    <n v="2849"/>
  </r>
  <r>
    <x v="199"/>
    <x v="23"/>
    <n v="26"/>
    <n v="40"/>
    <n v="17"/>
    <n v="23"/>
    <n v="30.1"/>
    <n v="576"/>
    <n v="264"/>
    <n v="468"/>
    <n v="56.6"/>
    <n v="8"/>
    <n v="32"/>
    <n v="18.8"/>
    <n v="40"/>
    <n v="60"/>
    <n v="66.7"/>
    <n v="124"/>
    <n v="284"/>
    <n v="408"/>
    <n v="64"/>
    <n v="68"/>
    <n v="32"/>
    <n v="40"/>
    <n v="88"/>
    <n v="1300"/>
    <n v="20"/>
    <n v="0"/>
    <n v="-4.0999999999999996"/>
    <n v="110"/>
    <n v="116.8"/>
    <n v="-6.9"/>
    <n v="8.3000000000000007"/>
    <n v="0.93"/>
    <n v="10.199999999999999"/>
    <n v="9.9"/>
    <n v="24.3"/>
    <n v="16.8"/>
    <n v="11"/>
    <n v="57.3"/>
    <n v="58.3"/>
    <n v="19.7"/>
    <n v="98.94"/>
    <n v="12.5"/>
    <n v="2489"/>
  </r>
  <r>
    <x v="200"/>
    <x v="0"/>
    <n v="21"/>
    <n v="68"/>
    <n v="55"/>
    <n v="13"/>
    <n v="27.6"/>
    <n v="571"/>
    <n v="231"/>
    <n v="490"/>
    <n v="47.4"/>
    <n v="75"/>
    <n v="211"/>
    <n v="35.6"/>
    <n v="27"/>
    <n v="34"/>
    <n v="81.099999999999994"/>
    <n v="68"/>
    <n v="156"/>
    <n v="231"/>
    <n v="170"/>
    <n v="61"/>
    <n v="122"/>
    <n v="34"/>
    <n v="143"/>
    <n v="1510"/>
    <n v="0"/>
    <n v="0"/>
    <n v="5.4"/>
    <n v="117.2"/>
    <n v="107.1"/>
    <n v="10.1"/>
    <n v="11.7"/>
    <n v="2.93"/>
    <n v="23.5"/>
    <n v="3.6"/>
    <n v="7.9"/>
    <n v="5.7"/>
    <n v="8"/>
    <n v="55"/>
    <n v="56.2"/>
    <n v="12.4"/>
    <n v="101.87"/>
    <n v="7.5"/>
    <n v="3967"/>
  </r>
  <r>
    <x v="201"/>
    <x v="28"/>
    <n v="24"/>
    <n v="64"/>
    <n v="15"/>
    <n v="49"/>
    <n v="19.8"/>
    <n v="570"/>
    <n v="205"/>
    <n v="474"/>
    <n v="42.9"/>
    <n v="115"/>
    <n v="314"/>
    <n v="37.6"/>
    <n v="45"/>
    <n v="51"/>
    <n v="84.9"/>
    <n v="45"/>
    <n v="141"/>
    <n v="186"/>
    <n v="70"/>
    <n v="38"/>
    <n v="38"/>
    <n v="6"/>
    <n v="128"/>
    <n v="998"/>
    <n v="0"/>
    <n v="0"/>
    <n v="-5.6"/>
    <n v="107.2"/>
    <n v="120.3"/>
    <n v="-13.1"/>
    <n v="8"/>
    <n v="1.89"/>
    <n v="11.3"/>
    <n v="3.1"/>
    <n v="10.9"/>
    <n v="7"/>
    <n v="6"/>
    <n v="55.4"/>
    <n v="57.3"/>
    <n v="17.399999999999999"/>
    <n v="102.1"/>
    <n v="7.1"/>
    <n v="2700"/>
  </r>
  <r>
    <x v="202"/>
    <x v="6"/>
    <n v="24"/>
    <n v="66"/>
    <n v="32"/>
    <n v="34"/>
    <n v="20.7"/>
    <n v="568"/>
    <n v="211"/>
    <n v="462"/>
    <n v="46.1"/>
    <n v="40"/>
    <n v="119"/>
    <n v="31.1"/>
    <n v="106"/>
    <n v="145"/>
    <n v="75.400000000000006"/>
    <n v="86"/>
    <n v="205"/>
    <n v="290"/>
    <n v="165"/>
    <n v="99"/>
    <n v="59"/>
    <n v="13"/>
    <n v="79"/>
    <n v="1294"/>
    <n v="3"/>
    <n v="1"/>
    <n v="-2.2999999999999998"/>
    <n v="107.9"/>
    <n v="113.9"/>
    <n v="-6"/>
    <n v="18.100000000000001"/>
    <n v="1.69"/>
    <n v="21.1"/>
    <n v="6"/>
    <n v="14.5"/>
    <n v="10.3"/>
    <n v="12.4"/>
    <n v="50.1"/>
    <n v="54.3"/>
    <n v="19.399999999999999"/>
    <n v="99.18"/>
    <n v="9.8000000000000007"/>
    <n v="2835"/>
  </r>
  <r>
    <x v="203"/>
    <x v="24"/>
    <n v="22"/>
    <n v="27"/>
    <n v="8"/>
    <n v="19"/>
    <n v="34.200000000000003"/>
    <n v="567"/>
    <n v="197"/>
    <n v="491"/>
    <n v="40.299999999999997"/>
    <n v="105"/>
    <n v="294"/>
    <n v="35.5"/>
    <n v="68"/>
    <n v="78"/>
    <n v="86.1"/>
    <n v="24"/>
    <n v="105"/>
    <n v="132"/>
    <n v="97"/>
    <n v="76"/>
    <n v="30"/>
    <n v="19"/>
    <n v="73"/>
    <n v="942"/>
    <n v="2"/>
    <n v="0"/>
    <n v="-4.5999999999999996"/>
    <n v="106.9"/>
    <n v="113.8"/>
    <n v="-6.8"/>
    <n v="18.2"/>
    <n v="1.29"/>
    <n v="14"/>
    <n v="2.4"/>
    <n v="11.7"/>
    <n v="6.8"/>
    <n v="10.9"/>
    <n v="50.9"/>
    <n v="54"/>
    <n v="27"/>
    <n v="98.77"/>
    <n v="10"/>
    <n v="1903"/>
  </r>
  <r>
    <x v="204"/>
    <x v="18"/>
    <n v="23"/>
    <n v="63"/>
    <n v="31"/>
    <n v="32"/>
    <n v="25"/>
    <n v="567"/>
    <n v="208"/>
    <n v="517"/>
    <n v="39.700000000000003"/>
    <n v="95"/>
    <n v="271"/>
    <n v="35.299999999999997"/>
    <n v="63"/>
    <n v="82"/>
    <n v="72.3"/>
    <n v="44"/>
    <n v="195"/>
    <n v="239"/>
    <n v="126"/>
    <n v="88"/>
    <n v="50"/>
    <n v="32"/>
    <n v="88"/>
    <n v="1191"/>
    <n v="1"/>
    <n v="0"/>
    <n v="-2.9"/>
    <n v="108.7"/>
    <n v="113.5"/>
    <n v="-4.8"/>
    <n v="10.6"/>
    <n v="1.44"/>
    <n v="16.3"/>
    <n v="2.5"/>
    <n v="11.3"/>
    <n v="7"/>
    <n v="11.3"/>
    <n v="49"/>
    <n v="51.2"/>
    <n v="16.5"/>
    <n v="105.94"/>
    <n v="6.2"/>
    <n v="3473"/>
  </r>
  <r>
    <x v="205"/>
    <x v="20"/>
    <n v="24"/>
    <n v="35"/>
    <n v="20"/>
    <n v="15"/>
    <n v="28.6"/>
    <n v="567"/>
    <n v="196"/>
    <n v="480"/>
    <n v="41"/>
    <n v="77"/>
    <n v="242"/>
    <n v="31.4"/>
    <n v="98"/>
    <n v="109"/>
    <n v="88.2"/>
    <n v="25"/>
    <n v="119"/>
    <n v="140"/>
    <n v="130"/>
    <n v="102"/>
    <n v="53"/>
    <n v="32"/>
    <n v="98"/>
    <n v="1078"/>
    <n v="0"/>
    <n v="0"/>
    <n v="0.1"/>
    <n v="105.7"/>
    <n v="104.8"/>
    <n v="1"/>
    <n v="21.6"/>
    <n v="1.26"/>
    <n v="17"/>
    <n v="2.2999999999999998"/>
    <n v="12.6"/>
    <n v="7.2"/>
    <n v="13.5"/>
    <n v="48.9"/>
    <n v="53.6"/>
    <n v="26.8"/>
    <n v="99.02"/>
    <n v="10.7"/>
    <n v="2060"/>
  </r>
  <r>
    <x v="206"/>
    <x v="18"/>
    <n v="25"/>
    <n v="46"/>
    <n v="17"/>
    <n v="29"/>
    <n v="30.3"/>
    <n v="566"/>
    <n v="221"/>
    <n v="451"/>
    <n v="49.2"/>
    <n v="60"/>
    <n v="189"/>
    <n v="32.799999999999997"/>
    <n v="60"/>
    <n v="78"/>
    <n v="78.5"/>
    <n v="28"/>
    <n v="133"/>
    <n v="161"/>
    <n v="207"/>
    <n v="69"/>
    <n v="41"/>
    <n v="18"/>
    <n v="106"/>
    <n v="1187"/>
    <n v="1"/>
    <n v="1"/>
    <n v="-5.0999999999999996"/>
    <n v="110.1"/>
    <n v="117.8"/>
    <n v="-7.7"/>
    <n v="21"/>
    <n v="3.01"/>
    <n v="27.4"/>
    <n v="1.8"/>
    <n v="9"/>
    <n v="5.4"/>
    <n v="9.1"/>
    <n v="56.1"/>
    <n v="58.5"/>
    <n v="16.3"/>
    <n v="104.63"/>
    <n v="8.4"/>
    <n v="3039"/>
  </r>
  <r>
    <x v="207"/>
    <x v="26"/>
    <n v="25"/>
    <n v="33"/>
    <n v="12"/>
    <n v="21"/>
    <n v="27.8"/>
    <n v="564"/>
    <n v="185"/>
    <n v="439"/>
    <n v="42"/>
    <n v="86"/>
    <n v="224"/>
    <n v="37.799999999999997"/>
    <n v="112"/>
    <n v="129"/>
    <n v="86.7"/>
    <n v="17"/>
    <n v="102"/>
    <n v="116"/>
    <n v="191"/>
    <n v="59"/>
    <n v="23"/>
    <n v="3"/>
    <n v="59"/>
    <n v="1013"/>
    <n v="2"/>
    <n v="0"/>
    <n v="-1.2"/>
    <n v="109"/>
    <n v="110.7"/>
    <n v="-1.6"/>
    <n v="32"/>
    <n v="3.29"/>
    <n v="25.7"/>
    <n v="1.6"/>
    <n v="10.7"/>
    <n v="6"/>
    <n v="7.8"/>
    <n v="51.7"/>
    <n v="57"/>
    <n v="24.6"/>
    <n v="101.44"/>
    <n v="12.8"/>
    <n v="1936"/>
  </r>
  <r>
    <x v="208"/>
    <x v="23"/>
    <n v="25"/>
    <n v="67"/>
    <n v="28"/>
    <n v="39"/>
    <n v="16.7"/>
    <n v="556"/>
    <n v="201"/>
    <n v="509"/>
    <n v="39.1"/>
    <n v="74"/>
    <n v="221"/>
    <n v="32.4"/>
    <n v="94"/>
    <n v="127"/>
    <n v="72.8"/>
    <n v="27"/>
    <n v="107"/>
    <n v="134"/>
    <n v="161"/>
    <n v="87"/>
    <n v="40"/>
    <n v="34"/>
    <n v="60"/>
    <n v="1106"/>
    <n v="0"/>
    <n v="0"/>
    <n v="-0.8"/>
    <n v="110.2"/>
    <n v="111.8"/>
    <n v="-1.5"/>
    <n v="21.3"/>
    <n v="1.86"/>
    <n v="19.8"/>
    <n v="2.5"/>
    <n v="8.8000000000000007"/>
    <n v="5.6"/>
    <n v="10.7"/>
    <n v="46.2"/>
    <n v="49.7"/>
    <n v="23.7"/>
    <n v="101.21"/>
    <n v="8.9"/>
    <n v="2353"/>
  </r>
  <r>
    <x v="209"/>
    <x v="2"/>
    <n v="22"/>
    <n v="68"/>
    <n v="40"/>
    <n v="28"/>
    <n v="24.3"/>
    <n v="551"/>
    <n v="204"/>
    <n v="428"/>
    <n v="47.7"/>
    <n v="48"/>
    <n v="136"/>
    <n v="35.299999999999997"/>
    <n v="95"/>
    <n v="136"/>
    <n v="69.3"/>
    <n v="48"/>
    <n v="184"/>
    <n v="231"/>
    <n v="95"/>
    <n v="54"/>
    <n v="48"/>
    <n v="95"/>
    <n v="122"/>
    <n v="1340"/>
    <n v="0"/>
    <n v="0"/>
    <n v="-0.4"/>
    <n v="113.9"/>
    <n v="113.9"/>
    <n v="0"/>
    <n v="7.3"/>
    <n v="1.68"/>
    <n v="14.7"/>
    <n v="3"/>
    <n v="10.3"/>
    <n v="6.9"/>
    <n v="8.8000000000000007"/>
    <n v="53.3"/>
    <n v="56.4"/>
    <n v="13.8"/>
    <n v="101.83"/>
    <n v="6.6"/>
    <n v="3501"/>
  </r>
  <r>
    <x v="210"/>
    <x v="14"/>
    <n v="32"/>
    <n v="63"/>
    <n v="36"/>
    <n v="27"/>
    <n v="28.9"/>
    <n v="548"/>
    <n v="195"/>
    <n v="435"/>
    <n v="44.8"/>
    <n v="126"/>
    <n v="315"/>
    <n v="41.1"/>
    <n v="32"/>
    <n v="44"/>
    <n v="66.7"/>
    <n v="82"/>
    <n v="170"/>
    <n v="246"/>
    <n v="88"/>
    <n v="57"/>
    <n v="57"/>
    <n v="25"/>
    <n v="139"/>
    <n v="1166"/>
    <n v="0"/>
    <n v="0"/>
    <n v="4.9000000000000004"/>
    <n v="119.1"/>
    <n v="110.3"/>
    <n v="8.8000000000000007"/>
    <n v="6.6"/>
    <n v="1.61"/>
    <n v="15"/>
    <n v="4.7"/>
    <n v="8.9"/>
    <n v="6.9"/>
    <n v="9.3000000000000007"/>
    <n v="59.7"/>
    <n v="60.4"/>
    <n v="12.3"/>
    <n v="98.14"/>
    <n v="6"/>
    <n v="3711"/>
  </r>
  <r>
    <x v="211"/>
    <x v="21"/>
    <n v="23"/>
    <n v="62"/>
    <n v="16"/>
    <n v="46"/>
    <n v="21.6"/>
    <n v="546"/>
    <n v="211"/>
    <n v="409"/>
    <n v="51.1"/>
    <n v="74"/>
    <n v="192"/>
    <n v="38.299999999999997"/>
    <n v="50"/>
    <n v="74"/>
    <n v="68.5"/>
    <n v="112"/>
    <n v="242"/>
    <n v="353"/>
    <n v="62"/>
    <n v="56"/>
    <n v="62"/>
    <n v="37"/>
    <n v="112"/>
    <n v="1314"/>
    <n v="8"/>
    <n v="0"/>
    <n v="-4.5999999999999996"/>
    <n v="107.1"/>
    <n v="116.8"/>
    <n v="-9.6999999999999993"/>
    <n v="6.6"/>
    <n v="1.1100000000000001"/>
    <n v="10.8"/>
    <n v="7.7"/>
    <n v="15.9"/>
    <n v="11.9"/>
    <n v="9.6999999999999993"/>
    <n v="60.1"/>
    <n v="61.4"/>
    <n v="15"/>
    <n v="102.96"/>
    <n v="10.1"/>
    <n v="2871"/>
  </r>
  <r>
    <x v="212"/>
    <x v="27"/>
    <n v="28"/>
    <n v="31"/>
    <n v="9"/>
    <n v="22"/>
    <n v="32.6"/>
    <n v="543"/>
    <n v="195"/>
    <n v="493"/>
    <n v="39.299999999999997"/>
    <n v="53"/>
    <n v="174"/>
    <n v="29.9"/>
    <n v="102"/>
    <n v="124"/>
    <n v="82.3"/>
    <n v="16"/>
    <n v="183"/>
    <n v="202"/>
    <n v="229"/>
    <n v="105"/>
    <n v="62"/>
    <n v="12"/>
    <n v="62"/>
    <n v="1243"/>
    <n v="8"/>
    <n v="1"/>
    <n v="-6.7"/>
    <n v="109"/>
    <n v="118.1"/>
    <n v="-9.1"/>
    <n v="34.700000000000003"/>
    <n v="2.15"/>
    <n v="25.9"/>
    <n v="1.5"/>
    <n v="18.3"/>
    <n v="9.4"/>
    <n v="12"/>
    <n v="44.5"/>
    <n v="49.4"/>
    <n v="26.3"/>
    <n v="102.86"/>
    <n v="11.8"/>
    <n v="2165"/>
  </r>
  <r>
    <x v="213"/>
    <x v="4"/>
    <n v="39"/>
    <n v="60"/>
    <n v="44"/>
    <n v="16"/>
    <n v="27.6"/>
    <n v="540"/>
    <n v="198"/>
    <n v="462"/>
    <n v="42.3"/>
    <n v="114"/>
    <n v="312"/>
    <n v="36.299999999999997"/>
    <n v="36"/>
    <n v="36"/>
    <n v="89.5"/>
    <n v="78"/>
    <n v="288"/>
    <n v="372"/>
    <n v="126"/>
    <n v="48"/>
    <n v="36"/>
    <n v="54"/>
    <n v="84"/>
    <n v="1386"/>
    <n v="7"/>
    <n v="0"/>
    <n v="6.6"/>
    <n v="119.6"/>
    <n v="108.1"/>
    <n v="11.5"/>
    <n v="10.199999999999999"/>
    <n v="2.78"/>
    <n v="19.600000000000001"/>
    <n v="4.5999999999999996"/>
    <n v="16.5"/>
    <n v="10.6"/>
    <n v="7"/>
    <n v="54.7"/>
    <n v="56.3"/>
    <n v="13.6"/>
    <n v="97.75"/>
    <n v="9.1"/>
    <n v="3381"/>
  </r>
  <r>
    <x v="214"/>
    <x v="17"/>
    <n v="25"/>
    <n v="45"/>
    <n v="29"/>
    <n v="16"/>
    <n v="24.9"/>
    <n v="540"/>
    <n v="194"/>
    <n v="378"/>
    <n v="50.7"/>
    <n v="86"/>
    <n v="194"/>
    <n v="43.1"/>
    <n v="72"/>
    <n v="81"/>
    <n v="91.3"/>
    <n v="36"/>
    <n v="140"/>
    <n v="180"/>
    <n v="54"/>
    <n v="36"/>
    <n v="36"/>
    <n v="18"/>
    <n v="113"/>
    <n v="954"/>
    <n v="0"/>
    <n v="0"/>
    <n v="4.4000000000000004"/>
    <n v="120.1"/>
    <n v="111.5"/>
    <n v="8.5"/>
    <n v="6.3"/>
    <n v="1.46"/>
    <n v="10.8"/>
    <n v="3.4"/>
    <n v="11.8"/>
    <n v="7.8"/>
    <n v="7.4"/>
    <n v="61.7"/>
    <n v="65.3"/>
    <n v="17.100000000000001"/>
    <n v="101.64"/>
    <n v="8.6999999999999993"/>
    <n v="2373"/>
  </r>
  <r>
    <x v="215"/>
    <x v="3"/>
    <n v="25"/>
    <n v="73"/>
    <n v="44"/>
    <n v="29"/>
    <n v="22.7"/>
    <n v="540"/>
    <n v="183"/>
    <n v="423"/>
    <n v="42.9"/>
    <n v="153"/>
    <n v="365"/>
    <n v="42.7"/>
    <n v="22"/>
    <n v="29"/>
    <n v="81.5"/>
    <n v="15"/>
    <n v="153"/>
    <n v="175"/>
    <n v="110"/>
    <n v="37"/>
    <n v="37"/>
    <n v="7"/>
    <n v="161"/>
    <n v="1007"/>
    <n v="0"/>
    <n v="0"/>
    <n v="3.1"/>
    <n v="114"/>
    <n v="107.6"/>
    <n v="6.4"/>
    <n v="8.6"/>
    <n v="2.7"/>
    <n v="18.600000000000001"/>
    <n v="1.1000000000000001"/>
    <n v="8.6999999999999993"/>
    <n v="5.0999999999999996"/>
    <n v="6.9"/>
    <n v="61.2"/>
    <n v="62.1"/>
    <n v="12.3"/>
    <n v="100.84"/>
    <n v="5.8"/>
    <n v="3487"/>
  </r>
  <r>
    <x v="216"/>
    <x v="22"/>
    <n v="24"/>
    <n v="60"/>
    <n v="6"/>
    <n v="54"/>
    <n v="17.399999999999999"/>
    <n v="540"/>
    <n v="204"/>
    <n v="456"/>
    <n v="44.8"/>
    <n v="60"/>
    <n v="168"/>
    <n v="35.5"/>
    <n v="78"/>
    <n v="90"/>
    <n v="82.4"/>
    <n v="24"/>
    <n v="84"/>
    <n v="108"/>
    <n v="222"/>
    <n v="78"/>
    <n v="42"/>
    <n v="12"/>
    <n v="96"/>
    <n v="1086"/>
    <n v="1"/>
    <n v="0"/>
    <n v="-2.2000000000000002"/>
    <n v="108.5"/>
    <n v="114.5"/>
    <n v="-6"/>
    <n v="31.7"/>
    <n v="2.75"/>
    <n v="27.9"/>
    <n v="2.2000000000000002"/>
    <n v="7.6"/>
    <n v="4.9000000000000004"/>
    <n v="10.199999999999999"/>
    <n v="51.4"/>
    <n v="54.9"/>
    <n v="22.2"/>
    <n v="102.6"/>
    <n v="10.199999999999999"/>
    <n v="2232"/>
  </r>
  <r>
    <x v="217"/>
    <x v="20"/>
    <n v="24"/>
    <n v="74"/>
    <n v="35"/>
    <n v="39"/>
    <n v="22"/>
    <n v="533"/>
    <n v="200"/>
    <n v="481"/>
    <n v="41.2"/>
    <n v="81"/>
    <n v="237"/>
    <n v="33.5"/>
    <n v="52"/>
    <n v="67"/>
    <n v="87.3"/>
    <n v="74"/>
    <n v="170"/>
    <n v="244"/>
    <n v="111"/>
    <n v="59"/>
    <n v="30"/>
    <n v="15"/>
    <n v="96"/>
    <n v="1095"/>
    <n v="1"/>
    <n v="0"/>
    <n v="-1.7"/>
    <n v="106.1"/>
    <n v="110.3"/>
    <n v="-4.2"/>
    <n v="10.5"/>
    <n v="2.02"/>
    <n v="16.600000000000001"/>
    <n v="4.2"/>
    <n v="11.4"/>
    <n v="7.6"/>
    <n v="8.1999999999999993"/>
    <n v="49.5"/>
    <n v="52.2"/>
    <n v="14.9"/>
    <n v="96.97"/>
    <n v="7.4"/>
    <n v="3295"/>
  </r>
  <r>
    <x v="218"/>
    <x v="22"/>
    <n v="23"/>
    <n v="73"/>
    <n v="16"/>
    <n v="57"/>
    <n v="17.100000000000001"/>
    <n v="533"/>
    <n v="175"/>
    <n v="460"/>
    <n v="38.200000000000003"/>
    <n v="58"/>
    <n v="212"/>
    <n v="25.8"/>
    <n v="124"/>
    <n v="153"/>
    <n v="80.400000000000006"/>
    <n v="51"/>
    <n v="161"/>
    <n v="212"/>
    <n v="95"/>
    <n v="51"/>
    <n v="29"/>
    <n v="15"/>
    <n v="66"/>
    <n v="1015"/>
    <n v="3"/>
    <n v="0"/>
    <n v="-2.2000000000000002"/>
    <n v="109.9"/>
    <n v="116"/>
    <n v="-6.1"/>
    <n v="11.5"/>
    <n v="1.87"/>
    <n v="14.3"/>
    <n v="3.9"/>
    <n v="13"/>
    <n v="8.4"/>
    <n v="7.7"/>
    <n v="44.2"/>
    <n v="50.2"/>
    <n v="19.600000000000001"/>
    <n v="99.93"/>
    <n v="8"/>
    <n v="2602"/>
  </r>
  <r>
    <x v="219"/>
    <x v="26"/>
    <n v="22"/>
    <n v="75"/>
    <n v="28"/>
    <n v="47"/>
    <n v="19.600000000000001"/>
    <n v="533"/>
    <n v="203"/>
    <n v="503"/>
    <n v="40.5"/>
    <n v="75"/>
    <n v="225"/>
    <n v="32.299999999999997"/>
    <n v="53"/>
    <n v="68"/>
    <n v="76.8"/>
    <n v="30"/>
    <n v="83"/>
    <n v="113"/>
    <n v="315"/>
    <n v="120"/>
    <n v="60"/>
    <n v="8"/>
    <n v="158"/>
    <n v="1230"/>
    <n v="1"/>
    <n v="0"/>
    <n v="-3.1"/>
    <n v="105.5"/>
    <n v="113.3"/>
    <n v="-7.8"/>
    <n v="30.7"/>
    <n v="2.7"/>
    <n v="32.799999999999997"/>
    <n v="1.9"/>
    <n v="5.7"/>
    <n v="3.7"/>
    <n v="12.1"/>
    <n v="47.6"/>
    <n v="49.9"/>
    <n v="17.899999999999999"/>
    <n v="102.18"/>
    <n v="7"/>
    <n v="3127"/>
  </r>
  <r>
    <x v="220"/>
    <x v="16"/>
    <n v="28"/>
    <n v="64"/>
    <n v="40"/>
    <n v="24"/>
    <n v="18.899999999999999"/>
    <n v="531"/>
    <n v="237"/>
    <n v="378"/>
    <n v="62.1"/>
    <n v="0"/>
    <n v="19"/>
    <n v="5.9"/>
    <n v="64"/>
    <n v="90"/>
    <n v="70.099999999999994"/>
    <n v="128"/>
    <n v="198"/>
    <n v="326"/>
    <n v="64"/>
    <n v="38"/>
    <n v="51"/>
    <n v="38"/>
    <n v="147"/>
    <n v="1248"/>
    <n v="2"/>
    <n v="0"/>
    <n v="2.8"/>
    <n v="116.5"/>
    <n v="108.2"/>
    <n v="8.1999999999999993"/>
    <n v="7.2"/>
    <n v="1.61"/>
    <n v="12.7"/>
    <n v="10.199999999999999"/>
    <n v="14.8"/>
    <n v="12.6"/>
    <n v="7.9"/>
    <n v="62.2"/>
    <n v="63.8"/>
    <n v="15"/>
    <n v="105.54"/>
    <n v="10.8"/>
    <n v="2637"/>
  </r>
  <r>
    <x v="221"/>
    <x v="5"/>
    <n v="27"/>
    <n v="57"/>
    <n v="17"/>
    <n v="40"/>
    <n v="22"/>
    <n v="530"/>
    <n v="205"/>
    <n v="348"/>
    <n v="59.1"/>
    <n v="0"/>
    <n v="0"/>
    <n v="0"/>
    <n v="120"/>
    <n v="160"/>
    <n v="74.400000000000006"/>
    <n v="148"/>
    <n v="319"/>
    <n v="467"/>
    <n v="51"/>
    <n v="80"/>
    <n v="11"/>
    <n v="57"/>
    <n v="143"/>
    <n v="1288"/>
    <n v="16"/>
    <n v="0"/>
    <n v="-4.0999999999999996"/>
    <n v="112.3"/>
    <n v="120.9"/>
    <n v="-8.6999999999999993"/>
    <n v="5.8"/>
    <n v="0.6"/>
    <n v="8.9"/>
    <n v="11.8"/>
    <n v="24.3"/>
    <n v="18.100000000000001"/>
    <n v="14.8"/>
    <n v="59.1"/>
    <n v="63.4"/>
    <n v="16.899999999999999"/>
    <n v="98.62"/>
    <n v="10.7"/>
    <n v="2576"/>
  </r>
  <r>
    <x v="222"/>
    <x v="8"/>
    <n v="23"/>
    <n v="30"/>
    <n v="14"/>
    <n v="16"/>
    <n v="29.9"/>
    <n v="528"/>
    <n v="189"/>
    <n v="414"/>
    <n v="46"/>
    <n v="63"/>
    <n v="153"/>
    <n v="40.9"/>
    <n v="84"/>
    <n v="117"/>
    <n v="73.3"/>
    <n v="39"/>
    <n v="84"/>
    <n v="123"/>
    <n v="120"/>
    <n v="90"/>
    <n v="27"/>
    <n v="12"/>
    <n v="66"/>
    <n v="882"/>
    <n v="0"/>
    <n v="0"/>
    <n v="-2.1"/>
    <n v="110.5"/>
    <n v="114.6"/>
    <n v="-4.0999999999999996"/>
    <n v="20.7"/>
    <n v="1.34"/>
    <n v="17.7"/>
    <n v="4.3"/>
    <n v="9.1"/>
    <n v="6.7"/>
    <n v="13.2"/>
    <n v="53.6"/>
    <n v="56.9"/>
    <n v="25.6"/>
    <n v="99.52"/>
    <n v="9.9"/>
    <n v="1868"/>
  </r>
  <r>
    <x v="223"/>
    <x v="18"/>
    <n v="25"/>
    <n v="64"/>
    <n v="28"/>
    <n v="36"/>
    <n v="15"/>
    <n v="525"/>
    <n v="192"/>
    <n v="410"/>
    <n v="46.6"/>
    <n v="70"/>
    <n v="224"/>
    <n v="32.4"/>
    <n v="70"/>
    <n v="90"/>
    <n v="80.900000000000006"/>
    <n v="90"/>
    <n v="269"/>
    <n v="358"/>
    <n v="64"/>
    <n v="38"/>
    <n v="19"/>
    <n v="45"/>
    <n v="96"/>
    <n v="1197"/>
    <n v="4"/>
    <n v="0"/>
    <n v="-0.6"/>
    <n v="110.3"/>
    <n v="111.5"/>
    <n v="-1.2"/>
    <n v="10.1"/>
    <n v="1.76"/>
    <n v="11.9"/>
    <n v="8.5"/>
    <n v="24.1"/>
    <n v="16.5"/>
    <n v="6.8"/>
    <n v="55.4"/>
    <n v="58.6"/>
    <n v="20.100000000000001"/>
    <n v="106.06"/>
    <n v="13.3"/>
    <n v="2122"/>
  </r>
  <r>
    <x v="224"/>
    <x v="29"/>
    <n v="26"/>
    <n v="60"/>
    <n v="16"/>
    <n v="44"/>
    <n v="21.9"/>
    <n v="522"/>
    <n v="192"/>
    <n v="468"/>
    <n v="40.6"/>
    <n v="102"/>
    <n v="282"/>
    <n v="35.1"/>
    <n v="48"/>
    <n v="60"/>
    <n v="79.3"/>
    <n v="60"/>
    <n v="162"/>
    <n v="222"/>
    <n v="120"/>
    <n v="72"/>
    <n v="36"/>
    <n v="12"/>
    <n v="78"/>
    <n v="1026"/>
    <n v="1"/>
    <n v="0"/>
    <n v="-4.3"/>
    <n v="103.2"/>
    <n v="113.4"/>
    <n v="-10.199999999999999"/>
    <n v="15"/>
    <n v="1.65"/>
    <n v="17.7"/>
    <n v="4"/>
    <n v="13.3"/>
    <n v="8.3000000000000007"/>
    <n v="10.8"/>
    <n v="51.3"/>
    <n v="53.3"/>
    <n v="17.899999999999999"/>
    <n v="98.64"/>
    <n v="8.4"/>
    <n v="2711"/>
  </r>
  <r>
    <x v="225"/>
    <x v="8"/>
    <n v="19"/>
    <n v="81"/>
    <n v="44"/>
    <n v="37"/>
    <n v="15.6"/>
    <n v="518"/>
    <n v="194"/>
    <n v="413"/>
    <n v="47.4"/>
    <n v="32"/>
    <n v="154"/>
    <n v="23.8"/>
    <n v="89"/>
    <n v="122"/>
    <n v="75.400000000000006"/>
    <n v="41"/>
    <n v="178"/>
    <n v="219"/>
    <n v="81"/>
    <n v="73"/>
    <n v="49"/>
    <n v="16"/>
    <n v="138"/>
    <n v="1029"/>
    <n v="0"/>
    <n v="0"/>
    <n v="-0.7"/>
    <n v="109.8"/>
    <n v="110.9"/>
    <n v="-1"/>
    <n v="9.5"/>
    <n v="1.1399999999999999"/>
    <n v="13.2"/>
    <n v="3"/>
    <n v="13.6"/>
    <n v="8.3000000000000007"/>
    <n v="11.6"/>
    <n v="51.7"/>
    <n v="55.6"/>
    <n v="17.7"/>
    <n v="101"/>
    <n v="7.8"/>
    <n v="2652"/>
  </r>
  <r>
    <x v="226"/>
    <x v="7"/>
    <n v="28"/>
    <n v="67"/>
    <n v="37"/>
    <n v="30"/>
    <n v="21.1"/>
    <n v="516"/>
    <n v="208"/>
    <n v="415"/>
    <n v="49.6"/>
    <n v="60"/>
    <n v="161"/>
    <n v="36.799999999999997"/>
    <n v="47"/>
    <n v="67"/>
    <n v="69.099999999999994"/>
    <n v="67"/>
    <n v="134"/>
    <n v="201"/>
    <n v="121"/>
    <n v="47"/>
    <n v="47"/>
    <n v="13"/>
    <n v="127"/>
    <n v="1079"/>
    <n v="0"/>
    <n v="0"/>
    <n v="-1.4"/>
    <n v="112.9"/>
    <n v="115.2"/>
    <n v="-2.2999999999999998"/>
    <n v="11.8"/>
    <n v="2.57"/>
    <n v="19.8"/>
    <n v="4.7"/>
    <n v="9.4"/>
    <n v="7"/>
    <n v="7.7"/>
    <n v="56.9"/>
    <n v="58.4"/>
    <n v="14.5"/>
    <n v="100.43"/>
    <n v="7.4"/>
    <n v="2947"/>
  </r>
  <r>
    <x v="227"/>
    <x v="15"/>
    <n v="29"/>
    <n v="71"/>
    <n v="54"/>
    <n v="17"/>
    <n v="19.7"/>
    <n v="511"/>
    <n v="170"/>
    <n v="426"/>
    <n v="40.6"/>
    <n v="135"/>
    <n v="369"/>
    <n v="37.200000000000003"/>
    <n v="28"/>
    <n v="28"/>
    <n v="96.6"/>
    <n v="36"/>
    <n v="121"/>
    <n v="156"/>
    <n v="107"/>
    <n v="36"/>
    <n v="50"/>
    <n v="14"/>
    <n v="121"/>
    <n v="1022"/>
    <n v="0"/>
    <n v="0"/>
    <n v="4.5"/>
    <n v="117.4"/>
    <n v="107.1"/>
    <n v="10.3"/>
    <n v="9.9"/>
    <n v="3.09"/>
    <n v="18.7"/>
    <n v="2.6"/>
    <n v="7.7"/>
    <n v="5.2"/>
    <n v="6"/>
    <n v="56.7"/>
    <n v="58.3"/>
    <n v="14"/>
    <n v="101.26"/>
    <n v="6.9"/>
    <n v="2963"/>
  </r>
  <r>
    <x v="228"/>
    <x v="5"/>
    <n v="22"/>
    <n v="74"/>
    <n v="32"/>
    <n v="42"/>
    <n v="19.100000000000001"/>
    <n v="511"/>
    <n v="207"/>
    <n v="474"/>
    <n v="43"/>
    <n v="81"/>
    <n v="266"/>
    <n v="31.1"/>
    <n v="22"/>
    <n v="37"/>
    <n v="48.7"/>
    <n v="89"/>
    <n v="178"/>
    <n v="266"/>
    <n v="59"/>
    <n v="37"/>
    <n v="44"/>
    <n v="37"/>
    <n v="163"/>
    <n v="1132"/>
    <n v="3"/>
    <n v="0"/>
    <n v="-2.2999999999999998"/>
    <n v="110.4"/>
    <n v="115.1"/>
    <n v="-4.7"/>
    <n v="5.9"/>
    <n v="1.43"/>
    <n v="9.6"/>
    <n v="6.3"/>
    <n v="11.7"/>
    <n v="9"/>
    <n v="6.8"/>
    <n v="51.6"/>
    <n v="51.7"/>
    <n v="16.100000000000001"/>
    <n v="98.59"/>
    <n v="5.9"/>
    <n v="2882"/>
  </r>
  <r>
    <x v="229"/>
    <x v="20"/>
    <n v="25"/>
    <n v="70"/>
    <n v="38"/>
    <n v="32"/>
    <n v="20.399999999999999"/>
    <n v="504"/>
    <n v="210"/>
    <n v="336"/>
    <n v="61.1"/>
    <n v="0"/>
    <n v="28"/>
    <n v="10.7"/>
    <n v="84"/>
    <n v="133"/>
    <n v="63.9"/>
    <n v="168"/>
    <n v="294"/>
    <n v="462"/>
    <n v="140"/>
    <n v="70"/>
    <n v="49"/>
    <n v="98"/>
    <n v="147"/>
    <n v="1631"/>
    <n v="15"/>
    <n v="0"/>
    <n v="1.1000000000000001"/>
    <n v="110.1"/>
    <n v="107.4"/>
    <n v="2.7"/>
    <n v="14.2"/>
    <n v="1.9"/>
    <n v="22.6"/>
    <n v="11.6"/>
    <n v="22.7"/>
    <n v="16.899999999999999"/>
    <n v="11.9"/>
    <n v="61.5"/>
    <n v="63.1"/>
    <n v="14.2"/>
    <n v="95.8"/>
    <n v="13.4"/>
    <n v="2855"/>
  </r>
  <r>
    <x v="230"/>
    <x v="24"/>
    <n v="24"/>
    <n v="68"/>
    <n v="17"/>
    <n v="51"/>
    <n v="27.8"/>
    <n v="503"/>
    <n v="177"/>
    <n v="422"/>
    <n v="42.8"/>
    <n v="95"/>
    <n v="245"/>
    <n v="39.1"/>
    <n v="48"/>
    <n v="75"/>
    <n v="68.099999999999994"/>
    <n v="54"/>
    <n v="116"/>
    <n v="170"/>
    <n v="109"/>
    <n v="68"/>
    <n v="75"/>
    <n v="14"/>
    <n v="163"/>
    <n v="1074"/>
    <n v="0"/>
    <n v="0"/>
    <n v="-5.4"/>
    <n v="105.3"/>
    <n v="114.2"/>
    <n v="-8.9"/>
    <n v="8.1"/>
    <n v="1.54"/>
    <n v="17.100000000000001"/>
    <n v="2.7"/>
    <n v="6"/>
    <n v="4.3"/>
    <n v="11.1"/>
    <n v="54.3"/>
    <n v="55.9"/>
    <n v="11.5"/>
    <n v="100.08"/>
    <n v="4.3"/>
    <n v="3929"/>
  </r>
  <r>
    <x v="231"/>
    <x v="26"/>
    <n v="32"/>
    <n v="50"/>
    <n v="18"/>
    <n v="32"/>
    <n v="17.2"/>
    <n v="500"/>
    <n v="180"/>
    <n v="370"/>
    <n v="49.2"/>
    <n v="70"/>
    <n v="195"/>
    <n v="36.299999999999997"/>
    <n v="70"/>
    <n v="85"/>
    <n v="78.2"/>
    <n v="70"/>
    <n v="155"/>
    <n v="225"/>
    <n v="35"/>
    <n v="30"/>
    <n v="25"/>
    <n v="25"/>
    <n v="70"/>
    <n v="940"/>
    <n v="3"/>
    <n v="0"/>
    <n v="0.1"/>
    <n v="113.3"/>
    <n v="113.5"/>
    <n v="-0.2"/>
    <n v="5.7"/>
    <n v="1.1399999999999999"/>
    <n v="7"/>
    <n v="7.7"/>
    <n v="17.5"/>
    <n v="12.5"/>
    <n v="6.2"/>
    <n v="58.6"/>
    <n v="61.5"/>
    <n v="20.8"/>
    <n v="99.28"/>
    <n v="12.6"/>
    <n v="1787"/>
  </r>
  <r>
    <x v="232"/>
    <x v="10"/>
    <n v="30"/>
    <n v="72"/>
    <n v="46"/>
    <n v="26"/>
    <n v="15.1"/>
    <n v="497"/>
    <n v="180"/>
    <n v="446"/>
    <n v="40.1"/>
    <n v="94"/>
    <n v="259"/>
    <n v="36.299999999999997"/>
    <n v="50"/>
    <n v="58"/>
    <n v="90.7"/>
    <n v="14"/>
    <n v="94"/>
    <n v="101"/>
    <n v="202"/>
    <n v="50"/>
    <n v="36"/>
    <n v="14"/>
    <n v="108"/>
    <n v="1044"/>
    <n v="0"/>
    <n v="0"/>
    <n v="2.8"/>
    <n v="116.6"/>
    <n v="107.5"/>
    <n v="9.1"/>
    <n v="25.1"/>
    <n v="3.9"/>
    <n v="28.1"/>
    <n v="1.3"/>
    <n v="8.1"/>
    <n v="4.7"/>
    <n v="7.2"/>
    <n v="50.6"/>
    <n v="53.2"/>
    <n v="20"/>
    <n v="100.23"/>
    <n v="8.9"/>
    <n v="2275"/>
  </r>
  <r>
    <x v="233"/>
    <x v="25"/>
    <n v="22"/>
    <n v="57"/>
    <n v="30"/>
    <n v="27"/>
    <n v="15.9"/>
    <n v="496"/>
    <n v="182"/>
    <n v="416"/>
    <n v="43.5"/>
    <n v="74"/>
    <n v="200"/>
    <n v="38.6"/>
    <n v="63"/>
    <n v="86"/>
    <n v="69.8"/>
    <n v="11"/>
    <n v="80"/>
    <n v="91"/>
    <n v="80"/>
    <n v="80"/>
    <n v="29"/>
    <n v="6"/>
    <n v="91"/>
    <n v="741"/>
    <n v="0"/>
    <n v="0"/>
    <n v="-1.1000000000000001"/>
    <n v="108.3"/>
    <n v="111.6"/>
    <n v="-3.2"/>
    <n v="13.8"/>
    <n v="0.99"/>
    <n v="13.2"/>
    <n v="1"/>
    <n v="8.5"/>
    <n v="4.8"/>
    <n v="13.3"/>
    <n v="52.7"/>
    <n v="54.9"/>
    <n v="24.4"/>
    <n v="102.83"/>
    <n v="6.9"/>
    <n v="1943"/>
  </r>
  <r>
    <x v="234"/>
    <x v="6"/>
    <n v="22"/>
    <n v="46"/>
    <n v="21"/>
    <n v="25"/>
    <n v="25.1"/>
    <n v="492"/>
    <n v="170"/>
    <n v="377"/>
    <n v="45.6"/>
    <n v="78"/>
    <n v="212"/>
    <n v="37.1"/>
    <n v="74"/>
    <n v="87"/>
    <n v="82.8"/>
    <n v="28"/>
    <n v="152"/>
    <n v="179"/>
    <n v="129"/>
    <n v="60"/>
    <n v="37"/>
    <n v="14"/>
    <n v="83"/>
    <n v="998"/>
    <n v="0"/>
    <n v="0"/>
    <n v="-0.4"/>
    <n v="109.6"/>
    <n v="110.7"/>
    <n v="-1.1000000000000001"/>
    <n v="17.399999999999999"/>
    <n v="2.1800000000000002"/>
    <n v="21.7"/>
    <n v="2.2000000000000002"/>
    <n v="12.7"/>
    <n v="7.6"/>
    <n v="9.9"/>
    <n v="56"/>
    <n v="59.5"/>
    <n v="17.8"/>
    <n v="98.48"/>
    <n v="9.8000000000000007"/>
    <n v="2374"/>
  </r>
  <r>
    <x v="235"/>
    <x v="7"/>
    <n v="31"/>
    <n v="55"/>
    <n v="27"/>
    <n v="28"/>
    <n v="21.4"/>
    <n v="490"/>
    <n v="220"/>
    <n v="391"/>
    <n v="55.9"/>
    <n v="0"/>
    <n v="0"/>
    <n v="0"/>
    <n v="50"/>
    <n v="99"/>
    <n v="53.6"/>
    <n v="176"/>
    <n v="297"/>
    <n v="468"/>
    <n v="61"/>
    <n v="50"/>
    <n v="33"/>
    <n v="55"/>
    <n v="105"/>
    <n v="1359"/>
    <n v="11"/>
    <n v="0"/>
    <n v="-1.4"/>
    <n v="108.7"/>
    <n v="111.5"/>
    <n v="-2.7"/>
    <n v="7.3"/>
    <n v="1.32"/>
    <n v="11.4"/>
    <n v="13.2"/>
    <n v="23.8"/>
    <n v="18.3"/>
    <n v="8.6999999999999993"/>
    <n v="55.9"/>
    <n v="56.4"/>
    <n v="16"/>
    <n v="105.23"/>
    <n v="11.7"/>
    <n v="2575"/>
  </r>
  <r>
    <x v="236"/>
    <x v="6"/>
    <n v="28"/>
    <n v="74"/>
    <n v="35"/>
    <n v="39"/>
    <n v="24.6"/>
    <n v="481"/>
    <n v="178"/>
    <n v="392"/>
    <n v="45.8"/>
    <n v="89"/>
    <n v="229"/>
    <n v="38.200000000000003"/>
    <n v="30"/>
    <n v="44"/>
    <n v="72.099999999999994"/>
    <n v="74"/>
    <n v="178"/>
    <n v="252"/>
    <n v="111"/>
    <n v="52"/>
    <n v="67"/>
    <n v="37"/>
    <n v="163"/>
    <n v="1206"/>
    <n v="0"/>
    <n v="0"/>
    <n v="0.8"/>
    <n v="111.8"/>
    <n v="110.4"/>
    <n v="1.4"/>
    <n v="8.4"/>
    <n v="2.0699999999999998"/>
    <n v="19.5"/>
    <n v="4"/>
    <n v="9.8000000000000007"/>
    <n v="6.9"/>
    <n v="9.4"/>
    <n v="57.2"/>
    <n v="58.3"/>
    <n v="11.1"/>
    <n v="97.33"/>
    <n v="5.7"/>
    <n v="3691"/>
  </r>
  <r>
    <x v="237"/>
    <x v="0"/>
    <n v="23"/>
    <n v="32"/>
    <n v="26"/>
    <n v="6"/>
    <n v="27.4"/>
    <n v="480"/>
    <n v="166"/>
    <n v="342"/>
    <n v="49"/>
    <n v="45"/>
    <n v="115"/>
    <n v="37.9"/>
    <n v="102"/>
    <n v="134"/>
    <n v="75.400000000000006"/>
    <n v="48"/>
    <n v="208"/>
    <n v="256"/>
    <n v="64"/>
    <n v="58"/>
    <n v="22"/>
    <n v="70"/>
    <n v="74"/>
    <n v="1107"/>
    <n v="11"/>
    <n v="0"/>
    <n v="9.1999999999999993"/>
    <n v="121.7"/>
    <n v="105.6"/>
    <n v="16.100000000000001"/>
    <n v="9.1"/>
    <n v="1.1299999999999999"/>
    <n v="12.1"/>
    <n v="5.4"/>
    <n v="20.8"/>
    <n v="13.6"/>
    <n v="10.8"/>
    <n v="55.4"/>
    <n v="59.9"/>
    <n v="21.4"/>
    <n v="103.83"/>
    <n v="12.2"/>
    <n v="1891"/>
  </r>
  <r>
    <x v="238"/>
    <x v="12"/>
    <n v="20"/>
    <n v="51"/>
    <n v="30"/>
    <n v="21"/>
    <n v="16.2"/>
    <n v="479"/>
    <n v="179"/>
    <n v="403"/>
    <n v="44.4"/>
    <n v="66"/>
    <n v="184"/>
    <n v="35.5"/>
    <n v="56"/>
    <n v="71"/>
    <n v="75"/>
    <n v="36"/>
    <n v="117"/>
    <n v="153"/>
    <n v="51"/>
    <n v="46"/>
    <n v="31"/>
    <n v="15"/>
    <n v="46"/>
    <n v="816"/>
    <n v="2"/>
    <n v="0"/>
    <n v="0"/>
    <n v="113.4"/>
    <n v="112.3"/>
    <n v="1.1000000000000001"/>
    <n v="9"/>
    <n v="1.07"/>
    <n v="9.1999999999999993"/>
    <n v="3.9"/>
    <n v="13.9"/>
    <n v="8.6"/>
    <n v="8.6999999999999993"/>
    <n v="52.5"/>
    <n v="54.9"/>
    <n v="23.1"/>
    <n v="100.93"/>
    <n v="10.8"/>
    <n v="1729"/>
  </r>
  <r>
    <x v="239"/>
    <x v="9"/>
    <n v="31"/>
    <n v="74"/>
    <n v="45"/>
    <n v="29"/>
    <n v="24.1"/>
    <n v="474"/>
    <n v="192"/>
    <n v="437"/>
    <n v="43.9"/>
    <n v="74"/>
    <n v="222"/>
    <n v="33.5"/>
    <n v="15"/>
    <n v="22"/>
    <n v="68.2"/>
    <n v="52"/>
    <n v="200"/>
    <n v="252"/>
    <n v="207"/>
    <n v="74"/>
    <n v="126"/>
    <n v="30"/>
    <n v="200"/>
    <n v="1480"/>
    <n v="0"/>
    <n v="0"/>
    <n v="3.5"/>
    <n v="113.8"/>
    <n v="106"/>
    <n v="7.8"/>
    <n v="15.3"/>
    <n v="2.84"/>
    <n v="28.7"/>
    <n v="3.1"/>
    <n v="11.1"/>
    <n v="7.2"/>
    <n v="10.1"/>
    <n v="52.5"/>
    <n v="53.1"/>
    <n v="12.6"/>
    <n v="99.24"/>
    <n v="7"/>
    <n v="3675"/>
  </r>
  <r>
    <x v="240"/>
    <x v="15"/>
    <n v="29"/>
    <n v="50"/>
    <n v="39"/>
    <n v="11"/>
    <n v="25.5"/>
    <n v="470"/>
    <n v="165"/>
    <n v="375"/>
    <n v="44.2"/>
    <n v="115"/>
    <n v="295"/>
    <n v="38.6"/>
    <n v="30"/>
    <n v="35"/>
    <n v="82.4"/>
    <n v="55"/>
    <n v="165"/>
    <n v="215"/>
    <n v="160"/>
    <n v="55"/>
    <n v="25"/>
    <n v="10"/>
    <n v="105"/>
    <n v="1030"/>
    <n v="0"/>
    <n v="0"/>
    <n v="4.4000000000000004"/>
    <n v="120.1"/>
    <n v="112.2"/>
    <n v="7.9"/>
    <n v="15.7"/>
    <n v="2.93"/>
    <n v="26.4"/>
    <n v="4.0999999999999996"/>
    <n v="11.8"/>
    <n v="8.1"/>
    <n v="9"/>
    <n v="59.4"/>
    <n v="60.7"/>
    <n v="14.3"/>
    <n v="101.34"/>
    <n v="8.3000000000000007"/>
    <n v="2691"/>
  </r>
  <r>
    <x v="241"/>
    <x v="14"/>
    <n v="28"/>
    <n v="72"/>
    <n v="46"/>
    <n v="26"/>
    <n v="21.2"/>
    <n v="461"/>
    <n v="166"/>
    <n v="418"/>
    <n v="40"/>
    <n v="108"/>
    <n v="310"/>
    <n v="35.299999999999997"/>
    <n v="14"/>
    <n v="22"/>
    <n v="71.400000000000006"/>
    <n v="22"/>
    <n v="72"/>
    <n v="94"/>
    <n v="101"/>
    <n v="43"/>
    <n v="50"/>
    <n v="14"/>
    <n v="151"/>
    <n v="871"/>
    <n v="0"/>
    <n v="0"/>
    <n v="0.7"/>
    <n v="111.8"/>
    <n v="110.7"/>
    <n v="1.1000000000000001"/>
    <n v="9"/>
    <n v="2.39"/>
    <n v="17.2"/>
    <n v="1.3"/>
    <n v="4.5"/>
    <n v="2.9"/>
    <n v="7.2"/>
    <n v="53"/>
    <n v="53.6"/>
    <n v="13.1"/>
    <n v="100.07"/>
    <n v="3.9"/>
    <n v="3190"/>
  </r>
  <r>
    <x v="242"/>
    <x v="17"/>
    <n v="21"/>
    <n v="75"/>
    <n v="45"/>
    <n v="30"/>
    <n v="15.8"/>
    <n v="458"/>
    <n v="173"/>
    <n v="360"/>
    <n v="47.2"/>
    <n v="75"/>
    <n v="188"/>
    <n v="40.5"/>
    <n v="45"/>
    <n v="68"/>
    <n v="66.7"/>
    <n v="23"/>
    <n v="203"/>
    <n v="233"/>
    <n v="113"/>
    <n v="75"/>
    <n v="53"/>
    <n v="23"/>
    <n v="113"/>
    <n v="1058"/>
    <n v="0"/>
    <n v="0"/>
    <n v="-1.9"/>
    <n v="107"/>
    <n v="112.1"/>
    <n v="-5"/>
    <n v="12.9"/>
    <n v="1.41"/>
    <n v="19.100000000000001"/>
    <n v="2.1"/>
    <n v="17.8"/>
    <n v="9.8000000000000007"/>
    <n v="13.5"/>
    <n v="57.6"/>
    <n v="59"/>
    <n v="16.5"/>
    <n v="103.23"/>
    <n v="8.6999999999999993"/>
    <n v="2544"/>
  </r>
  <r>
    <x v="243"/>
    <x v="11"/>
    <n v="23"/>
    <n v="66"/>
    <n v="40"/>
    <n v="26"/>
    <n v="20.399999999999999"/>
    <n v="455"/>
    <n v="158"/>
    <n v="337"/>
    <n v="47.5"/>
    <n v="59"/>
    <n v="145"/>
    <n v="42.3"/>
    <n v="79"/>
    <n v="112"/>
    <n v="67.8"/>
    <n v="92"/>
    <n v="172"/>
    <n v="257"/>
    <n v="158"/>
    <n v="86"/>
    <n v="59"/>
    <n v="20"/>
    <n v="132"/>
    <n v="1175"/>
    <n v="2"/>
    <n v="0"/>
    <n v="1.9"/>
    <n v="115"/>
    <n v="111.2"/>
    <n v="3.8"/>
    <n v="15"/>
    <n v="1.84"/>
    <n v="24.9"/>
    <n v="6.3"/>
    <n v="12"/>
    <n v="9.1"/>
    <n v="13.5"/>
    <n v="56.4"/>
    <n v="59.1"/>
    <n v="14"/>
    <n v="103.86"/>
    <n v="8.1"/>
    <n v="2926"/>
  </r>
  <r>
    <x v="244"/>
    <x v="24"/>
    <n v="30"/>
    <n v="51"/>
    <n v="18"/>
    <n v="33"/>
    <n v="20.8"/>
    <n v="454"/>
    <n v="168"/>
    <n v="352"/>
    <n v="47.7"/>
    <n v="31"/>
    <n v="107"/>
    <n v="30.5"/>
    <n v="87"/>
    <n v="128"/>
    <n v="66.400000000000006"/>
    <n v="87"/>
    <n v="311"/>
    <n v="398"/>
    <n v="117"/>
    <n v="97"/>
    <n v="41"/>
    <n v="36"/>
    <n v="128"/>
    <n v="1229"/>
    <n v="10"/>
    <n v="0"/>
    <n v="-3.6"/>
    <n v="106.1"/>
    <n v="115.1"/>
    <n v="-9"/>
    <n v="16.7"/>
    <n v="1.19"/>
    <n v="18.600000000000001"/>
    <n v="7.7"/>
    <n v="28.5"/>
    <n v="18.100000000000001"/>
    <n v="15.7"/>
    <n v="52.3"/>
    <n v="55.5"/>
    <n v="20.2"/>
    <n v="99.79"/>
    <n v="11.6"/>
    <n v="2216"/>
  </r>
  <r>
    <x v="245"/>
    <x v="22"/>
    <n v="31"/>
    <n v="19"/>
    <n v="8"/>
    <n v="11"/>
    <n v="30.2"/>
    <n v="452"/>
    <n v="141"/>
    <n v="315"/>
    <n v="44.4"/>
    <n v="23"/>
    <n v="78"/>
    <n v="29.9"/>
    <n v="148"/>
    <n v="169"/>
    <n v="88.2"/>
    <n v="36"/>
    <n v="120"/>
    <n v="156"/>
    <n v="86"/>
    <n v="63"/>
    <n v="13"/>
    <n v="17"/>
    <n v="42"/>
    <n v="800"/>
    <n v="7"/>
    <n v="1"/>
    <n v="-3"/>
    <n v="104"/>
    <n v="109.5"/>
    <n v="-5.5"/>
    <n v="28.6"/>
    <n v="1.37"/>
    <n v="15.8"/>
    <n v="6.2"/>
    <n v="20.7"/>
    <n v="13.4"/>
    <n v="11.5"/>
    <n v="48.1"/>
    <n v="58"/>
    <n v="34.200000000000003"/>
    <n v="99.95"/>
    <n v="16.899999999999999"/>
    <n v="1200"/>
  </r>
  <r>
    <x v="246"/>
    <x v="29"/>
    <n v="24"/>
    <n v="44"/>
    <n v="16"/>
    <n v="28"/>
    <n v="20.7"/>
    <n v="449"/>
    <n v="163"/>
    <n v="352"/>
    <n v="46.9"/>
    <n v="31"/>
    <n v="88"/>
    <n v="33"/>
    <n v="92"/>
    <n v="123"/>
    <n v="76.2"/>
    <n v="35"/>
    <n v="123"/>
    <n v="158"/>
    <n v="114"/>
    <n v="84"/>
    <n v="26"/>
    <n v="13"/>
    <n v="97"/>
    <n v="849"/>
    <n v="1"/>
    <n v="0"/>
    <n v="-1.5"/>
    <n v="105.1"/>
    <n v="109.4"/>
    <n v="-4.4000000000000004"/>
    <n v="21.1"/>
    <n v="1.39"/>
    <n v="19.100000000000001"/>
    <n v="3.8"/>
    <n v="13.2"/>
    <n v="8.4"/>
    <n v="13.8"/>
    <n v="51"/>
    <n v="55.7"/>
    <n v="22.6"/>
    <n v="97.8"/>
    <n v="10.1"/>
    <n v="1867"/>
  </r>
  <r>
    <x v="247"/>
    <x v="27"/>
    <n v="23"/>
    <n v="42"/>
    <n v="8"/>
    <n v="34"/>
    <n v="23.6"/>
    <n v="449"/>
    <n v="168"/>
    <n v="382"/>
    <n v="43.6"/>
    <n v="50"/>
    <n v="139"/>
    <n v="35"/>
    <n v="67"/>
    <n v="84"/>
    <n v="78.8"/>
    <n v="29"/>
    <n v="105"/>
    <n v="134"/>
    <n v="92"/>
    <n v="50"/>
    <n v="55"/>
    <n v="8"/>
    <n v="71"/>
    <n v="882"/>
    <n v="0"/>
    <n v="0"/>
    <n v="-3.3"/>
    <n v="108.6"/>
    <n v="114.8"/>
    <n v="-6.2"/>
    <n v="14"/>
    <n v="1.77"/>
    <n v="16.3"/>
    <n v="2.6"/>
    <n v="10.7"/>
    <n v="6.5"/>
    <n v="9.1999999999999993"/>
    <n v="50"/>
    <n v="53.5"/>
    <n v="19.899999999999999"/>
    <n v="99.87"/>
    <n v="8.5"/>
    <n v="2060"/>
  </r>
  <r>
    <x v="248"/>
    <x v="11"/>
    <n v="29"/>
    <n v="69"/>
    <n v="34"/>
    <n v="35"/>
    <n v="19.600000000000001"/>
    <n v="449"/>
    <n v="159"/>
    <n v="373"/>
    <n v="42"/>
    <n v="83"/>
    <n v="235"/>
    <n v="34"/>
    <n v="55"/>
    <n v="83"/>
    <n v="70"/>
    <n v="83"/>
    <n v="235"/>
    <n v="317"/>
    <n v="83"/>
    <n v="41"/>
    <n v="41"/>
    <n v="21"/>
    <n v="83"/>
    <n v="1104"/>
    <n v="1"/>
    <n v="0"/>
    <n v="-1"/>
    <n v="111.8"/>
    <n v="113.8"/>
    <n v="-2"/>
    <n v="8.4"/>
    <n v="2.1"/>
    <n v="15.4"/>
    <n v="5.6"/>
    <n v="17.7"/>
    <n v="11.4"/>
    <n v="7.3"/>
    <n v="52.8"/>
    <n v="55.1"/>
    <n v="13.9"/>
    <n v="100.04"/>
    <n v="8.6999999999999993"/>
    <n v="2807"/>
  </r>
  <r>
    <x v="249"/>
    <x v="26"/>
    <n v="20"/>
    <n v="52"/>
    <n v="19"/>
    <n v="33"/>
    <n v="21.2"/>
    <n v="447"/>
    <n v="161"/>
    <n v="395"/>
    <n v="40.5"/>
    <n v="68"/>
    <n v="187"/>
    <n v="34.9"/>
    <n v="68"/>
    <n v="83"/>
    <n v="79.5"/>
    <n v="57"/>
    <n v="99"/>
    <n v="161"/>
    <n v="83"/>
    <n v="52"/>
    <n v="42"/>
    <n v="10"/>
    <n v="94"/>
    <n v="874"/>
    <n v="1"/>
    <n v="0"/>
    <n v="-1.6"/>
    <n v="108.6"/>
    <n v="111.1"/>
    <n v="-2.4"/>
    <n v="10.5"/>
    <n v="1.62"/>
    <n v="14.5"/>
    <n v="4.9000000000000004"/>
    <n v="9.1999999999999993"/>
    <n v="7"/>
    <n v="8.9"/>
    <n v="48.7"/>
    <n v="52.3"/>
    <n v="17.899999999999999"/>
    <n v="101.29"/>
    <n v="6.8"/>
    <n v="2316"/>
  </r>
  <r>
    <x v="250"/>
    <x v="22"/>
    <n v="21"/>
    <n v="44"/>
    <n v="11"/>
    <n v="33"/>
    <n v="26.2"/>
    <n v="444"/>
    <n v="172"/>
    <n v="378"/>
    <n v="45.5"/>
    <n v="70"/>
    <n v="189"/>
    <n v="36.299999999999997"/>
    <n v="31"/>
    <n v="44"/>
    <n v="69.599999999999994"/>
    <n v="44"/>
    <n v="101"/>
    <n v="150"/>
    <n v="70"/>
    <n v="48"/>
    <n v="44"/>
    <n v="18"/>
    <n v="97"/>
    <n v="858"/>
    <n v="1"/>
    <n v="0"/>
    <n v="-6.4"/>
    <n v="111.6"/>
    <n v="123.2"/>
    <n v="-11.6"/>
    <n v="8.4"/>
    <n v="1.41"/>
    <n v="13.3"/>
    <n v="3.8"/>
    <n v="9.4"/>
    <n v="6.5"/>
    <n v="9.5"/>
    <n v="54.6"/>
    <n v="55.9"/>
    <n v="16.5"/>
    <n v="99.43"/>
    <n v="6.2"/>
    <n v="2391"/>
  </r>
  <r>
    <x v="251"/>
    <x v="8"/>
    <n v="29"/>
    <n v="75"/>
    <n v="38"/>
    <n v="37"/>
    <n v="16.5"/>
    <n v="443"/>
    <n v="150"/>
    <n v="375"/>
    <n v="40.200000000000003"/>
    <n v="75"/>
    <n v="225"/>
    <n v="33.5"/>
    <n v="68"/>
    <n v="83"/>
    <n v="83.3"/>
    <n v="53"/>
    <n v="165"/>
    <n v="218"/>
    <n v="68"/>
    <n v="53"/>
    <n v="30"/>
    <n v="15"/>
    <n v="98"/>
    <n v="878"/>
    <n v="0"/>
    <n v="0"/>
    <n v="0.2"/>
    <n v="110.7"/>
    <n v="109.5"/>
    <n v="1.2"/>
    <n v="7.1"/>
    <n v="1.23"/>
    <n v="12.3"/>
    <n v="4"/>
    <n v="12.7"/>
    <n v="8.3000000000000007"/>
    <n v="10.1"/>
    <n v="50.4"/>
    <n v="54.4"/>
    <n v="15.2"/>
    <n v="103.26"/>
    <n v="6.8"/>
    <n v="2653"/>
  </r>
  <r>
    <x v="252"/>
    <x v="24"/>
    <n v="34"/>
    <n v="68"/>
    <n v="17"/>
    <n v="51"/>
    <n v="15.6"/>
    <n v="442"/>
    <n v="163"/>
    <n v="340"/>
    <n v="47.8"/>
    <n v="82"/>
    <n v="184"/>
    <n v="45.6"/>
    <n v="34"/>
    <n v="41"/>
    <n v="84.6"/>
    <n v="27"/>
    <n v="88"/>
    <n v="116"/>
    <n v="61"/>
    <n v="34"/>
    <n v="27"/>
    <n v="7"/>
    <n v="61"/>
    <n v="741"/>
    <n v="0"/>
    <n v="0"/>
    <n v="-2.5"/>
    <n v="106.2"/>
    <n v="114.1"/>
    <n v="-8"/>
    <n v="8.6999999999999993"/>
    <n v="1.88"/>
    <n v="13.4"/>
    <n v="2"/>
    <n v="8.1"/>
    <n v="4.9000000000000004"/>
    <n v="7.1"/>
    <n v="59.9"/>
    <n v="61.6"/>
    <n v="15.1"/>
    <n v="99.1"/>
    <n v="8.3000000000000007"/>
    <n v="2194"/>
  </r>
  <r>
    <x v="253"/>
    <x v="16"/>
    <n v="27"/>
    <n v="64"/>
    <n v="37"/>
    <n v="27"/>
    <n v="11.7"/>
    <n v="442"/>
    <n v="160"/>
    <n v="307"/>
    <n v="51.5"/>
    <n v="83"/>
    <n v="198"/>
    <n v="40.5"/>
    <n v="45"/>
    <n v="58"/>
    <n v="78.599999999999994"/>
    <n v="32"/>
    <n v="96"/>
    <n v="128"/>
    <n v="38"/>
    <n v="32"/>
    <n v="19"/>
    <n v="58"/>
    <n v="77"/>
    <n v="832"/>
    <n v="0"/>
    <n v="0"/>
    <n v="0.4"/>
    <n v="111"/>
    <n v="110.1"/>
    <n v="0.8"/>
    <n v="7.7"/>
    <n v="1.1200000000000001"/>
    <n v="9.4"/>
    <n v="3.9"/>
    <n v="12"/>
    <n v="8.1"/>
    <n v="8.4"/>
    <n v="64.8"/>
    <n v="66.599999999999994"/>
    <n v="19.399999999999999"/>
    <n v="106.71"/>
    <n v="10.8"/>
    <n v="1668"/>
  </r>
  <r>
    <x v="254"/>
    <x v="21"/>
    <n v="33"/>
    <n v="37"/>
    <n v="18"/>
    <n v="19"/>
    <n v="22.8"/>
    <n v="440"/>
    <n v="159"/>
    <n v="337"/>
    <n v="47.5"/>
    <n v="48"/>
    <n v="133"/>
    <n v="36.1"/>
    <n v="70"/>
    <n v="85"/>
    <n v="85.7"/>
    <n v="15"/>
    <n v="126"/>
    <n v="137"/>
    <n v="152"/>
    <n v="56"/>
    <n v="33"/>
    <n v="7"/>
    <n v="74"/>
    <n v="903"/>
    <n v="0"/>
    <n v="0"/>
    <n v="1.1000000000000001"/>
    <n v="114.1"/>
    <n v="112.6"/>
    <n v="1.5"/>
    <n v="25.1"/>
    <n v="2.68"/>
    <n v="26"/>
    <n v="1.5"/>
    <n v="13.2"/>
    <n v="7.6"/>
    <n v="9.6999999999999993"/>
    <n v="54.6"/>
    <n v="58.8"/>
    <n v="20.8"/>
    <n v="104.75"/>
    <n v="11.4"/>
    <n v="1845"/>
  </r>
  <r>
    <x v="255"/>
    <x v="4"/>
    <n v="29"/>
    <n v="73"/>
    <n v="53"/>
    <n v="20"/>
    <n v="18.600000000000001"/>
    <n v="438"/>
    <n v="190"/>
    <n v="277"/>
    <n v="66.8"/>
    <n v="0"/>
    <n v="0"/>
    <n v="0"/>
    <n v="66"/>
    <n v="95"/>
    <n v="69.099999999999994"/>
    <n v="190"/>
    <n v="197"/>
    <n v="387"/>
    <n v="117"/>
    <n v="29"/>
    <n v="37"/>
    <n v="73"/>
    <n v="117"/>
    <n v="1372"/>
    <n v="3"/>
    <n v="0"/>
    <n v="5.5"/>
    <n v="121.2"/>
    <n v="106.3"/>
    <n v="14.9"/>
    <n v="11.5"/>
    <n v="3.77"/>
    <n v="24.8"/>
    <n v="13.4"/>
    <n v="13.9"/>
    <n v="13.6"/>
    <n v="6.6"/>
    <n v="66.8"/>
    <n v="68.3"/>
    <n v="11.1"/>
    <n v="95.87"/>
    <n v="11.4"/>
    <n v="2717"/>
  </r>
  <r>
    <x v="256"/>
    <x v="23"/>
    <n v="21"/>
    <n v="67"/>
    <n v="29"/>
    <n v="38"/>
    <n v="19.8"/>
    <n v="436"/>
    <n v="181"/>
    <n v="335"/>
    <n v="53.9"/>
    <n v="13"/>
    <n v="47"/>
    <n v="28.6"/>
    <n v="60"/>
    <n v="107"/>
    <n v="59.6"/>
    <n v="214"/>
    <n v="308"/>
    <n v="529"/>
    <n v="74"/>
    <n v="74"/>
    <n v="34"/>
    <n v="107"/>
    <n v="188"/>
    <n v="1541"/>
    <n v="8"/>
    <n v="0"/>
    <n v="0"/>
    <n v="109.9"/>
    <n v="109.7"/>
    <n v="0.2"/>
    <n v="8.1"/>
    <n v="1.07"/>
    <n v="14.6"/>
    <n v="14.4"/>
    <n v="21.8"/>
    <n v="17.899999999999999"/>
    <n v="13.7"/>
    <n v="56"/>
    <n v="57.4"/>
    <n v="13.5"/>
    <n v="101.68"/>
    <n v="10.5"/>
    <n v="2801"/>
  </r>
  <r>
    <x v="257"/>
    <x v="0"/>
    <n v="30"/>
    <n v="69"/>
    <n v="58"/>
    <n v="11"/>
    <n v="16.399999999999999"/>
    <n v="435"/>
    <n v="173"/>
    <n v="352"/>
    <n v="48.3"/>
    <n v="69"/>
    <n v="173"/>
    <n v="38.6"/>
    <n v="28"/>
    <n v="41"/>
    <n v="71.8"/>
    <n v="62"/>
    <n v="179"/>
    <n v="242"/>
    <n v="97"/>
    <n v="41"/>
    <n v="41"/>
    <n v="7"/>
    <n v="110"/>
    <n v="994"/>
    <n v="2"/>
    <n v="0"/>
    <n v="4.8"/>
    <n v="118.7"/>
    <n v="104.1"/>
    <n v="14.5"/>
    <n v="11.1"/>
    <n v="2.4900000000000002"/>
    <n v="19.2"/>
    <n v="5.6"/>
    <n v="14.8"/>
    <n v="10.199999999999999"/>
    <n v="7.7"/>
    <n v="57.6"/>
    <n v="58.7"/>
    <n v="15.1"/>
    <n v="101.26"/>
    <n v="9.3000000000000007"/>
    <n v="2379"/>
  </r>
  <r>
    <x v="258"/>
    <x v="8"/>
    <n v="24"/>
    <n v="72"/>
    <n v="38"/>
    <n v="34"/>
    <n v="19.899999999999999"/>
    <n v="432"/>
    <n v="173"/>
    <n v="317"/>
    <n v="55.9"/>
    <n v="14"/>
    <n v="50"/>
    <n v="32.1"/>
    <n v="65"/>
    <n v="86"/>
    <n v="75.900000000000006"/>
    <n v="130"/>
    <n v="266"/>
    <n v="396"/>
    <n v="122"/>
    <n v="65"/>
    <n v="29"/>
    <n v="101"/>
    <n v="180"/>
    <n v="1418"/>
    <n v="2"/>
    <n v="0"/>
    <n v="0.1"/>
    <n v="109.1"/>
    <n v="108.6"/>
    <n v="0.5"/>
    <n v="12"/>
    <n v="1.81"/>
    <n v="22.7"/>
    <n v="8.6"/>
    <n v="17"/>
    <n v="12.9"/>
    <n v="12.5"/>
    <n v="58.6"/>
    <n v="61.6"/>
    <n v="12.1"/>
    <n v="101.75"/>
    <n v="9.6"/>
    <n v="3036"/>
  </r>
  <r>
    <x v="259"/>
    <x v="17"/>
    <n v="27"/>
    <n v="66"/>
    <n v="44"/>
    <n v="22"/>
    <n v="14.6"/>
    <n v="429"/>
    <n v="165"/>
    <n v="323"/>
    <n v="50.8"/>
    <n v="46"/>
    <n v="145"/>
    <n v="32.4"/>
    <n v="53"/>
    <n v="66"/>
    <n v="85.9"/>
    <n v="86"/>
    <n v="165"/>
    <n v="251"/>
    <n v="53"/>
    <n v="33"/>
    <n v="26"/>
    <n v="40"/>
    <n v="79"/>
    <n v="990"/>
    <n v="1"/>
    <n v="0"/>
    <n v="-0.6"/>
    <n v="109.9"/>
    <n v="113.4"/>
    <n v="-3.5"/>
    <n v="7.8"/>
    <n v="1.77"/>
    <n v="12.4"/>
    <n v="8.5"/>
    <n v="16.899999999999999"/>
    <n v="12.8"/>
    <n v="7"/>
    <n v="58.3"/>
    <n v="61.4"/>
    <n v="16.2"/>
    <n v="102.45"/>
    <n v="11"/>
    <n v="2071"/>
  </r>
  <r>
    <x v="260"/>
    <x v="29"/>
    <n v="20"/>
    <n v="46"/>
    <n v="11"/>
    <n v="35"/>
    <n v="22.7"/>
    <n v="419"/>
    <n v="133"/>
    <n v="373"/>
    <n v="35.799999999999997"/>
    <n v="87"/>
    <n v="262"/>
    <n v="33.299999999999997"/>
    <n v="69"/>
    <n v="78"/>
    <n v="83.8"/>
    <n v="41"/>
    <n v="138"/>
    <n v="179"/>
    <n v="41"/>
    <n v="46"/>
    <n v="23"/>
    <n v="23"/>
    <n v="106"/>
    <n v="787"/>
    <n v="0"/>
    <n v="0"/>
    <n v="-5.7"/>
    <n v="103"/>
    <n v="115.2"/>
    <n v="-12.3"/>
    <n v="6.3"/>
    <n v="0.87"/>
    <n v="8.1"/>
    <n v="3.7"/>
    <n v="13.8"/>
    <n v="8.4"/>
    <n v="9.3000000000000007"/>
    <n v="47.4"/>
    <n v="51.6"/>
    <n v="18.5"/>
    <n v="97.91"/>
    <n v="6.1"/>
    <n v="2126"/>
  </r>
  <r>
    <x v="261"/>
    <x v="26"/>
    <n v="24"/>
    <n v="59"/>
    <n v="21"/>
    <n v="38"/>
    <n v="17.7"/>
    <n v="419"/>
    <n v="148"/>
    <n v="348"/>
    <n v="42.9"/>
    <n v="106"/>
    <n v="260"/>
    <n v="40.5"/>
    <n v="18"/>
    <n v="18"/>
    <n v="88.9"/>
    <n v="35"/>
    <n v="124"/>
    <n v="159"/>
    <n v="53"/>
    <n v="30"/>
    <n v="18"/>
    <n v="12"/>
    <n v="94"/>
    <n v="743"/>
    <n v="0"/>
    <n v="0"/>
    <n v="-3.1"/>
    <n v="105"/>
    <n v="113.4"/>
    <n v="-8.4"/>
    <n v="7.3"/>
    <n v="1.96"/>
    <n v="12.2"/>
    <n v="3.2"/>
    <n v="11.7"/>
    <n v="7.2"/>
    <n v="6.2"/>
    <n v="58.1"/>
    <n v="59"/>
    <n v="14.7"/>
    <n v="102.32"/>
    <n v="7.2"/>
    <n v="2222"/>
  </r>
  <r>
    <x v="262"/>
    <x v="27"/>
    <n v="24"/>
    <n v="66"/>
    <n v="17"/>
    <n v="49"/>
    <n v="18.8"/>
    <n v="416"/>
    <n v="158"/>
    <n v="350"/>
    <n v="45.5"/>
    <n v="53"/>
    <n v="165"/>
    <n v="34.1"/>
    <n v="46"/>
    <n v="53"/>
    <n v="83.6"/>
    <n v="112"/>
    <n v="205"/>
    <n v="317"/>
    <n v="86"/>
    <n v="53"/>
    <n v="40"/>
    <n v="7"/>
    <n v="79"/>
    <n v="1016"/>
    <n v="4"/>
    <n v="0"/>
    <n v="-5"/>
    <n v="107.2"/>
    <n v="119"/>
    <n v="-11.8"/>
    <n v="10.1"/>
    <n v="1.73"/>
    <n v="17.2"/>
    <n v="8.1999999999999993"/>
    <n v="16.600000000000001"/>
    <n v="12.2"/>
    <n v="10"/>
    <n v="53.6"/>
    <n v="56.3"/>
    <n v="14"/>
    <n v="100.95"/>
    <n v="8.6999999999999993"/>
    <n v="2595"/>
  </r>
  <r>
    <x v="263"/>
    <x v="7"/>
    <n v="24"/>
    <n v="57"/>
    <n v="28"/>
    <n v="29"/>
    <n v="20.2"/>
    <n v="410"/>
    <n v="143"/>
    <n v="291"/>
    <n v="49.7"/>
    <n v="91"/>
    <n v="205"/>
    <n v="43.7"/>
    <n v="34"/>
    <n v="46"/>
    <n v="71.099999999999994"/>
    <n v="23"/>
    <n v="137"/>
    <n v="154"/>
    <n v="148"/>
    <n v="51"/>
    <n v="34"/>
    <n v="29"/>
    <n v="103"/>
    <n v="958"/>
    <n v="1"/>
    <n v="0"/>
    <n v="-1.2"/>
    <n v="109.7"/>
    <n v="111.6"/>
    <n v="-1.9"/>
    <n v="17.5"/>
    <n v="2.94"/>
    <n v="28.9"/>
    <n v="1.9"/>
    <n v="11.6"/>
    <n v="6.7"/>
    <n v="9.8000000000000007"/>
    <n v="65.099999999999994"/>
    <n v="66.099999999999994"/>
    <n v="13.1"/>
    <n v="102.63"/>
    <n v="8.6"/>
    <n v="2456"/>
  </r>
  <r>
    <x v="264"/>
    <x v="18"/>
    <n v="27"/>
    <n v="64"/>
    <n v="34"/>
    <n v="30"/>
    <n v="15.3"/>
    <n v="410"/>
    <n v="154"/>
    <n v="301"/>
    <n v="50.7"/>
    <n v="32"/>
    <n v="109"/>
    <n v="30.2"/>
    <n v="70"/>
    <n v="77"/>
    <n v="88.5"/>
    <n v="102"/>
    <n v="186"/>
    <n v="288"/>
    <n v="109"/>
    <n v="58"/>
    <n v="32"/>
    <n v="32"/>
    <n v="134"/>
    <n v="1030"/>
    <n v="4"/>
    <n v="0"/>
    <n v="-0.5"/>
    <n v="109.4"/>
    <n v="109.9"/>
    <n v="-0.4"/>
    <n v="16.2"/>
    <n v="1.85"/>
    <n v="21.9"/>
    <n v="9.6"/>
    <n v="17.7"/>
    <n v="13.6"/>
    <n v="11.8"/>
    <n v="56"/>
    <n v="60.5"/>
    <n v="16.600000000000001"/>
    <n v="102.77"/>
    <n v="10.6"/>
    <n v="2083"/>
  </r>
  <r>
    <x v="265"/>
    <x v="13"/>
    <n v="25"/>
    <n v="62"/>
    <n v="33"/>
    <n v="29"/>
    <n v="15.6"/>
    <n v="409"/>
    <n v="174"/>
    <n v="304"/>
    <n v="57.6"/>
    <n v="0"/>
    <n v="0"/>
    <n v="0"/>
    <n v="62"/>
    <n v="99"/>
    <n v="57.8"/>
    <n v="124"/>
    <n v="186"/>
    <n v="310"/>
    <n v="105"/>
    <n v="43"/>
    <n v="25"/>
    <n v="37"/>
    <n v="74"/>
    <n v="1073"/>
    <n v="4"/>
    <n v="0"/>
    <n v="-1"/>
    <n v="107.8"/>
    <n v="111.3"/>
    <n v="-3.5"/>
    <n v="16.3"/>
    <n v="2.31"/>
    <n v="21.1"/>
    <n v="11.5"/>
    <n v="19.2"/>
    <n v="15.2"/>
    <n v="9.1"/>
    <n v="57.6"/>
    <n v="58.7"/>
    <n v="16.399999999999999"/>
    <n v="101.53"/>
    <n v="12"/>
    <n v="2050"/>
  </r>
  <r>
    <x v="266"/>
    <x v="24"/>
    <n v="23"/>
    <n v="71"/>
    <n v="15"/>
    <n v="56"/>
    <n v="17.5"/>
    <n v="405"/>
    <n v="170"/>
    <n v="277"/>
    <n v="59.6"/>
    <n v="0"/>
    <n v="7"/>
    <n v="0"/>
    <n v="71"/>
    <n v="114"/>
    <n v="59.5"/>
    <n v="185"/>
    <n v="249"/>
    <n v="440"/>
    <n v="57"/>
    <n v="64"/>
    <n v="43"/>
    <n v="43"/>
    <n v="107"/>
    <n v="1207"/>
    <n v="7"/>
    <n v="0"/>
    <n v="-1.7"/>
    <n v="106.9"/>
    <n v="110.3"/>
    <n v="-3.4"/>
    <n v="6.9"/>
    <n v="0.92"/>
    <n v="12.5"/>
    <n v="13.5"/>
    <n v="20.9"/>
    <n v="16.899999999999999"/>
    <n v="13.6"/>
    <n v="59.6"/>
    <n v="60.9"/>
    <n v="13"/>
    <n v="97.32"/>
    <n v="11.5"/>
    <n v="2498"/>
  </r>
  <r>
    <x v="267"/>
    <x v="13"/>
    <n v="32"/>
    <n v="62"/>
    <n v="36"/>
    <n v="26"/>
    <n v="15"/>
    <n v="403"/>
    <n v="174"/>
    <n v="298"/>
    <n v="57.4"/>
    <n v="31"/>
    <n v="93"/>
    <n v="32.6"/>
    <n v="25"/>
    <n v="37"/>
    <n v="71.099999999999994"/>
    <n v="56"/>
    <n v="130"/>
    <n v="186"/>
    <n v="81"/>
    <n v="37"/>
    <n v="50"/>
    <n v="19"/>
    <n v="105"/>
    <n v="918"/>
    <n v="0"/>
    <n v="0"/>
    <n v="0.7"/>
    <n v="113.5"/>
    <n v="110.1"/>
    <n v="3.4"/>
    <n v="13.2"/>
    <n v="2.13"/>
    <n v="19.100000000000001"/>
    <n v="5.6"/>
    <n v="13.4"/>
    <n v="9.6"/>
    <n v="9"/>
    <n v="62.6"/>
    <n v="63.5"/>
    <n v="15.6"/>
    <n v="102.12"/>
    <n v="10.4"/>
    <n v="1963"/>
  </r>
  <r>
    <x v="268"/>
    <x v="26"/>
    <n v="27"/>
    <n v="18"/>
    <n v="5"/>
    <n v="13"/>
    <n v="33.1"/>
    <n v="400"/>
    <n v="155"/>
    <n v="333"/>
    <n v="46.5"/>
    <n v="43"/>
    <n v="115"/>
    <n v="37.4"/>
    <n v="47"/>
    <n v="56"/>
    <n v="85.5"/>
    <n v="16"/>
    <n v="83"/>
    <n v="101"/>
    <n v="94"/>
    <n v="68"/>
    <n v="16"/>
    <n v="11"/>
    <n v="45"/>
    <n v="671"/>
    <n v="0"/>
    <n v="0"/>
    <n v="-7.1"/>
    <n v="107"/>
    <n v="117.7"/>
    <n v="-10.7"/>
    <n v="28"/>
    <n v="1.35"/>
    <n v="18"/>
    <n v="2.7"/>
    <n v="14"/>
    <n v="8.3000000000000007"/>
    <n v="13.3"/>
    <n v="53"/>
    <n v="56"/>
    <n v="30.5"/>
    <n v="97.49"/>
    <n v="12.2"/>
    <n v="1209"/>
  </r>
  <r>
    <x v="269"/>
    <x v="29"/>
    <n v="23"/>
    <n v="50"/>
    <n v="14"/>
    <n v="36"/>
    <n v="18.100000000000001"/>
    <n v="395"/>
    <n v="165"/>
    <n v="315"/>
    <n v="52.1"/>
    <n v="10"/>
    <n v="45"/>
    <n v="24.4"/>
    <n v="55"/>
    <n v="75"/>
    <n v="75.7"/>
    <n v="150"/>
    <n v="180"/>
    <n v="330"/>
    <n v="90"/>
    <n v="65"/>
    <n v="40"/>
    <n v="40"/>
    <n v="115"/>
    <n v="1115"/>
    <n v="4"/>
    <n v="0"/>
    <n v="1.3"/>
    <n v="109.2"/>
    <n v="107.1"/>
    <n v="2.1"/>
    <n v="15.8"/>
    <n v="1.44"/>
    <n v="18.100000000000001"/>
    <n v="14.9"/>
    <n v="20.2"/>
    <n v="17.399999999999999"/>
    <n v="12.5"/>
    <n v="53.8"/>
    <n v="56.8"/>
    <n v="18.600000000000001"/>
    <n v="97.35"/>
    <n v="13.4"/>
    <n v="1852"/>
  </r>
  <r>
    <x v="270"/>
    <x v="26"/>
    <n v="23"/>
    <n v="63"/>
    <n v="18"/>
    <n v="45"/>
    <n v="20.399999999999999"/>
    <n v="391"/>
    <n v="158"/>
    <n v="359"/>
    <n v="43.8"/>
    <n v="19"/>
    <n v="69"/>
    <n v="24.3"/>
    <n v="63"/>
    <n v="82"/>
    <n v="73.2"/>
    <n v="107"/>
    <n v="202"/>
    <n v="309"/>
    <n v="145"/>
    <n v="69"/>
    <n v="57"/>
    <n v="32"/>
    <n v="139"/>
    <n v="1178"/>
    <n v="3"/>
    <n v="1"/>
    <n v="-3.8"/>
    <n v="103.7"/>
    <n v="111.9"/>
    <n v="-8.1999999999999993"/>
    <n v="16"/>
    <n v="2.09"/>
    <n v="24.1"/>
    <n v="7.6"/>
    <n v="15.7"/>
    <n v="11.4"/>
    <n v="11.5"/>
    <n v="46.2"/>
    <n v="49.6"/>
    <n v="14.5"/>
    <n v="102.69"/>
    <n v="8.3000000000000007"/>
    <n v="2743"/>
  </r>
  <r>
    <x v="271"/>
    <x v="20"/>
    <n v="28"/>
    <n v="30"/>
    <n v="18"/>
    <n v="12"/>
    <n v="18.8"/>
    <n v="387"/>
    <n v="141"/>
    <n v="249"/>
    <n v="56.2"/>
    <n v="27"/>
    <n v="75"/>
    <n v="36"/>
    <n v="78"/>
    <n v="111"/>
    <n v="71.8"/>
    <n v="39"/>
    <n v="108"/>
    <n v="147"/>
    <n v="42"/>
    <n v="48"/>
    <n v="24"/>
    <n v="12"/>
    <n v="54"/>
    <n v="687"/>
    <n v="1"/>
    <n v="0"/>
    <n v="-0.6"/>
    <n v="106.1"/>
    <n v="107"/>
    <n v="-0.9"/>
    <n v="13.5"/>
    <n v="0.86"/>
    <n v="10.9"/>
    <n v="6.7"/>
    <n v="20.100000000000001"/>
    <n v="13.1"/>
    <n v="12.7"/>
    <n v="61.6"/>
    <n v="64.900000000000006"/>
    <n v="25.4"/>
    <n v="99.97"/>
    <n v="16.5"/>
    <n v="1172"/>
  </r>
  <r>
    <x v="272"/>
    <x v="19"/>
    <n v="26"/>
    <n v="61"/>
    <n v="23"/>
    <n v="38"/>
    <n v="11.2"/>
    <n v="384"/>
    <n v="140"/>
    <n v="281"/>
    <n v="50.2"/>
    <n v="61"/>
    <n v="159"/>
    <n v="37.299999999999997"/>
    <n v="43"/>
    <n v="61"/>
    <n v="74.099999999999994"/>
    <n v="61"/>
    <n v="122"/>
    <n v="189"/>
    <n v="49"/>
    <n v="24"/>
    <n v="18"/>
    <n v="18"/>
    <n v="61"/>
    <n v="769"/>
    <n v="2"/>
    <n v="0"/>
    <n v="-0.5"/>
    <n v="111.6"/>
    <n v="112.9"/>
    <n v="-1.4"/>
    <n v="10.8"/>
    <n v="1.85"/>
    <n v="12.6"/>
    <n v="8.6"/>
    <n v="17.600000000000001"/>
    <n v="13.1"/>
    <n v="6.8"/>
    <n v="60.9"/>
    <n v="62.8"/>
    <n v="20.2"/>
    <n v="102.07"/>
    <n v="12.4"/>
    <n v="1445"/>
  </r>
  <r>
    <x v="273"/>
    <x v="27"/>
    <n v="34"/>
    <n v="44"/>
    <n v="12"/>
    <n v="32"/>
    <n v="20.2"/>
    <n v="383"/>
    <n v="132"/>
    <n v="268"/>
    <n v="50"/>
    <n v="35"/>
    <n v="79"/>
    <n v="41.8"/>
    <n v="84"/>
    <n v="110"/>
    <n v="76.900000000000006"/>
    <n v="62"/>
    <n v="145"/>
    <n v="207"/>
    <n v="128"/>
    <n v="75"/>
    <n v="35"/>
    <n v="18"/>
    <n v="123"/>
    <n v="902"/>
    <n v="2"/>
    <n v="0"/>
    <n v="-1.3"/>
    <n v="110.7"/>
    <n v="113.4"/>
    <n v="-2.7"/>
    <n v="20"/>
    <n v="1.68"/>
    <n v="24.4"/>
    <n v="6.9"/>
    <n v="15.4"/>
    <n v="11.2"/>
    <n v="14.5"/>
    <n v="56.2"/>
    <n v="60.9"/>
    <n v="18.5"/>
    <n v="100.28"/>
    <n v="9.8000000000000007"/>
    <n v="1858"/>
  </r>
  <r>
    <x v="274"/>
    <x v="0"/>
    <n v="31"/>
    <n v="54"/>
    <n v="44"/>
    <n v="10"/>
    <n v="19.3"/>
    <n v="383"/>
    <n v="140"/>
    <n v="313"/>
    <n v="44.6"/>
    <n v="59"/>
    <n v="167"/>
    <n v="35.299999999999997"/>
    <n v="43"/>
    <n v="49"/>
    <n v="82.4"/>
    <n v="38"/>
    <n v="119"/>
    <n v="157"/>
    <n v="135"/>
    <n v="38"/>
    <n v="86"/>
    <n v="32"/>
    <n v="103"/>
    <n v="1091"/>
    <n v="0"/>
    <n v="0"/>
    <n v="5.9"/>
    <n v="117.5"/>
    <n v="102.5"/>
    <n v="15"/>
    <n v="17.100000000000001"/>
    <n v="3.7"/>
    <n v="26.9"/>
    <n v="3.5"/>
    <n v="10.8"/>
    <n v="7.2"/>
    <n v="7.3"/>
    <n v="54.1"/>
    <n v="56.8"/>
    <n v="14.7"/>
    <n v="102.7"/>
    <n v="10.1"/>
    <n v="2221"/>
  </r>
  <r>
    <x v="275"/>
    <x v="20"/>
    <n v="27"/>
    <n v="71"/>
    <n v="35"/>
    <n v="36"/>
    <n v="15.4"/>
    <n v="383"/>
    <n v="135"/>
    <n v="327"/>
    <n v="41.4"/>
    <n v="36"/>
    <n v="149"/>
    <n v="25.8"/>
    <n v="71"/>
    <n v="107"/>
    <n v="68.2"/>
    <n v="121"/>
    <n v="192"/>
    <n v="312"/>
    <n v="43"/>
    <n v="36"/>
    <n v="64"/>
    <n v="78"/>
    <n v="92"/>
    <n v="1207"/>
    <n v="2"/>
    <n v="0"/>
    <n v="-0.5"/>
    <n v="105.9"/>
    <n v="106.6"/>
    <n v="-0.7"/>
    <n v="5.6"/>
    <n v="1.21"/>
    <n v="9"/>
    <n v="10"/>
    <n v="18.8"/>
    <n v="14.1"/>
    <n v="7.4"/>
    <n v="47.4"/>
    <n v="51.2"/>
    <n v="15.5"/>
    <n v="98.62"/>
    <n v="10.8"/>
    <n v="2229"/>
  </r>
  <r>
    <x v="276"/>
    <x v="14"/>
    <n v="25"/>
    <n v="56"/>
    <n v="38"/>
    <n v="18"/>
    <n v="19.5"/>
    <n v="381"/>
    <n v="162"/>
    <n v="224"/>
    <n v="72.2"/>
    <n v="0"/>
    <n v="6"/>
    <n v="0"/>
    <n v="62"/>
    <n v="101"/>
    <n v="62.2"/>
    <n v="78"/>
    <n v="190"/>
    <n v="269"/>
    <n v="56"/>
    <n v="45"/>
    <n v="34"/>
    <n v="50"/>
    <n v="134"/>
    <n v="997"/>
    <n v="2"/>
    <n v="0"/>
    <n v="1.6"/>
    <n v="112.3"/>
    <n v="109.8"/>
    <n v="2.5"/>
    <n v="7.6"/>
    <n v="1.35"/>
    <n v="15.8"/>
    <n v="7.4"/>
    <n v="16.3"/>
    <n v="12.1"/>
    <n v="11.7"/>
    <n v="72.2"/>
    <n v="72"/>
    <n v="12"/>
    <n v="100.51"/>
    <n v="9.6999999999999993"/>
    <n v="2301"/>
  </r>
  <r>
    <x v="277"/>
    <x v="18"/>
    <n v="24"/>
    <n v="58"/>
    <n v="26"/>
    <n v="32"/>
    <n v="12.5"/>
    <n v="377"/>
    <n v="133"/>
    <n v="290"/>
    <n v="45.7"/>
    <n v="41"/>
    <n v="122"/>
    <n v="33.6"/>
    <n v="70"/>
    <n v="99"/>
    <n v="73.5"/>
    <n v="17"/>
    <n v="81"/>
    <n v="99"/>
    <n v="81"/>
    <n v="41"/>
    <n v="23"/>
    <n v="12"/>
    <n v="58"/>
    <n v="679"/>
    <n v="0"/>
    <n v="0"/>
    <n v="0.3"/>
    <n v="111.4"/>
    <n v="109.8"/>
    <n v="1.7"/>
    <n v="16.2"/>
    <n v="2.08"/>
    <n v="18.100000000000001"/>
    <n v="2.5"/>
    <n v="9.6999999999999993"/>
    <n v="6.3"/>
    <n v="8.6999999999999993"/>
    <n v="52.7"/>
    <n v="56.7"/>
    <n v="20.8"/>
    <n v="106.82"/>
    <n v="9"/>
    <n v="1607"/>
  </r>
  <r>
    <x v="278"/>
    <x v="8"/>
    <n v="24"/>
    <n v="57"/>
    <n v="30"/>
    <n v="27"/>
    <n v="14.2"/>
    <n v="376"/>
    <n v="137"/>
    <n v="296"/>
    <n v="46.3"/>
    <n v="57"/>
    <n v="154"/>
    <n v="38.200000000000003"/>
    <n v="46"/>
    <n v="51"/>
    <n v="84.3"/>
    <n v="17"/>
    <n v="51"/>
    <n v="68"/>
    <n v="131"/>
    <n v="51"/>
    <n v="34"/>
    <n v="6"/>
    <n v="74"/>
    <n v="724"/>
    <n v="1"/>
    <n v="0"/>
    <n v="0.7"/>
    <n v="110.4"/>
    <n v="107.5"/>
    <n v="2.9"/>
    <n v="23.9"/>
    <n v="2.46"/>
    <n v="26.4"/>
    <n v="2.1"/>
    <n v="6"/>
    <n v="4"/>
    <n v="10.7"/>
    <n v="56.1"/>
    <n v="58.9"/>
    <n v="18.7"/>
    <n v="102"/>
    <n v="9.5"/>
    <n v="1719"/>
  </r>
  <r>
    <x v="279"/>
    <x v="10"/>
    <n v="25"/>
    <n v="57"/>
    <n v="36"/>
    <n v="21"/>
    <n v="20.5"/>
    <n v="376"/>
    <n v="165"/>
    <n v="325"/>
    <n v="50.2"/>
    <n v="11"/>
    <n v="34"/>
    <n v="27.8"/>
    <n v="40"/>
    <n v="68"/>
    <n v="59.4"/>
    <n v="103"/>
    <n v="217"/>
    <n v="319"/>
    <n v="57"/>
    <n v="46"/>
    <n v="46"/>
    <n v="40"/>
    <n v="80"/>
    <n v="1066"/>
    <n v="3"/>
    <n v="0"/>
    <n v="-0.8"/>
    <n v="110.2"/>
    <n v="111.4"/>
    <n v="-1.2"/>
    <n v="6.5"/>
    <n v="1.22"/>
    <n v="12.1"/>
    <n v="8.4"/>
    <n v="18.8"/>
    <n v="13.5"/>
    <n v="9.9"/>
    <n v="51.7"/>
    <n v="53"/>
    <n v="14.3"/>
    <n v="100.16"/>
    <n v="9.1999999999999993"/>
    <n v="2432"/>
  </r>
  <r>
    <x v="280"/>
    <x v="18"/>
    <n v="21"/>
    <n v="79"/>
    <n v="37"/>
    <n v="42"/>
    <n v="14.2"/>
    <n v="363"/>
    <n v="126"/>
    <n v="284"/>
    <n v="44.6"/>
    <n v="47"/>
    <n v="150"/>
    <n v="32.700000000000003"/>
    <n v="63"/>
    <n v="79"/>
    <n v="78.900000000000006"/>
    <n v="63"/>
    <n v="103"/>
    <n v="166"/>
    <n v="40"/>
    <n v="24"/>
    <n v="40"/>
    <n v="24"/>
    <n v="111"/>
    <n v="774"/>
    <n v="0"/>
    <n v="0"/>
    <n v="0.4"/>
    <n v="112.9"/>
    <n v="111.1"/>
    <n v="1.8"/>
    <n v="4.5"/>
    <n v="1.44"/>
    <n v="10.1"/>
    <n v="5.6"/>
    <n v="8.1999999999999993"/>
    <n v="7"/>
    <n v="7"/>
    <n v="53.3"/>
    <n v="57.1"/>
    <n v="12.6"/>
    <n v="104"/>
    <n v="5.5"/>
    <n v="2427"/>
  </r>
  <r>
    <x v="281"/>
    <x v="6"/>
    <n v="31"/>
    <n v="61"/>
    <n v="30"/>
    <n v="31"/>
    <n v="16.399999999999999"/>
    <n v="360"/>
    <n v="140"/>
    <n v="305"/>
    <n v="46.9"/>
    <n v="24"/>
    <n v="67"/>
    <n v="35.700000000000003"/>
    <n v="49"/>
    <n v="67"/>
    <n v="73.8"/>
    <n v="55"/>
    <n v="153"/>
    <n v="207"/>
    <n v="146"/>
    <n v="37"/>
    <n v="43"/>
    <n v="31"/>
    <n v="79"/>
    <n v="1007"/>
    <n v="2"/>
    <n v="0"/>
    <n v="-0.4"/>
    <n v="106.1"/>
    <n v="107.6"/>
    <n v="-1.5"/>
    <n v="21.1"/>
    <n v="3.92"/>
    <n v="28.3"/>
    <n v="4.9000000000000004"/>
    <n v="14.8"/>
    <n v="9.6999999999999993"/>
    <n v="7.2"/>
    <n v="51"/>
    <n v="53.8"/>
    <n v="15.2"/>
    <n v="100.06"/>
    <n v="10.8"/>
    <n v="2093"/>
  </r>
  <r>
    <x v="282"/>
    <x v="5"/>
    <n v="29"/>
    <n v="53"/>
    <n v="16"/>
    <n v="37"/>
    <n v="22.1"/>
    <n v="360"/>
    <n v="138"/>
    <n v="323"/>
    <n v="41.8"/>
    <n v="42"/>
    <n v="148"/>
    <n v="28.5"/>
    <n v="42"/>
    <n v="64"/>
    <n v="70.5"/>
    <n v="53"/>
    <n v="170"/>
    <n v="223"/>
    <n v="106"/>
    <n v="53"/>
    <n v="58"/>
    <n v="32"/>
    <n v="95"/>
    <n v="996"/>
    <n v="0"/>
    <n v="0"/>
    <n v="-2"/>
    <n v="108.1"/>
    <n v="111.3"/>
    <n v="-3.2"/>
    <n v="12.8"/>
    <n v="2.06"/>
    <n v="20.6"/>
    <n v="4.0999999999999996"/>
    <n v="13.6"/>
    <n v="8.8000000000000007"/>
    <n v="10"/>
    <n v="48.5"/>
    <n v="50.9"/>
    <n v="14.2"/>
    <n v="101.2"/>
    <n v="8"/>
    <n v="2462"/>
  </r>
  <r>
    <x v="283"/>
    <x v="6"/>
    <n v="33"/>
    <n v="49"/>
    <n v="26"/>
    <n v="23"/>
    <n v="17.600000000000001"/>
    <n v="358"/>
    <n v="113"/>
    <n v="270"/>
    <n v="42.4"/>
    <n v="88"/>
    <n v="206"/>
    <n v="42.5"/>
    <n v="39"/>
    <n v="49"/>
    <n v="77.599999999999994"/>
    <n v="15"/>
    <n v="108"/>
    <n v="123"/>
    <n v="54"/>
    <n v="29"/>
    <n v="29"/>
    <n v="5"/>
    <n v="39"/>
    <n v="662"/>
    <n v="0"/>
    <n v="0"/>
    <n v="2.2000000000000002"/>
    <n v="113.5"/>
    <n v="107.6"/>
    <n v="5.9"/>
    <n v="9"/>
    <n v="1.9"/>
    <n v="14.7"/>
    <n v="1.8"/>
    <n v="11.9"/>
    <n v="7"/>
    <n v="7.8"/>
    <n v="58.7"/>
    <n v="60.8"/>
    <n v="16"/>
    <n v="98.03"/>
    <n v="8.8000000000000007"/>
    <n v="1766"/>
  </r>
  <r>
    <x v="284"/>
    <x v="25"/>
    <n v="29"/>
    <n v="45"/>
    <n v="17"/>
    <n v="28"/>
    <n v="27.1"/>
    <n v="356"/>
    <n v="131"/>
    <n v="306"/>
    <n v="42.4"/>
    <n v="36"/>
    <n v="104"/>
    <n v="35.9"/>
    <n v="63"/>
    <n v="99"/>
    <n v="62.2"/>
    <n v="54"/>
    <n v="126"/>
    <n v="176"/>
    <n v="95"/>
    <n v="54"/>
    <n v="45"/>
    <n v="23"/>
    <n v="86"/>
    <n v="864"/>
    <n v="1"/>
    <n v="0"/>
    <n v="-3.4"/>
    <n v="106.5"/>
    <n v="112.8"/>
    <n v="-6.3"/>
    <n v="11.6"/>
    <n v="1.7"/>
    <n v="19"/>
    <n v="4.2"/>
    <n v="10.5"/>
    <n v="7.3"/>
    <n v="11.2"/>
    <n v="48.5"/>
    <n v="51.3"/>
    <n v="14.3"/>
    <n v="98.64"/>
    <n v="6.3"/>
    <n v="2504"/>
  </r>
  <r>
    <x v="285"/>
    <x v="24"/>
    <n v="19"/>
    <n v="60"/>
    <n v="12"/>
    <n v="48"/>
    <n v="20.7"/>
    <n v="354"/>
    <n v="114"/>
    <n v="348"/>
    <n v="33"/>
    <n v="60"/>
    <n v="204"/>
    <n v="28.3"/>
    <n v="66"/>
    <n v="96"/>
    <n v="71.3"/>
    <n v="72"/>
    <n v="210"/>
    <n v="282"/>
    <n v="72"/>
    <n v="60"/>
    <n v="30"/>
    <n v="12"/>
    <n v="84"/>
    <n v="870"/>
    <n v="2"/>
    <n v="0"/>
    <n v="-5.4"/>
    <n v="99.4"/>
    <n v="111.2"/>
    <n v="-11.9"/>
    <n v="9.1999999999999993"/>
    <n v="1.28"/>
    <n v="14.2"/>
    <n v="5"/>
    <n v="16.8"/>
    <n v="10.6"/>
    <n v="11.2"/>
    <n v="41.4"/>
    <n v="45.7"/>
    <n v="15"/>
    <n v="98.5"/>
    <n v="6.5"/>
    <n v="2545"/>
  </r>
  <r>
    <x v="286"/>
    <x v="7"/>
    <n v="28"/>
    <n v="47"/>
    <n v="21"/>
    <n v="26"/>
    <n v="17.600000000000001"/>
    <n v="353"/>
    <n v="103"/>
    <n v="259"/>
    <n v="39.700000000000003"/>
    <n v="85"/>
    <n v="216"/>
    <n v="39"/>
    <n v="66"/>
    <n v="80"/>
    <n v="82.1"/>
    <n v="14"/>
    <n v="75"/>
    <n v="89"/>
    <n v="61"/>
    <n v="33"/>
    <n v="28"/>
    <n v="14"/>
    <n v="80"/>
    <n v="639"/>
    <n v="0"/>
    <n v="0"/>
    <n v="-1.3"/>
    <n v="107.9"/>
    <n v="111.4"/>
    <n v="-3.5"/>
    <n v="10.199999999999999"/>
    <n v="1.94"/>
    <n v="16"/>
    <n v="1.5"/>
    <n v="8.5"/>
    <n v="4.9000000000000004"/>
    <n v="8.1999999999999993"/>
    <n v="56.2"/>
    <n v="60.6"/>
    <n v="15.3"/>
    <n v="105.43"/>
    <n v="6.8"/>
    <n v="1824"/>
  </r>
  <r>
    <x v="287"/>
    <x v="22"/>
    <n v="21"/>
    <n v="23"/>
    <n v="7"/>
    <n v="16"/>
    <n v="25.7"/>
    <n v="352"/>
    <n v="127"/>
    <n v="274"/>
    <n v="46"/>
    <n v="51"/>
    <n v="133"/>
    <n v="38.299999999999997"/>
    <n v="48"/>
    <n v="55"/>
    <n v="87.5"/>
    <n v="14"/>
    <n v="44"/>
    <n v="55"/>
    <n v="60"/>
    <n v="37"/>
    <n v="16"/>
    <n v="0"/>
    <n v="37"/>
    <n v="518"/>
    <n v="1"/>
    <n v="0"/>
    <n v="-1.2"/>
    <n v="109.3"/>
    <n v="111.4"/>
    <n v="-2.1"/>
    <n v="17.100000000000001"/>
    <n v="1.62"/>
    <n v="15.2"/>
    <n v="2.2000000000000002"/>
    <n v="7.6"/>
    <n v="4.8"/>
    <n v="9.3000000000000007"/>
    <n v="55.3"/>
    <n v="58.9"/>
    <n v="24.3"/>
    <n v="98.18"/>
    <n v="10.6"/>
    <n v="1210"/>
  </r>
  <r>
    <x v="288"/>
    <x v="15"/>
    <n v="31"/>
    <n v="68"/>
    <n v="24"/>
    <n v="44"/>
    <n v="18.5"/>
    <n v="347"/>
    <n v="122"/>
    <n v="286"/>
    <n v="42.9"/>
    <n v="48"/>
    <n v="143"/>
    <n v="32.6"/>
    <n v="54"/>
    <n v="75"/>
    <n v="72.400000000000006"/>
    <n v="61"/>
    <n v="156"/>
    <n v="218"/>
    <n v="54"/>
    <n v="34"/>
    <n v="68"/>
    <n v="34"/>
    <n v="95"/>
    <n v="952"/>
    <n v="0"/>
    <n v="0"/>
    <n v="-3.1"/>
    <n v="109.1"/>
    <n v="117"/>
    <n v="-7.8"/>
    <n v="5.9"/>
    <n v="1.75"/>
    <n v="13.8"/>
    <n v="4.2"/>
    <n v="12.2"/>
    <n v="8.1"/>
    <n v="7.9"/>
    <n v="50.9"/>
    <n v="54.1"/>
    <n v="11.3"/>
    <n v="101.97"/>
    <n v="6.4"/>
    <n v="2671"/>
  </r>
  <r>
    <x v="289"/>
    <x v="3"/>
    <n v="22"/>
    <n v="56"/>
    <n v="30"/>
    <n v="26"/>
    <n v="14.6"/>
    <n v="347"/>
    <n v="134"/>
    <n v="269"/>
    <n v="48.7"/>
    <n v="50"/>
    <n v="118"/>
    <n v="40.799999999999997"/>
    <n v="34"/>
    <n v="45"/>
    <n v="80"/>
    <n v="22"/>
    <n v="90"/>
    <n v="106"/>
    <n v="106"/>
    <n v="50"/>
    <n v="45"/>
    <n v="17"/>
    <n v="90"/>
    <n v="756"/>
    <n v="1"/>
    <n v="0"/>
    <n v="1.5"/>
    <n v="114"/>
    <n v="108.6"/>
    <n v="5.4"/>
    <n v="17.3"/>
    <n v="1.96"/>
    <n v="23.3"/>
    <n v="2.7"/>
    <n v="9.8000000000000007"/>
    <n v="6.5"/>
    <n v="11.9"/>
    <n v="57.7"/>
    <n v="60"/>
    <n v="17.899999999999999"/>
    <n v="101.74"/>
    <n v="8.8000000000000007"/>
    <n v="1732"/>
  </r>
  <r>
    <x v="290"/>
    <x v="13"/>
    <n v="29"/>
    <n v="76"/>
    <n v="45"/>
    <n v="31"/>
    <n v="15"/>
    <n v="342"/>
    <n v="144"/>
    <n v="281"/>
    <n v="51.4"/>
    <n v="0"/>
    <n v="8"/>
    <n v="40"/>
    <n v="53"/>
    <n v="99"/>
    <n v="56.6"/>
    <n v="182"/>
    <n v="274"/>
    <n v="464"/>
    <n v="122"/>
    <n v="38"/>
    <n v="46"/>
    <n v="38"/>
    <n v="152"/>
    <n v="1284"/>
    <n v="2"/>
    <n v="0"/>
    <n v="1.5"/>
    <n v="112.5"/>
    <n v="106.9"/>
    <n v="5.6"/>
    <n v="14.3"/>
    <n v="3.03"/>
    <n v="24.7"/>
    <n v="13.9"/>
    <n v="22.7"/>
    <n v="18.100000000000001"/>
    <n v="8.1999999999999993"/>
    <n v="51.8"/>
    <n v="53.5"/>
    <n v="12.5"/>
    <n v="100.61"/>
    <n v="11.4"/>
    <n v="2386"/>
  </r>
  <r>
    <x v="291"/>
    <x v="12"/>
    <n v="28"/>
    <n v="62"/>
    <n v="39"/>
    <n v="23"/>
    <n v="12.8"/>
    <n v="341"/>
    <n v="118"/>
    <n v="267"/>
    <n v="43.7"/>
    <n v="74"/>
    <n v="180"/>
    <n v="39.799999999999997"/>
    <n v="31"/>
    <n v="43"/>
    <n v="82.9"/>
    <n v="12"/>
    <n v="62"/>
    <n v="81"/>
    <n v="81"/>
    <n v="37"/>
    <n v="19"/>
    <n v="12"/>
    <n v="62"/>
    <n v="614"/>
    <n v="0"/>
    <n v="0"/>
    <n v="1.4"/>
    <n v="110.3"/>
    <n v="103.6"/>
    <n v="6.7"/>
    <n v="14.2"/>
    <n v="2.2400000000000002"/>
    <n v="20.5"/>
    <n v="1.5"/>
    <n v="7.3"/>
    <n v="4.4000000000000004"/>
    <n v="9.1"/>
    <n v="57.1"/>
    <n v="59.4"/>
    <n v="16.2"/>
    <n v="103.09"/>
    <n v="8.1999999999999993"/>
    <n v="1689"/>
  </r>
  <r>
    <x v="292"/>
    <x v="13"/>
    <n v="25"/>
    <n v="42"/>
    <n v="26"/>
    <n v="16"/>
    <n v="16.3"/>
    <n v="340"/>
    <n v="122"/>
    <n v="273"/>
    <n v="44.9"/>
    <n v="71"/>
    <n v="181"/>
    <n v="40.799999999999997"/>
    <n v="21"/>
    <n v="25"/>
    <n v="77.8"/>
    <n v="34"/>
    <n v="113"/>
    <n v="147"/>
    <n v="55"/>
    <n v="34"/>
    <n v="17"/>
    <n v="17"/>
    <n v="84"/>
    <n v="672"/>
    <n v="0"/>
    <n v="0"/>
    <n v="1"/>
    <n v="111.5"/>
    <n v="109.1"/>
    <n v="2.4"/>
    <n v="13.1"/>
    <n v="1.7"/>
    <n v="14.9"/>
    <n v="4.9000000000000004"/>
    <n v="16.600000000000001"/>
    <n v="10.6"/>
    <n v="8.8000000000000007"/>
    <n v="58.2"/>
    <n v="59.5"/>
    <n v="19.7"/>
    <n v="100.02"/>
    <n v="9.5"/>
    <n v="1433"/>
  </r>
  <r>
    <x v="293"/>
    <x v="27"/>
    <n v="28"/>
    <n v="41"/>
    <n v="15"/>
    <n v="26"/>
    <n v="22.5"/>
    <n v="340"/>
    <n v="131"/>
    <n v="308"/>
    <n v="42.1"/>
    <n v="29"/>
    <n v="82"/>
    <n v="33.299999999999997"/>
    <n v="53"/>
    <n v="66"/>
    <n v="81.5"/>
    <n v="41"/>
    <n v="123"/>
    <n v="164"/>
    <n v="82"/>
    <n v="41"/>
    <n v="33"/>
    <n v="8"/>
    <n v="70"/>
    <n v="754"/>
    <n v="0"/>
    <n v="0"/>
    <n v="-5.5"/>
    <n v="104.8"/>
    <n v="116.8"/>
    <n v="-11.9"/>
    <n v="13.3"/>
    <n v="2.15"/>
    <n v="18.3"/>
    <n v="4"/>
    <n v="13.4"/>
    <n v="8.5"/>
    <n v="8.5"/>
    <n v="46.4"/>
    <n v="50.4"/>
    <n v="16.899999999999999"/>
    <n v="100.19"/>
    <n v="7.8"/>
    <n v="1925"/>
  </r>
  <r>
    <x v="294"/>
    <x v="15"/>
    <n v="24"/>
    <n v="55"/>
    <n v="44"/>
    <n v="11"/>
    <n v="19.100000000000001"/>
    <n v="336"/>
    <n v="127"/>
    <n v="270"/>
    <n v="46.4"/>
    <n v="55"/>
    <n v="149"/>
    <n v="37.1"/>
    <n v="33"/>
    <n v="44"/>
    <n v="71.7"/>
    <n v="50"/>
    <n v="83"/>
    <n v="132"/>
    <n v="66"/>
    <n v="22"/>
    <n v="33"/>
    <n v="17"/>
    <n v="105"/>
    <n v="715"/>
    <n v="0"/>
    <n v="0"/>
    <n v="4.5999999999999996"/>
    <n v="122.1"/>
    <n v="109.7"/>
    <n v="12.5"/>
    <n v="7.8"/>
    <n v="2.96"/>
    <n v="17.899999999999999"/>
    <n v="4.7"/>
    <n v="7.2"/>
    <n v="6"/>
    <n v="6.1"/>
    <n v="56.9"/>
    <n v="58.7"/>
    <n v="12.4"/>
    <n v="100.08"/>
    <n v="5.7"/>
    <n v="2187"/>
  </r>
  <r>
    <x v="295"/>
    <x v="22"/>
    <n v="22"/>
    <n v="58"/>
    <n v="12"/>
    <n v="46"/>
    <n v="15.6"/>
    <n v="336"/>
    <n v="133"/>
    <n v="191"/>
    <n v="70.3"/>
    <n v="0"/>
    <n v="0"/>
    <n v="0"/>
    <n v="70"/>
    <n v="99"/>
    <n v="67"/>
    <n v="93"/>
    <n v="151"/>
    <n v="244"/>
    <n v="29"/>
    <n v="64"/>
    <n v="23"/>
    <n v="70"/>
    <n v="128"/>
    <n v="893"/>
    <n v="3"/>
    <n v="0"/>
    <n v="-1.9"/>
    <n v="107.4"/>
    <n v="114"/>
    <n v="-6.6"/>
    <n v="4.3"/>
    <n v="0.44"/>
    <n v="8.4"/>
    <n v="9.6999999999999993"/>
    <n v="16.399999999999999"/>
    <n v="13"/>
    <n v="18.899999999999999"/>
    <n v="70.3"/>
    <n v="71.400000000000006"/>
    <n v="13.5"/>
    <n v="100.51"/>
    <n v="9.3000000000000007"/>
    <n v="1900"/>
  </r>
  <r>
    <x v="296"/>
    <x v="17"/>
    <n v="23"/>
    <n v="63"/>
    <n v="40"/>
    <n v="23"/>
    <n v="19.5"/>
    <n v="334"/>
    <n v="120"/>
    <n v="290"/>
    <n v="41.8"/>
    <n v="69"/>
    <n v="202"/>
    <n v="34.200000000000003"/>
    <n v="25"/>
    <n v="25"/>
    <n v="88.9"/>
    <n v="44"/>
    <n v="132"/>
    <n v="176"/>
    <n v="82"/>
    <n v="19"/>
    <n v="38"/>
    <n v="13"/>
    <n v="126"/>
    <n v="806"/>
    <n v="0"/>
    <n v="0"/>
    <n v="-0.9"/>
    <n v="111.2"/>
    <n v="113.4"/>
    <n v="-2.2000000000000002"/>
    <n v="8.6999999999999993"/>
    <n v="3.86"/>
    <n v="21"/>
    <n v="3.5"/>
    <n v="10.6"/>
    <n v="7"/>
    <n v="5.4"/>
    <n v="53.7"/>
    <n v="55.5"/>
    <n v="10.8"/>
    <n v="102.92"/>
    <n v="5.5"/>
    <n v="2636"/>
  </r>
  <r>
    <x v="297"/>
    <x v="28"/>
    <n v="28"/>
    <n v="38"/>
    <n v="6"/>
    <n v="32"/>
    <n v="20"/>
    <n v="334"/>
    <n v="118"/>
    <n v="300"/>
    <n v="39.1"/>
    <n v="68"/>
    <n v="201"/>
    <n v="34.5"/>
    <n v="27"/>
    <n v="34"/>
    <n v="80"/>
    <n v="23"/>
    <n v="68"/>
    <n v="91"/>
    <n v="76"/>
    <n v="53"/>
    <n v="19"/>
    <n v="8"/>
    <n v="42"/>
    <n v="581"/>
    <n v="0"/>
    <n v="0"/>
    <n v="-2.8"/>
    <n v="110.3"/>
    <n v="117.7"/>
    <n v="-7.4"/>
    <n v="14.4"/>
    <n v="1.46"/>
    <n v="17.100000000000001"/>
    <n v="2.6"/>
    <n v="8.5"/>
    <n v="5.5"/>
    <n v="11.7"/>
    <n v="50.7"/>
    <n v="52.6"/>
    <n v="19.8"/>
    <n v="101.83"/>
    <n v="6.7"/>
    <n v="1619"/>
  </r>
  <r>
    <x v="298"/>
    <x v="5"/>
    <n v="35"/>
    <n v="74"/>
    <n v="33"/>
    <n v="41"/>
    <n v="17.600000000000001"/>
    <n v="333"/>
    <n v="126"/>
    <n v="200"/>
    <n v="61.9"/>
    <n v="0"/>
    <n v="7"/>
    <n v="0"/>
    <n v="81"/>
    <n v="126"/>
    <n v="64.8"/>
    <n v="118"/>
    <n v="340"/>
    <n v="451"/>
    <n v="133"/>
    <n v="59"/>
    <n v="30"/>
    <n v="44"/>
    <n v="155"/>
    <n v="1258"/>
    <n v="2"/>
    <n v="0"/>
    <n v="0.7"/>
    <n v="115.2"/>
    <n v="115"/>
    <n v="0.2"/>
    <n v="13.3"/>
    <n v="2.27"/>
    <n v="29.5"/>
    <n v="9.4"/>
    <n v="25.3"/>
    <n v="17.600000000000001"/>
    <n v="13"/>
    <n v="61.9"/>
    <n v="64.5"/>
    <n v="10.5"/>
    <n v="100.08"/>
    <n v="9.8000000000000007"/>
    <n v="2732"/>
  </r>
  <r>
    <x v="299"/>
    <x v="18"/>
    <n v="25"/>
    <n v="46"/>
    <n v="21"/>
    <n v="25"/>
    <n v="19.7"/>
    <n v="331"/>
    <n v="129"/>
    <n v="239"/>
    <n v="53.8"/>
    <n v="18"/>
    <n v="46"/>
    <n v="39.6"/>
    <n v="55"/>
    <n v="69"/>
    <n v="82.1"/>
    <n v="32"/>
    <n v="83"/>
    <n v="115"/>
    <n v="193"/>
    <n v="37"/>
    <n v="37"/>
    <n v="9"/>
    <n v="55"/>
    <n v="865"/>
    <n v="1"/>
    <n v="0"/>
    <n v="-0.7"/>
    <n v="112"/>
    <n v="113.5"/>
    <n v="-1.5"/>
    <n v="28.9"/>
    <n v="5.49"/>
    <n v="38.9"/>
    <n v="3.2"/>
    <n v="8.6"/>
    <n v="5.9"/>
    <n v="7.1"/>
    <n v="57.8"/>
    <n v="61.7"/>
    <n v="13.6"/>
    <n v="103.35"/>
    <n v="11"/>
    <n v="1948"/>
  </r>
  <r>
    <x v="300"/>
    <x v="18"/>
    <n v="22"/>
    <n v="73"/>
    <n v="33"/>
    <n v="40"/>
    <n v="13.5"/>
    <n v="329"/>
    <n v="117"/>
    <n v="270"/>
    <n v="44.8"/>
    <n v="37"/>
    <n v="102"/>
    <n v="35.6"/>
    <n v="51"/>
    <n v="66"/>
    <n v="71"/>
    <n v="37"/>
    <n v="88"/>
    <n v="124"/>
    <n v="95"/>
    <n v="51"/>
    <n v="44"/>
    <n v="15"/>
    <n v="117"/>
    <n v="745"/>
    <n v="0"/>
    <n v="0"/>
    <n v="-2.4"/>
    <n v="104"/>
    <n v="111.6"/>
    <n v="-7.6"/>
    <n v="13.6"/>
    <n v="1.83"/>
    <n v="21.6"/>
    <n v="3.4"/>
    <n v="8"/>
    <n v="5.7"/>
    <n v="11.8"/>
    <n v="51.7"/>
    <n v="54.6"/>
    <n v="14.2"/>
    <n v="106.51"/>
    <n v="5.6"/>
    <n v="2188"/>
  </r>
  <r>
    <x v="301"/>
    <x v="21"/>
    <n v="22"/>
    <n v="35"/>
    <n v="7"/>
    <n v="28"/>
    <n v="14.6"/>
    <n v="329"/>
    <n v="119"/>
    <n v="242"/>
    <n v="49.6"/>
    <n v="39"/>
    <n v="102"/>
    <n v="37.299999999999997"/>
    <n v="53"/>
    <n v="67"/>
    <n v="77.599999999999994"/>
    <n v="25"/>
    <n v="105"/>
    <n v="130"/>
    <n v="39"/>
    <n v="42"/>
    <n v="11"/>
    <n v="25"/>
    <n v="56"/>
    <n v="606"/>
    <n v="1"/>
    <n v="0"/>
    <n v="-3.6"/>
    <n v="102.6"/>
    <n v="114.3"/>
    <n v="-11.7"/>
    <n v="13.6"/>
    <n v="0.93"/>
    <n v="11.1"/>
    <n v="4.5999999999999996"/>
    <n v="18.600000000000001"/>
    <n v="11.6"/>
    <n v="12"/>
    <n v="57.4"/>
    <n v="60.8"/>
    <n v="25.2"/>
    <n v="102.79"/>
    <n v="12.7"/>
    <n v="1099"/>
  </r>
  <r>
    <x v="302"/>
    <x v="27"/>
    <n v="24"/>
    <n v="42"/>
    <n v="12"/>
    <n v="30"/>
    <n v="18.8"/>
    <n v="323"/>
    <n v="134"/>
    <n v="235"/>
    <n v="57.4"/>
    <n v="21"/>
    <n v="67"/>
    <n v="31.8"/>
    <n v="34"/>
    <n v="42"/>
    <n v="77.3"/>
    <n v="63"/>
    <n v="147"/>
    <n v="210"/>
    <n v="46"/>
    <n v="42"/>
    <n v="21"/>
    <n v="42"/>
    <n v="105"/>
    <n v="790"/>
    <n v="4"/>
    <n v="0"/>
    <n v="-2.1"/>
    <n v="109.4"/>
    <n v="114.1"/>
    <n v="-4.7"/>
    <n v="8.3000000000000007"/>
    <n v="1.07"/>
    <n v="13.5"/>
    <n v="7.9"/>
    <n v="17.7"/>
    <n v="12.9"/>
    <n v="12.6"/>
    <n v="61.9"/>
    <n v="63.9"/>
    <n v="15.5"/>
    <n v="101.91"/>
    <n v="9.6"/>
    <n v="1674"/>
  </r>
  <r>
    <x v="303"/>
    <x v="15"/>
    <n v="28"/>
    <n v="59"/>
    <n v="47"/>
    <n v="12"/>
    <n v="21.2"/>
    <n v="319"/>
    <n v="112"/>
    <n v="271"/>
    <n v="41.3"/>
    <n v="83"/>
    <n v="224"/>
    <n v="36"/>
    <n v="18"/>
    <n v="30"/>
    <n v="53.3"/>
    <n v="53"/>
    <n v="201"/>
    <n v="248"/>
    <n v="77"/>
    <n v="24"/>
    <n v="41"/>
    <n v="18"/>
    <n v="100"/>
    <n v="897"/>
    <n v="1"/>
    <n v="0"/>
    <n v="4.8"/>
    <n v="120"/>
    <n v="109.4"/>
    <n v="10.7"/>
    <n v="7.3"/>
    <n v="3.45"/>
    <n v="20.100000000000001"/>
    <n v="4.0999999999999996"/>
    <n v="15"/>
    <n v="9.6999999999999993"/>
    <n v="5.8"/>
    <n v="56.1"/>
    <n v="56.3"/>
    <n v="10.1"/>
    <n v="101.1"/>
    <n v="6.7"/>
    <n v="2639"/>
  </r>
  <r>
    <x v="304"/>
    <x v="24"/>
    <n v="27"/>
    <n v="47"/>
    <n v="9"/>
    <n v="38"/>
    <n v="22.8"/>
    <n v="315"/>
    <n v="118"/>
    <n v="291"/>
    <n v="40.5"/>
    <n v="56"/>
    <n v="165"/>
    <n v="33.5"/>
    <n v="24"/>
    <n v="28"/>
    <n v="80"/>
    <n v="38"/>
    <n v="99"/>
    <n v="136"/>
    <n v="52"/>
    <n v="33"/>
    <n v="28"/>
    <n v="24"/>
    <n v="99"/>
    <n v="677"/>
    <n v="0"/>
    <n v="0"/>
    <n v="-5.9"/>
    <n v="106.6"/>
    <n v="118.2"/>
    <n v="-11.6"/>
    <n v="7.3"/>
    <n v="1.51"/>
    <n v="13.5"/>
    <n v="3.3"/>
    <n v="8.6999999999999993"/>
    <n v="6"/>
    <n v="8.9"/>
    <n v="50"/>
    <n v="51.8"/>
    <n v="13.6"/>
    <n v="98.04"/>
    <n v="4.5999999999999996"/>
    <n v="2179"/>
  </r>
  <r>
    <x v="305"/>
    <x v="14"/>
    <n v="28"/>
    <n v="57"/>
    <n v="29"/>
    <n v="28"/>
    <n v="14.7"/>
    <n v="314"/>
    <n v="114"/>
    <n v="257"/>
    <n v="45.3"/>
    <n v="40"/>
    <n v="108"/>
    <n v="35.799999999999997"/>
    <n v="46"/>
    <n v="57"/>
    <n v="79.7"/>
    <n v="29"/>
    <n v="74"/>
    <n v="103"/>
    <n v="103"/>
    <n v="40"/>
    <n v="23"/>
    <n v="6"/>
    <n v="68"/>
    <n v="638"/>
    <n v="1"/>
    <n v="0"/>
    <n v="-2.1"/>
    <n v="106.2"/>
    <n v="113.1"/>
    <n v="-6.9"/>
    <n v="18.399999999999999"/>
    <n v="2.5499999999999998"/>
    <n v="24.2"/>
    <n v="3.6"/>
    <n v="8.6"/>
    <n v="6.1"/>
    <n v="9.5"/>
    <n v="52.8"/>
    <n v="56.3"/>
    <n v="16.2"/>
    <n v="98.81"/>
    <n v="8.1"/>
    <n v="1722"/>
  </r>
  <r>
    <x v="306"/>
    <x v="25"/>
    <n v="21"/>
    <n v="36"/>
    <n v="21"/>
    <n v="15"/>
    <n v="23.1"/>
    <n v="313"/>
    <n v="133"/>
    <n v="191"/>
    <n v="70.2"/>
    <n v="0"/>
    <n v="0"/>
    <n v="0"/>
    <n v="47"/>
    <n v="72"/>
    <n v="63"/>
    <n v="104"/>
    <n v="166"/>
    <n v="270"/>
    <n v="86"/>
    <n v="40"/>
    <n v="22"/>
    <n v="58"/>
    <n v="101"/>
    <n v="954"/>
    <n v="8"/>
    <n v="0"/>
    <n v="3.4"/>
    <n v="114.1"/>
    <n v="106.4"/>
    <n v="7.7"/>
    <n v="14.3"/>
    <n v="2.0699999999999998"/>
    <n v="24.3"/>
    <n v="12.2"/>
    <n v="18.600000000000001"/>
    <n v="15.5"/>
    <n v="11.7"/>
    <n v="70.2"/>
    <n v="70.400000000000006"/>
    <n v="13.2"/>
    <n v="100.99"/>
    <n v="12.4"/>
    <n v="1746"/>
  </r>
  <r>
    <x v="307"/>
    <x v="9"/>
    <n v="36"/>
    <n v="78"/>
    <n v="47"/>
    <n v="31"/>
    <n v="17.5"/>
    <n v="312"/>
    <n v="101"/>
    <n v="242"/>
    <n v="43.7"/>
    <n v="86"/>
    <n v="203"/>
    <n v="43.3"/>
    <n v="16"/>
    <n v="23"/>
    <n v="81"/>
    <n v="47"/>
    <n v="172"/>
    <n v="218"/>
    <n v="86"/>
    <n v="31"/>
    <n v="55"/>
    <n v="39"/>
    <n v="109"/>
    <n v="928"/>
    <n v="0"/>
    <n v="0"/>
    <n v="1.9"/>
    <n v="110.5"/>
    <n v="104.7"/>
    <n v="5.9"/>
    <n v="8.1999999999999993"/>
    <n v="2.4700000000000002"/>
    <n v="23"/>
    <n v="3.4"/>
    <n v="11.7"/>
    <n v="7.7"/>
    <n v="9.3000000000000007"/>
    <n v="62.2"/>
    <n v="63.3"/>
    <n v="8.6999999999999993"/>
    <n v="100.22"/>
    <n v="6.9"/>
    <n v="2848"/>
  </r>
  <r>
    <x v="308"/>
    <x v="23"/>
    <n v="22"/>
    <n v="60"/>
    <n v="23"/>
    <n v="37"/>
    <n v="12.5"/>
    <n v="312"/>
    <n v="120"/>
    <n v="228"/>
    <n v="51.5"/>
    <n v="30"/>
    <n v="72"/>
    <n v="38.9"/>
    <n v="48"/>
    <n v="72"/>
    <n v="69"/>
    <n v="60"/>
    <n v="150"/>
    <n v="210"/>
    <n v="36"/>
    <n v="36"/>
    <n v="36"/>
    <n v="6"/>
    <n v="90"/>
    <n v="702"/>
    <n v="1"/>
    <n v="0"/>
    <n v="0.3"/>
    <n v="108.1"/>
    <n v="107.6"/>
    <n v="0.5"/>
    <n v="7.1"/>
    <n v="1.0900000000000001"/>
    <n v="11.2"/>
    <n v="7.2"/>
    <n v="19.8"/>
    <n v="13.3"/>
    <n v="10.3"/>
    <n v="57.6"/>
    <n v="60.1"/>
    <n v="15.6"/>
    <n v="103.86"/>
    <n v="10.7"/>
    <n v="1624"/>
  </r>
  <r>
    <x v="309"/>
    <x v="4"/>
    <n v="25"/>
    <n v="62"/>
    <n v="46"/>
    <n v="16"/>
    <n v="13.9"/>
    <n v="310"/>
    <n v="130"/>
    <n v="205"/>
    <n v="65"/>
    <n v="0"/>
    <n v="0"/>
    <n v="0"/>
    <n v="43"/>
    <n v="62"/>
    <n v="75.400000000000006"/>
    <n v="87"/>
    <n v="149"/>
    <n v="236"/>
    <n v="43"/>
    <n v="37"/>
    <n v="19"/>
    <n v="43"/>
    <n v="105"/>
    <n v="800"/>
    <n v="0"/>
    <n v="0"/>
    <n v="2.5"/>
    <n v="117.4"/>
    <n v="108.3"/>
    <n v="9.1"/>
    <n v="7.6"/>
    <n v="1.1299999999999999"/>
    <n v="14.2"/>
    <n v="10.5"/>
    <n v="16.8"/>
    <n v="13.7"/>
    <n v="12.7"/>
    <n v="65"/>
    <n v="67.400000000000006"/>
    <n v="13.6"/>
    <n v="95.52"/>
    <n v="10.199999999999999"/>
    <n v="1717"/>
  </r>
  <r>
    <x v="310"/>
    <x v="21"/>
    <n v="31"/>
    <n v="34"/>
    <n v="17"/>
    <n v="17"/>
    <n v="20"/>
    <n v="306"/>
    <n v="102"/>
    <n v="258"/>
    <n v="39.299999999999997"/>
    <n v="48"/>
    <n v="139"/>
    <n v="34.799999999999997"/>
    <n v="54"/>
    <n v="71"/>
    <n v="76.099999999999994"/>
    <n v="17"/>
    <n v="54"/>
    <n v="71"/>
    <n v="109"/>
    <n v="54"/>
    <n v="37"/>
    <n v="10"/>
    <n v="54"/>
    <n v="646"/>
    <n v="0"/>
    <n v="0"/>
    <n v="1.2"/>
    <n v="109.9"/>
    <n v="107.3"/>
    <n v="2.6"/>
    <n v="22.1"/>
    <n v="2.02"/>
    <n v="24.1"/>
    <n v="2.4"/>
    <n v="6.9"/>
    <n v="4.7"/>
    <n v="11.9"/>
    <n v="48.8"/>
    <n v="52.9"/>
    <n v="19.8"/>
    <n v="107.13"/>
    <n v="8.6"/>
    <n v="1520"/>
  </r>
  <r>
    <x v="311"/>
    <x v="21"/>
    <n v="32"/>
    <n v="24"/>
    <n v="6"/>
    <n v="18"/>
    <n v="23.5"/>
    <n v="305"/>
    <n v="103"/>
    <n v="240"/>
    <n v="43.3"/>
    <n v="17"/>
    <n v="55"/>
    <n v="28.6"/>
    <n v="82"/>
    <n v="91"/>
    <n v="88"/>
    <n v="22"/>
    <n v="70"/>
    <n v="91"/>
    <n v="98"/>
    <n v="38"/>
    <n v="12"/>
    <n v="5"/>
    <n v="31"/>
    <n v="578"/>
    <n v="2"/>
    <n v="0"/>
    <n v="-5"/>
    <n v="106.5"/>
    <n v="116.9"/>
    <n v="-10.4"/>
    <n v="26.7"/>
    <n v="2.58"/>
    <n v="23.5"/>
    <n v="3.6"/>
    <n v="11.9"/>
    <n v="7.7"/>
    <n v="9.1"/>
    <n v="46.7"/>
    <n v="54.4"/>
    <n v="23.1"/>
    <n v="103.18"/>
    <n v="11.3"/>
    <n v="1215"/>
  </r>
  <r>
    <x v="312"/>
    <x v="27"/>
    <n v="22"/>
    <n v="44"/>
    <n v="6"/>
    <n v="38"/>
    <n v="15"/>
    <n v="304"/>
    <n v="114"/>
    <n v="246"/>
    <n v="45.6"/>
    <n v="53"/>
    <n v="128"/>
    <n v="39.5"/>
    <n v="26"/>
    <n v="35"/>
    <n v="80"/>
    <n v="18"/>
    <n v="44"/>
    <n v="62"/>
    <n v="40"/>
    <n v="31"/>
    <n v="22"/>
    <n v="4"/>
    <n v="40"/>
    <n v="484"/>
    <n v="0"/>
    <n v="0"/>
    <n v="-3.4"/>
    <n v="107.3"/>
    <n v="117.5"/>
    <n v="-10.199999999999999"/>
    <n v="8.9"/>
    <n v="1.3"/>
    <n v="11.8"/>
    <n v="2.6"/>
    <n v="7"/>
    <n v="4.7"/>
    <n v="9.1"/>
    <n v="55.8"/>
    <n v="57.9"/>
    <n v="18.3"/>
    <n v="101.12"/>
    <n v="7.2"/>
    <n v="1386"/>
  </r>
  <r>
    <x v="313"/>
    <x v="26"/>
    <n v="24"/>
    <n v="44"/>
    <n v="23"/>
    <n v="21"/>
    <n v="17.5"/>
    <n v="304"/>
    <n v="114"/>
    <n v="260"/>
    <n v="44.4"/>
    <n v="18"/>
    <n v="53"/>
    <n v="32.700000000000003"/>
    <n v="53"/>
    <n v="70"/>
    <n v="77.099999999999994"/>
    <n v="88"/>
    <n v="132"/>
    <n v="220"/>
    <n v="79"/>
    <n v="48"/>
    <n v="18"/>
    <n v="18"/>
    <n v="101"/>
    <n v="730"/>
    <n v="4"/>
    <n v="0"/>
    <n v="-2"/>
    <n v="104.5"/>
    <n v="109.2"/>
    <n v="-4.8"/>
    <n v="15.2"/>
    <n v="1.57"/>
    <n v="18.3"/>
    <n v="9.6999999999999993"/>
    <n v="16.100000000000001"/>
    <n v="12.7"/>
    <n v="11.6"/>
    <n v="47.7"/>
    <n v="51.9"/>
    <n v="17.7"/>
    <n v="102.45"/>
    <n v="8.8000000000000007"/>
    <n v="1639"/>
  </r>
  <r>
    <x v="314"/>
    <x v="22"/>
    <n v="31"/>
    <n v="40"/>
    <n v="12"/>
    <n v="28"/>
    <n v="18.8"/>
    <n v="292"/>
    <n v="116"/>
    <n v="236"/>
    <n v="50"/>
    <n v="4"/>
    <n v="20"/>
    <n v="15"/>
    <n v="56"/>
    <n v="92"/>
    <n v="62.2"/>
    <n v="108"/>
    <n v="200"/>
    <n v="312"/>
    <n v="36"/>
    <n v="56"/>
    <n v="40"/>
    <n v="20"/>
    <n v="96"/>
    <n v="832"/>
    <n v="5"/>
    <n v="0"/>
    <n v="-6.1"/>
    <n v="103.4"/>
    <n v="118.9"/>
    <n v="-15.5"/>
    <n v="7"/>
    <n v="0.62"/>
    <n v="9.4"/>
    <n v="13.4"/>
    <n v="28.8"/>
    <n v="20.5"/>
    <n v="15.2"/>
    <n v="50.6"/>
    <n v="53.5"/>
    <n v="18.3"/>
    <n v="98.83"/>
    <n v="10.9"/>
    <n v="1543"/>
  </r>
  <r>
    <x v="315"/>
    <x v="23"/>
    <n v="24"/>
    <n v="69"/>
    <n v="31"/>
    <n v="38"/>
    <n v="15.1"/>
    <n v="290"/>
    <n v="117"/>
    <n v="276"/>
    <n v="41.9"/>
    <n v="28"/>
    <n v="117"/>
    <n v="22.5"/>
    <n v="28"/>
    <n v="55"/>
    <n v="45.6"/>
    <n v="76"/>
    <n v="104"/>
    <n v="179"/>
    <n v="69"/>
    <n v="41"/>
    <n v="35"/>
    <n v="14"/>
    <n v="69"/>
    <n v="718"/>
    <n v="1"/>
    <n v="0"/>
    <n v="-0.7"/>
    <n v="106"/>
    <n v="107.8"/>
    <n v="-1.8"/>
    <n v="9"/>
    <n v="1.58"/>
    <n v="16.3"/>
    <n v="6.6"/>
    <n v="9.6"/>
    <n v="8.1"/>
    <n v="10.3"/>
    <n v="46.8"/>
    <n v="47.2"/>
    <n v="13.3"/>
    <n v="102.7"/>
    <n v="6.1"/>
    <n v="2221"/>
  </r>
  <r>
    <x v="316"/>
    <x v="22"/>
    <n v="28"/>
    <n v="41"/>
    <n v="10"/>
    <n v="31"/>
    <n v="15.1"/>
    <n v="287"/>
    <n v="111"/>
    <n v="230"/>
    <n v="48.7"/>
    <n v="29"/>
    <n v="70"/>
    <n v="40"/>
    <n v="33"/>
    <n v="45"/>
    <n v="73.3"/>
    <n v="12"/>
    <n v="49"/>
    <n v="62"/>
    <n v="78"/>
    <n v="16"/>
    <n v="25"/>
    <n v="12"/>
    <n v="29"/>
    <n v="566"/>
    <n v="0"/>
    <n v="0"/>
    <n v="-2.5"/>
    <n v="107.6"/>
    <n v="116.7"/>
    <n v="-9.1999999999999993"/>
    <n v="19.600000000000001"/>
    <n v="5.2"/>
    <n v="22.8"/>
    <n v="1.8"/>
    <n v="7.9"/>
    <n v="4.7"/>
    <n v="4.4000000000000004"/>
    <n v="54.8"/>
    <n v="57"/>
    <n v="17.600000000000001"/>
    <n v="99.32"/>
    <n v="10.6"/>
    <n v="1291"/>
  </r>
  <r>
    <x v="317"/>
    <x v="10"/>
    <n v="28"/>
    <n v="50"/>
    <n v="30"/>
    <n v="20"/>
    <n v="15.2"/>
    <n v="285"/>
    <n v="105"/>
    <n v="230"/>
    <n v="46.1"/>
    <n v="60"/>
    <n v="155"/>
    <n v="39.700000000000003"/>
    <n v="10"/>
    <n v="20"/>
    <n v="66.7"/>
    <n v="10"/>
    <n v="50"/>
    <n v="60"/>
    <n v="25"/>
    <n v="20"/>
    <n v="25"/>
    <n v="0"/>
    <n v="50"/>
    <n v="455"/>
    <n v="0"/>
    <n v="0"/>
    <n v="1.8"/>
    <n v="111.6"/>
    <n v="106.5"/>
    <n v="5.0999999999999996"/>
    <n v="4.9000000000000004"/>
    <n v="1.23"/>
    <n v="9.4"/>
    <n v="1.4"/>
    <n v="6.4"/>
    <n v="3.9"/>
    <n v="7.7"/>
    <n v="59.6"/>
    <n v="60.1"/>
    <n v="14.3"/>
    <n v="99.55"/>
    <n v="6.2"/>
    <n v="1583"/>
  </r>
  <r>
    <x v="318"/>
    <x v="24"/>
    <n v="26"/>
    <n v="40"/>
    <n v="11"/>
    <n v="29"/>
    <n v="15.6"/>
    <n v="284"/>
    <n v="96"/>
    <n v="212"/>
    <n v="44.3"/>
    <n v="32"/>
    <n v="92"/>
    <n v="34.799999999999997"/>
    <n v="64"/>
    <n v="84"/>
    <n v="74.099999999999994"/>
    <n v="44"/>
    <n v="68"/>
    <n v="112"/>
    <n v="32"/>
    <n v="32"/>
    <n v="48"/>
    <n v="20"/>
    <n v="48"/>
    <n v="636"/>
    <n v="1"/>
    <n v="0"/>
    <n v="-0.3"/>
    <n v="108.8"/>
    <n v="109.3"/>
    <n v="-0.5"/>
    <n v="8.1999999999999993"/>
    <n v="1.06"/>
    <n v="10.5"/>
    <n v="6.6"/>
    <n v="10.8"/>
    <n v="8.6"/>
    <n v="9.9"/>
    <n v="51.9"/>
    <n v="56.7"/>
    <n v="18.5"/>
    <n v="98.69"/>
    <n v="10"/>
    <n v="1282"/>
  </r>
  <r>
    <x v="319"/>
    <x v="24"/>
    <n v="22"/>
    <n v="36"/>
    <n v="3"/>
    <n v="33"/>
    <n v="23.4"/>
    <n v="281"/>
    <n v="104"/>
    <n v="302"/>
    <n v="34.6"/>
    <n v="32"/>
    <n v="130"/>
    <n v="25.4"/>
    <n v="40"/>
    <n v="50"/>
    <n v="82"/>
    <n v="40"/>
    <n v="68"/>
    <n v="108"/>
    <n v="112"/>
    <n v="58"/>
    <n v="32"/>
    <n v="7"/>
    <n v="58"/>
    <n v="644"/>
    <n v="0"/>
    <n v="0"/>
    <n v="-7.7"/>
    <n v="101"/>
    <n v="116.4"/>
    <n v="-15.4"/>
    <n v="21"/>
    <n v="2"/>
    <n v="22.8"/>
    <n v="4.2"/>
    <n v="8.1"/>
    <n v="6"/>
    <n v="11.4"/>
    <n v="40"/>
    <n v="43.7"/>
    <n v="18.8"/>
    <n v="99.1"/>
    <n v="6"/>
    <n v="1734"/>
  </r>
  <r>
    <x v="320"/>
    <x v="9"/>
    <n v="28"/>
    <n v="61"/>
    <n v="25"/>
    <n v="36"/>
    <n v="12.2"/>
    <n v="281"/>
    <n v="116"/>
    <n v="195"/>
    <n v="59.3"/>
    <n v="0"/>
    <n v="6"/>
    <n v="50"/>
    <n v="49"/>
    <n v="73"/>
    <n v="66.2"/>
    <n v="61"/>
    <n v="165"/>
    <n v="226"/>
    <n v="55"/>
    <n v="43"/>
    <n v="12"/>
    <n v="37"/>
    <n v="61"/>
    <n v="744"/>
    <n v="0"/>
    <n v="0"/>
    <n v="-2.1"/>
    <n v="106.7"/>
    <n v="114.8"/>
    <n v="-8.1"/>
    <n v="11"/>
    <n v="1.32"/>
    <n v="16.7"/>
    <n v="7.8"/>
    <n v="21.1"/>
    <n v="14.5"/>
    <n v="12.7"/>
    <n v="60.1"/>
    <n v="62.2"/>
    <n v="14.9"/>
    <n v="102.72"/>
    <n v="11.1"/>
    <n v="1598"/>
  </r>
  <r>
    <x v="321"/>
    <x v="0"/>
    <n v="22"/>
    <n v="47"/>
    <n v="40"/>
    <n v="7"/>
    <n v="16.7"/>
    <n v="277"/>
    <n v="99"/>
    <n v="221"/>
    <n v="43.9"/>
    <n v="61"/>
    <n v="155"/>
    <n v="39.9"/>
    <n v="24"/>
    <n v="28"/>
    <n v="76.7"/>
    <n v="47"/>
    <n v="216"/>
    <n v="263"/>
    <n v="122"/>
    <n v="33"/>
    <n v="24"/>
    <n v="28"/>
    <n v="80"/>
    <n v="888"/>
    <n v="4"/>
    <n v="3"/>
    <n v="6.4"/>
    <n v="121"/>
    <n v="103"/>
    <n v="17.899999999999999"/>
    <n v="19"/>
    <n v="3.43"/>
    <n v="30.9"/>
    <n v="5.9"/>
    <n v="25.1"/>
    <n v="15.8"/>
    <n v="9"/>
    <n v="57.7"/>
    <n v="59.4"/>
    <n v="14.1"/>
    <n v="102.7"/>
    <n v="12.4"/>
    <n v="1678"/>
  </r>
  <r>
    <x v="322"/>
    <x v="28"/>
    <n v="24"/>
    <n v="43"/>
    <n v="11"/>
    <n v="32"/>
    <n v="21.2"/>
    <n v="275"/>
    <n v="112"/>
    <n v="202"/>
    <n v="55.2"/>
    <n v="13"/>
    <n v="56"/>
    <n v="25.9"/>
    <n v="39"/>
    <n v="47"/>
    <n v="78.7"/>
    <n v="30"/>
    <n v="95"/>
    <n v="125"/>
    <n v="47"/>
    <n v="26"/>
    <n v="17"/>
    <n v="22"/>
    <n v="99"/>
    <n v="589"/>
    <n v="0"/>
    <n v="0"/>
    <n v="-3.3"/>
    <n v="109.3"/>
    <n v="117.4"/>
    <n v="-8.1"/>
    <n v="7.4"/>
    <n v="2"/>
    <n v="16.399999999999999"/>
    <n v="3.2"/>
    <n v="10.3"/>
    <n v="6.7"/>
    <n v="8.1999999999999993"/>
    <n v="59"/>
    <n v="61.8"/>
    <n v="11.2"/>
    <n v="100.63"/>
    <n v="6.1"/>
    <n v="1917"/>
  </r>
  <r>
    <x v="323"/>
    <x v="25"/>
    <n v="25"/>
    <n v="33"/>
    <n v="15"/>
    <n v="18"/>
    <n v="14.8"/>
    <n v="274"/>
    <n v="99"/>
    <n v="188"/>
    <n v="52.1"/>
    <n v="23"/>
    <n v="59"/>
    <n v="40"/>
    <n v="56"/>
    <n v="66"/>
    <n v="83.3"/>
    <n v="13"/>
    <n v="46"/>
    <n v="59"/>
    <n v="76"/>
    <n v="40"/>
    <n v="23"/>
    <n v="7"/>
    <n v="33"/>
    <n v="508"/>
    <n v="0"/>
    <n v="0"/>
    <n v="0.3"/>
    <n v="109.5"/>
    <n v="108.8"/>
    <n v="0.7"/>
    <n v="22.8"/>
    <n v="1.95"/>
    <n v="22.9"/>
    <n v="2.5"/>
    <n v="9.1"/>
    <n v="5.9"/>
    <n v="11.7"/>
    <n v="58.5"/>
    <n v="63.4"/>
    <n v="21.8"/>
    <n v="104.74"/>
    <n v="11.9"/>
    <n v="1064"/>
  </r>
  <r>
    <x v="324"/>
    <x v="5"/>
    <n v="31"/>
    <n v="41"/>
    <n v="8"/>
    <n v="33"/>
    <n v="19.100000000000001"/>
    <n v="271"/>
    <n v="94"/>
    <n v="275"/>
    <n v="34.799999999999997"/>
    <n v="45"/>
    <n v="123"/>
    <n v="36"/>
    <n v="33"/>
    <n v="41"/>
    <n v="82.9"/>
    <n v="21"/>
    <n v="70"/>
    <n v="90"/>
    <n v="127"/>
    <n v="78"/>
    <n v="16"/>
    <n v="0"/>
    <n v="45"/>
    <n v="537"/>
    <n v="1"/>
    <n v="0"/>
    <n v="-3"/>
    <n v="102.2"/>
    <n v="109.4"/>
    <n v="-7.2"/>
    <n v="25.8"/>
    <n v="1.66"/>
    <n v="25.9"/>
    <n v="2.2999999999999998"/>
    <n v="8.5"/>
    <n v="5.3"/>
    <n v="15.6"/>
    <n v="43"/>
    <n v="46.2"/>
    <n v="19.899999999999999"/>
    <n v="97.45"/>
    <n v="6.1"/>
    <n v="1590"/>
  </r>
  <r>
    <x v="325"/>
    <x v="20"/>
    <n v="21"/>
    <n v="60"/>
    <n v="29"/>
    <n v="31"/>
    <n v="11.7"/>
    <n v="270"/>
    <n v="96"/>
    <n v="264"/>
    <n v="37.4"/>
    <n v="54"/>
    <n v="186"/>
    <n v="29.6"/>
    <n v="18"/>
    <n v="24"/>
    <n v="69.599999999999994"/>
    <n v="18"/>
    <n v="48"/>
    <n v="72"/>
    <n v="42"/>
    <n v="36"/>
    <n v="12"/>
    <n v="12"/>
    <n v="66"/>
    <n v="456"/>
    <n v="0"/>
    <n v="0"/>
    <n v="-1.4"/>
    <n v="103"/>
    <n v="108.7"/>
    <n v="-5.7"/>
    <n v="10.199999999999999"/>
    <n v="1.22"/>
    <n v="12.5"/>
    <n v="2.6"/>
    <n v="7.4"/>
    <n v="4.8"/>
    <n v="10.199999999999999"/>
    <n v="47.9"/>
    <n v="49.1"/>
    <n v="18.100000000000001"/>
    <n v="99.92"/>
    <n v="4.5"/>
    <n v="1458"/>
  </r>
  <r>
    <x v="326"/>
    <x v="29"/>
    <n v="24"/>
    <n v="28"/>
    <n v="8"/>
    <n v="20"/>
    <n v="23.7"/>
    <n v="266"/>
    <n v="95"/>
    <n v="221"/>
    <n v="42.7"/>
    <n v="25"/>
    <n v="78"/>
    <n v="31.2"/>
    <n v="56"/>
    <n v="73"/>
    <n v="75.3"/>
    <n v="31"/>
    <n v="87"/>
    <n v="120"/>
    <n v="56"/>
    <n v="39"/>
    <n v="25"/>
    <n v="11"/>
    <n v="56"/>
    <n v="557"/>
    <n v="0"/>
    <n v="0"/>
    <n v="-2.4"/>
    <n v="103.4"/>
    <n v="108.4"/>
    <n v="-5"/>
    <n v="13.2"/>
    <n v="1.41"/>
    <n v="15.9"/>
    <n v="4.4000000000000004"/>
    <n v="13.6"/>
    <n v="8.6999999999999993"/>
    <n v="11.2"/>
    <n v="48.2"/>
    <n v="53"/>
    <n v="18.3"/>
    <n v="97.96"/>
    <n v="8.6999999999999993"/>
    <n v="1358"/>
  </r>
  <r>
    <x v="327"/>
    <x v="18"/>
    <n v="27"/>
    <n v="35"/>
    <n v="16"/>
    <n v="19"/>
    <n v="22.2"/>
    <n v="266"/>
    <n v="88"/>
    <n v="242"/>
    <n v="36.6"/>
    <n v="67"/>
    <n v="196"/>
    <n v="34.4"/>
    <n v="21"/>
    <n v="28"/>
    <n v="81.5"/>
    <n v="25"/>
    <n v="95"/>
    <n v="119"/>
    <n v="116"/>
    <n v="42"/>
    <n v="46"/>
    <n v="18"/>
    <n v="56"/>
    <n v="732"/>
    <n v="0"/>
    <n v="0"/>
    <n v="2.9"/>
    <n v="113.5"/>
    <n v="108"/>
    <n v="5.5"/>
    <n v="18.7"/>
    <n v="2.8"/>
    <n v="28"/>
    <n v="2.9"/>
    <n v="10.6"/>
    <n v="6.8"/>
    <n v="10"/>
    <n v="50.4"/>
    <n v="52.4"/>
    <n v="15.2"/>
    <n v="105.6"/>
    <n v="7.8"/>
    <n v="1712"/>
  </r>
  <r>
    <x v="328"/>
    <x v="22"/>
    <n v="36"/>
    <n v="39"/>
    <n v="12"/>
    <n v="27"/>
    <n v="19.7"/>
    <n v="265"/>
    <n v="86"/>
    <n v="203"/>
    <n v="42.6"/>
    <n v="55"/>
    <n v="137"/>
    <n v="40.9"/>
    <n v="35"/>
    <n v="47"/>
    <n v="75"/>
    <n v="8"/>
    <n v="39"/>
    <n v="47"/>
    <n v="66"/>
    <n v="27"/>
    <n v="27"/>
    <n v="12"/>
    <n v="31"/>
    <n v="503"/>
    <n v="0"/>
    <n v="0"/>
    <n v="-1.8"/>
    <n v="111"/>
    <n v="116.4"/>
    <n v="-5.4"/>
    <n v="11.8"/>
    <n v="2.3199999999999998"/>
    <n v="20.5"/>
    <n v="1.1000000000000001"/>
    <n v="5.2"/>
    <n v="3.1"/>
    <n v="8.8000000000000007"/>
    <n v="56.4"/>
    <n v="59.1"/>
    <n v="14"/>
    <n v="99.62"/>
    <n v="6.7"/>
    <n v="1601"/>
  </r>
  <r>
    <x v="329"/>
    <x v="5"/>
    <n v="22"/>
    <n v="61"/>
    <n v="25"/>
    <n v="36"/>
    <n v="17.100000000000001"/>
    <n v="256"/>
    <n v="116"/>
    <n v="189"/>
    <n v="60.4"/>
    <n v="0"/>
    <n v="0"/>
    <n v="0"/>
    <n v="31"/>
    <n v="49"/>
    <n v="58"/>
    <n v="67"/>
    <n v="159"/>
    <n v="220"/>
    <n v="73"/>
    <n v="37"/>
    <n v="31"/>
    <n v="31"/>
    <n v="104"/>
    <n v="763"/>
    <n v="0"/>
    <n v="0"/>
    <n v="-0.3"/>
    <n v="109.4"/>
    <n v="110"/>
    <n v="-0.6"/>
    <n v="9.5"/>
    <n v="1.82"/>
    <n v="22.3"/>
    <n v="6.3"/>
    <n v="14.3"/>
    <n v="10.4"/>
    <n v="12.2"/>
    <n v="60.4"/>
    <n v="61"/>
    <n v="10.3"/>
    <n v="99.05"/>
    <n v="7.3"/>
    <n v="2154"/>
  </r>
  <r>
    <x v="330"/>
    <x v="8"/>
    <n v="27"/>
    <n v="52"/>
    <n v="27"/>
    <n v="25"/>
    <n v="15"/>
    <n v="255"/>
    <n v="94"/>
    <n v="250"/>
    <n v="36.9"/>
    <n v="62"/>
    <n v="187"/>
    <n v="34.4"/>
    <n v="10"/>
    <n v="10"/>
    <n v="72.7"/>
    <n v="21"/>
    <n v="88"/>
    <n v="109"/>
    <n v="52"/>
    <n v="21"/>
    <n v="26"/>
    <n v="10"/>
    <n v="62"/>
    <n v="562"/>
    <n v="0"/>
    <n v="0"/>
    <n v="0.3"/>
    <n v="111.6"/>
    <n v="110.2"/>
    <n v="1.4"/>
    <n v="9.1999999999999993"/>
    <n v="2.6"/>
    <n v="16"/>
    <n v="2.2999999999999998"/>
    <n v="11.6"/>
    <n v="6.7"/>
    <n v="6.2"/>
    <n v="49.8"/>
    <n v="50.4"/>
    <n v="14.5"/>
    <n v="99.37"/>
    <n v="6.1"/>
    <n v="1607"/>
  </r>
  <r>
    <x v="331"/>
    <x v="9"/>
    <n v="28"/>
    <n v="51"/>
    <n v="26"/>
    <n v="25"/>
    <n v="22"/>
    <n v="255"/>
    <n v="117"/>
    <n v="224"/>
    <n v="52"/>
    <n v="0"/>
    <n v="0"/>
    <n v="0"/>
    <n v="26"/>
    <n v="31"/>
    <n v="72.7"/>
    <n v="46"/>
    <n v="194"/>
    <n v="240"/>
    <n v="286"/>
    <n v="102"/>
    <n v="36"/>
    <n v="26"/>
    <n v="107"/>
    <n v="1056"/>
    <n v="1"/>
    <n v="0"/>
    <n v="-1.1000000000000001"/>
    <n v="111.7"/>
    <n v="113.5"/>
    <n v="-1.8"/>
    <n v="35.799999999999997"/>
    <n v="2.79"/>
    <n v="45.7"/>
    <n v="4.3"/>
    <n v="18.399999999999999"/>
    <n v="11.3"/>
    <n v="16.3"/>
    <n v="52"/>
    <n v="53.9"/>
    <n v="13.3"/>
    <n v="98.17"/>
    <n v="10.3"/>
    <n v="2283"/>
  </r>
  <r>
    <x v="332"/>
    <x v="6"/>
    <n v="24"/>
    <n v="55"/>
    <n v="24"/>
    <n v="31"/>
    <n v="14.2"/>
    <n v="253"/>
    <n v="88"/>
    <n v="204"/>
    <n v="43.8"/>
    <n v="33"/>
    <n v="94"/>
    <n v="33.700000000000003"/>
    <n v="39"/>
    <n v="61"/>
    <n v="67.2"/>
    <n v="28"/>
    <n v="66"/>
    <n v="94"/>
    <n v="66"/>
    <n v="22"/>
    <n v="33"/>
    <n v="6"/>
    <n v="94"/>
    <n v="550"/>
    <n v="0"/>
    <n v="0"/>
    <n v="0.2"/>
    <n v="111.1"/>
    <n v="108.7"/>
    <n v="2.4"/>
    <n v="11.6"/>
    <n v="2.71"/>
    <n v="20.399999999999999"/>
    <n v="3.6"/>
    <n v="8.1"/>
    <n v="5.8"/>
    <n v="7.5"/>
    <n v="51.7"/>
    <n v="54.6"/>
    <n v="14.1"/>
    <n v="98.71"/>
    <n v="5.5"/>
    <n v="1595"/>
  </r>
  <r>
    <x v="333"/>
    <x v="22"/>
    <n v="26"/>
    <n v="20"/>
    <n v="3"/>
    <n v="17"/>
    <n v="23.8"/>
    <n v="248"/>
    <n v="90"/>
    <n v="212"/>
    <n v="42"/>
    <n v="46"/>
    <n v="128"/>
    <n v="35.4"/>
    <n v="24"/>
    <n v="30"/>
    <n v="80"/>
    <n v="6"/>
    <n v="58"/>
    <n v="64"/>
    <n v="50"/>
    <n v="26"/>
    <n v="10"/>
    <n v="6"/>
    <n v="28"/>
    <n v="418"/>
    <n v="1"/>
    <n v="0"/>
    <n v="-7.1"/>
    <n v="104.7"/>
    <n v="118.7"/>
    <n v="-14.1"/>
    <n v="16.7"/>
    <n v="2"/>
    <n v="16.7"/>
    <n v="1.2"/>
    <n v="11.7"/>
    <n v="6.3"/>
    <n v="8.4"/>
    <n v="52.6"/>
    <n v="54.8"/>
    <n v="21.4"/>
    <n v="101.6"/>
    <n v="9.1"/>
    <n v="1009"/>
  </r>
  <r>
    <x v="334"/>
    <x v="5"/>
    <n v="25"/>
    <n v="36"/>
    <n v="10"/>
    <n v="26"/>
    <n v="12.5"/>
    <n v="245"/>
    <n v="97"/>
    <n v="184"/>
    <n v="52.5"/>
    <n v="32"/>
    <n v="94"/>
    <n v="34.4"/>
    <n v="22"/>
    <n v="25"/>
    <n v="76.900000000000006"/>
    <n v="22"/>
    <n v="83"/>
    <n v="104"/>
    <n v="22"/>
    <n v="22"/>
    <n v="11"/>
    <n v="25"/>
    <n v="22"/>
    <n v="482"/>
    <n v="1"/>
    <n v="0"/>
    <n v="-1"/>
    <n v="112.1"/>
    <n v="115.9"/>
    <n v="-3.9"/>
    <n v="7.1"/>
    <n v="1.1000000000000001"/>
    <n v="9.3000000000000007"/>
    <n v="4.7"/>
    <n v="16.8"/>
    <n v="11.3"/>
    <n v="8.4"/>
    <n v="61.2"/>
    <n v="62.7"/>
    <n v="20.399999999999999"/>
    <n v="102.75"/>
    <n v="11.4"/>
    <n v="960"/>
  </r>
  <r>
    <x v="335"/>
    <x v="20"/>
    <n v="22"/>
    <n v="58"/>
    <n v="29"/>
    <n v="29"/>
    <n v="13.6"/>
    <n v="238"/>
    <n v="81"/>
    <n v="191"/>
    <n v="42.1"/>
    <n v="64"/>
    <n v="162"/>
    <n v="40"/>
    <n v="17"/>
    <n v="17"/>
    <n v="88.2"/>
    <n v="17"/>
    <n v="58"/>
    <n v="75"/>
    <n v="35"/>
    <n v="12"/>
    <n v="23"/>
    <n v="6"/>
    <n v="64"/>
    <n v="452"/>
    <n v="0"/>
    <n v="0"/>
    <n v="-1.1000000000000001"/>
    <n v="104.2"/>
    <n v="108.2"/>
    <n v="-4.0999999999999996"/>
    <n v="6.6"/>
    <n v="2.69"/>
    <n v="14.3"/>
    <n v="2.2999999999999998"/>
    <n v="7.3"/>
    <n v="4.7"/>
    <n v="5.3"/>
    <n v="58.9"/>
    <n v="60.5"/>
    <n v="11.5"/>
    <n v="96.82"/>
    <n v="6.1"/>
    <n v="1589"/>
  </r>
  <r>
    <x v="336"/>
    <x v="26"/>
    <n v="24"/>
    <n v="26"/>
    <n v="14"/>
    <n v="12"/>
    <n v="18.7"/>
    <n v="237"/>
    <n v="81"/>
    <n v="190"/>
    <n v="42.1"/>
    <n v="34"/>
    <n v="101"/>
    <n v="32.700000000000003"/>
    <n v="44"/>
    <n v="62"/>
    <n v="68.3"/>
    <n v="21"/>
    <n v="65"/>
    <n v="86"/>
    <n v="31"/>
    <n v="16"/>
    <n v="13"/>
    <n v="5"/>
    <n v="44"/>
    <n v="429"/>
    <n v="2"/>
    <n v="0"/>
    <n v="-0.7"/>
    <n v="109.7"/>
    <n v="111.1"/>
    <n v="-1.4"/>
    <n v="9.3000000000000007"/>
    <n v="2.0699999999999998"/>
    <n v="11.7"/>
    <n v="3.6"/>
    <n v="12.8"/>
    <n v="8"/>
    <n v="5.7"/>
    <n v="50.8"/>
    <n v="54.2"/>
    <n v="18.899999999999999"/>
    <n v="103.71"/>
    <n v="8.1999999999999993"/>
    <n v="1050"/>
  </r>
  <r>
    <x v="337"/>
    <x v="19"/>
    <n v="22"/>
    <n v="47"/>
    <n v="18"/>
    <n v="29"/>
    <n v="9.1"/>
    <n v="235"/>
    <n v="89"/>
    <n v="188"/>
    <n v="45.8"/>
    <n v="33"/>
    <n v="85"/>
    <n v="40.5"/>
    <n v="28"/>
    <n v="33"/>
    <n v="81.8"/>
    <n v="5"/>
    <n v="42"/>
    <n v="52"/>
    <n v="38"/>
    <n v="33"/>
    <n v="9"/>
    <n v="0"/>
    <n v="28"/>
    <n v="357"/>
    <n v="0"/>
    <n v="0"/>
    <n v="-0.7"/>
    <n v="106.1"/>
    <n v="109.8"/>
    <n v="-3.7"/>
    <n v="13.9"/>
    <n v="1.1200000000000001"/>
    <n v="13.7"/>
    <n v="1.6"/>
    <n v="9.3000000000000007"/>
    <n v="5.7"/>
    <n v="12.3"/>
    <n v="54.7"/>
    <n v="57.5"/>
    <n v="23.3"/>
    <n v="103.25"/>
    <n v="8.6999999999999993"/>
    <n v="918"/>
  </r>
  <r>
    <x v="338"/>
    <x v="0"/>
    <n v="22"/>
    <n v="36"/>
    <n v="31"/>
    <n v="5"/>
    <n v="16.600000000000001"/>
    <n v="234"/>
    <n v="90"/>
    <n v="184"/>
    <n v="49.5"/>
    <n v="22"/>
    <n v="61"/>
    <n v="38.299999999999997"/>
    <n v="29"/>
    <n v="36"/>
    <n v="82.9"/>
    <n v="18"/>
    <n v="50"/>
    <n v="68"/>
    <n v="65"/>
    <n v="29"/>
    <n v="25"/>
    <n v="4"/>
    <n v="68"/>
    <n v="468"/>
    <n v="1"/>
    <n v="0"/>
    <n v="3.5"/>
    <n v="110"/>
    <n v="100.2"/>
    <n v="9.6999999999999993"/>
    <n v="15.3"/>
    <n v="2.21"/>
    <n v="22.1"/>
    <n v="2.8"/>
    <n v="8"/>
    <n v="5.3"/>
    <n v="10"/>
    <n v="55.7"/>
    <n v="58.7"/>
    <n v="15.9"/>
    <n v="100.63"/>
    <n v="8.1999999999999993"/>
    <n v="1254"/>
  </r>
  <r>
    <x v="339"/>
    <x v="5"/>
    <n v="29"/>
    <n v="45"/>
    <n v="21"/>
    <n v="24"/>
    <n v="12.7"/>
    <n v="234"/>
    <n v="81"/>
    <n v="194"/>
    <n v="42.6"/>
    <n v="32"/>
    <n v="86"/>
    <n v="36"/>
    <n v="36"/>
    <n v="41"/>
    <n v="85.7"/>
    <n v="14"/>
    <n v="54"/>
    <n v="68"/>
    <n v="72"/>
    <n v="23"/>
    <n v="18"/>
    <n v="5"/>
    <n v="23"/>
    <n v="473"/>
    <n v="0"/>
    <n v="0"/>
    <n v="1"/>
    <n v="111.1"/>
    <n v="108.3"/>
    <n v="2.8"/>
    <n v="18.8"/>
    <n v="3.48"/>
    <n v="23.6"/>
    <n v="2.1"/>
    <n v="8.8000000000000007"/>
    <n v="5.6"/>
    <n v="6.8"/>
    <n v="50.5"/>
    <n v="54.6"/>
    <n v="17.3"/>
    <n v="99.99"/>
    <n v="9.6"/>
    <n v="1195"/>
  </r>
  <r>
    <x v="340"/>
    <x v="13"/>
    <n v="22"/>
    <n v="56"/>
    <n v="36"/>
    <n v="20"/>
    <n v="13.6"/>
    <n v="230"/>
    <n v="84"/>
    <n v="179"/>
    <n v="45.8"/>
    <n v="34"/>
    <n v="101"/>
    <n v="33"/>
    <n v="28"/>
    <n v="45"/>
    <n v="69"/>
    <n v="73"/>
    <n v="101"/>
    <n v="174"/>
    <n v="78"/>
    <n v="45"/>
    <n v="22"/>
    <n v="11"/>
    <n v="90"/>
    <n v="616"/>
    <n v="0"/>
    <n v="0"/>
    <n v="2.9"/>
    <n v="117.8"/>
    <n v="107.3"/>
    <n v="10.6"/>
    <n v="13.8"/>
    <n v="1.9"/>
    <n v="25.1"/>
    <n v="8.5"/>
    <n v="12.7"/>
    <n v="10.6"/>
    <n v="13.2"/>
    <n v="55.3"/>
    <n v="57.5"/>
    <n v="12.6"/>
    <n v="99.78"/>
    <n v="7.3"/>
    <n v="1582"/>
  </r>
  <r>
    <x v="341"/>
    <x v="28"/>
    <n v="20"/>
    <n v="50"/>
    <n v="9"/>
    <n v="41"/>
    <n v="21.2"/>
    <n v="230"/>
    <n v="85"/>
    <n v="255"/>
    <n v="32.299999999999997"/>
    <n v="35"/>
    <n v="135"/>
    <n v="25.9"/>
    <n v="30"/>
    <n v="40"/>
    <n v="72.5"/>
    <n v="25"/>
    <n v="85"/>
    <n v="115"/>
    <n v="60"/>
    <n v="45"/>
    <n v="25"/>
    <n v="15"/>
    <n v="95"/>
    <n v="525"/>
    <n v="0"/>
    <n v="0"/>
    <n v="-6.8"/>
    <n v="103"/>
    <n v="118.5"/>
    <n v="-15.5"/>
    <n v="7.8"/>
    <n v="1.34"/>
    <n v="15.6"/>
    <n v="2.4"/>
    <n v="7.5"/>
    <n v="4.9000000000000004"/>
    <n v="11.6"/>
    <n v="39.1"/>
    <n v="41.9"/>
    <n v="12.2"/>
    <n v="103.19"/>
    <n v="2.1"/>
    <n v="2284"/>
  </r>
  <r>
    <x v="342"/>
    <x v="12"/>
    <n v="20"/>
    <n v="52"/>
    <n v="30"/>
    <n v="22"/>
    <n v="12.6"/>
    <n v="229"/>
    <n v="83"/>
    <n v="239"/>
    <n v="35.1"/>
    <n v="47"/>
    <n v="140"/>
    <n v="33.799999999999997"/>
    <n v="16"/>
    <n v="16"/>
    <n v="81.3"/>
    <n v="16"/>
    <n v="62"/>
    <n v="78"/>
    <n v="73"/>
    <n v="36"/>
    <n v="36"/>
    <n v="16"/>
    <n v="52"/>
    <n v="556"/>
    <n v="0"/>
    <n v="0"/>
    <n v="-1"/>
    <n v="108.5"/>
    <n v="111.1"/>
    <n v="-2.7"/>
    <n v="15.3"/>
    <n v="2.0299999999999998"/>
    <n v="20.9"/>
    <n v="2.2000000000000002"/>
    <n v="8.6"/>
    <n v="5.4"/>
    <n v="10.3"/>
    <n v="45.2"/>
    <n v="46.5"/>
    <n v="17.100000000000001"/>
    <n v="104.93"/>
    <n v="6"/>
    <n v="1425"/>
  </r>
  <r>
    <x v="343"/>
    <x v="21"/>
    <n v="31"/>
    <n v="31"/>
    <n v="9"/>
    <n v="22"/>
    <n v="17.2"/>
    <n v="229"/>
    <n v="90"/>
    <n v="140"/>
    <n v="64.7"/>
    <n v="0"/>
    <n v="3"/>
    <n v="0"/>
    <n v="50"/>
    <n v="59"/>
    <n v="83.3"/>
    <n v="62"/>
    <n v="115"/>
    <n v="177"/>
    <n v="43"/>
    <n v="22"/>
    <n v="9"/>
    <n v="22"/>
    <n v="50"/>
    <n v="580"/>
    <n v="3"/>
    <n v="0"/>
    <n v="-1.2"/>
    <n v="110.2"/>
    <n v="114.5"/>
    <n v="-4.3"/>
    <n v="11.2"/>
    <n v="2"/>
    <n v="18.5"/>
    <n v="11.3"/>
    <n v="20.8"/>
    <n v="16.100000000000001"/>
    <n v="9.3000000000000007"/>
    <n v="64.7"/>
    <n v="69.5"/>
    <n v="14.3"/>
    <n v="100.78"/>
    <n v="13.5"/>
    <n v="1127"/>
  </r>
  <r>
    <x v="344"/>
    <x v="3"/>
    <n v="23"/>
    <n v="67"/>
    <n v="39"/>
    <n v="28"/>
    <n v="14.6"/>
    <n v="228"/>
    <n v="94"/>
    <n v="194"/>
    <n v="47.7"/>
    <n v="27"/>
    <n v="74"/>
    <n v="39.5"/>
    <n v="13"/>
    <n v="27"/>
    <n v="50"/>
    <n v="67"/>
    <n v="114"/>
    <n v="181"/>
    <n v="80"/>
    <n v="60"/>
    <n v="34"/>
    <n v="13"/>
    <n v="114"/>
    <n v="657"/>
    <n v="0"/>
    <n v="0"/>
    <n v="-0.5"/>
    <n v="110.6"/>
    <n v="112.1"/>
    <n v="-1.5"/>
    <n v="10.9"/>
    <n v="1.43"/>
    <n v="23.8"/>
    <n v="6.6"/>
    <n v="11.4"/>
    <n v="9.1"/>
    <n v="16.600000000000001"/>
    <n v="55.3"/>
    <n v="55.4"/>
    <n v="11.5"/>
    <n v="101.48"/>
    <n v="5.0999999999999996"/>
    <n v="2071"/>
  </r>
  <r>
    <x v="345"/>
    <x v="12"/>
    <n v="31"/>
    <n v="58"/>
    <n v="38"/>
    <n v="20"/>
    <n v="13.7"/>
    <n v="226"/>
    <n v="93"/>
    <n v="168"/>
    <n v="54.5"/>
    <n v="0"/>
    <n v="0"/>
    <n v="0"/>
    <n v="41"/>
    <n v="93"/>
    <n v="46.2"/>
    <n v="168"/>
    <n v="162"/>
    <n v="325"/>
    <n v="64"/>
    <n v="52"/>
    <n v="23"/>
    <n v="29"/>
    <n v="58"/>
    <n v="812"/>
    <n v="3"/>
    <n v="0"/>
    <n v="3"/>
    <n v="115.3"/>
    <n v="105.9"/>
    <n v="9.4"/>
    <n v="10.7"/>
    <n v="1.22"/>
    <n v="20.100000000000001"/>
    <n v="18.100000000000001"/>
    <n v="19.3"/>
    <n v="18.7"/>
    <n v="16.399999999999999"/>
    <n v="54.5"/>
    <n v="54.1"/>
    <n v="12.7"/>
    <n v="99.77"/>
    <n v="10.9"/>
    <n v="1658"/>
  </r>
  <r>
    <x v="346"/>
    <x v="1"/>
    <n v="20"/>
    <n v="49"/>
    <n v="30"/>
    <n v="19"/>
    <n v="10.5"/>
    <n v="221"/>
    <n v="93"/>
    <n v="211"/>
    <n v="44.1"/>
    <n v="25"/>
    <n v="74"/>
    <n v="33.799999999999997"/>
    <n v="10"/>
    <n v="15"/>
    <n v="53.3"/>
    <n v="10"/>
    <n v="39"/>
    <n v="49"/>
    <n v="98"/>
    <n v="54"/>
    <n v="20"/>
    <n v="0"/>
    <n v="39"/>
    <n v="436"/>
    <n v="0"/>
    <n v="0"/>
    <n v="0.4"/>
    <n v="112.3"/>
    <n v="111.1"/>
    <n v="1.2"/>
    <n v="28.3"/>
    <n v="1.85"/>
    <n v="26.6"/>
    <n v="2.2000000000000002"/>
    <n v="7"/>
    <n v="4.5999999999999996"/>
    <n v="14.4"/>
    <n v="50"/>
    <n v="50.3"/>
    <n v="21.5"/>
    <n v="101.82"/>
    <n v="7.8"/>
    <n v="1097"/>
  </r>
  <r>
    <x v="347"/>
    <x v="21"/>
    <n v="20"/>
    <n v="29"/>
    <n v="8"/>
    <n v="21"/>
    <n v="22"/>
    <n v="220"/>
    <n v="81"/>
    <n v="212"/>
    <n v="38.5"/>
    <n v="23"/>
    <n v="90"/>
    <n v="26.7"/>
    <n v="32"/>
    <n v="38"/>
    <n v="86.5"/>
    <n v="9"/>
    <n v="52"/>
    <n v="58"/>
    <n v="75"/>
    <n v="35"/>
    <n v="12"/>
    <n v="3"/>
    <n v="49"/>
    <n v="415"/>
    <n v="0"/>
    <n v="0"/>
    <n v="-5.2"/>
    <n v="104.1"/>
    <n v="115.6"/>
    <n v="-11.5"/>
    <n v="17.8"/>
    <n v="2.17"/>
    <n v="22.3"/>
    <n v="1.1000000000000001"/>
    <n v="7.3"/>
    <n v="4.2"/>
    <n v="10.3"/>
    <n v="44.1"/>
    <n v="48"/>
    <n v="17.3"/>
    <n v="100.83"/>
    <n v="5.3"/>
    <n v="1342"/>
  </r>
  <r>
    <x v="348"/>
    <x v="3"/>
    <n v="32"/>
    <n v="41"/>
    <n v="19"/>
    <n v="22"/>
    <n v="14.7"/>
    <n v="217"/>
    <n v="82"/>
    <n v="176"/>
    <n v="46.9"/>
    <n v="25"/>
    <n v="82"/>
    <n v="32.1"/>
    <n v="25"/>
    <n v="33"/>
    <n v="77.400000000000006"/>
    <n v="21"/>
    <n v="90"/>
    <n v="111"/>
    <n v="70"/>
    <n v="25"/>
    <n v="8"/>
    <n v="12"/>
    <n v="45"/>
    <n v="488"/>
    <n v="1"/>
    <n v="0"/>
    <n v="-0.3"/>
    <n v="111.7"/>
    <n v="114.6"/>
    <n v="-2.9"/>
    <n v="15.9"/>
    <n v="2.92"/>
    <n v="24.7"/>
    <n v="3.2"/>
    <n v="14"/>
    <n v="8.8000000000000007"/>
    <n v="8.5"/>
    <n v="54.2"/>
    <n v="56.7"/>
    <n v="15.1"/>
    <n v="99.41"/>
    <n v="8.8000000000000007"/>
    <n v="1259"/>
  </r>
  <r>
    <x v="349"/>
    <x v="19"/>
    <n v="22"/>
    <n v="58"/>
    <n v="23"/>
    <n v="35"/>
    <n v="11.8"/>
    <n v="215"/>
    <n v="81"/>
    <n v="186"/>
    <n v="43.5"/>
    <n v="17"/>
    <n v="58"/>
    <n v="29.3"/>
    <n v="41"/>
    <n v="64"/>
    <n v="62.3"/>
    <n v="17"/>
    <n v="46"/>
    <n v="64"/>
    <n v="116"/>
    <n v="52"/>
    <n v="35"/>
    <n v="6"/>
    <n v="46"/>
    <n v="534"/>
    <n v="0"/>
    <n v="0"/>
    <n v="-0.2"/>
    <n v="110.2"/>
    <n v="109.7"/>
    <n v="0.5"/>
    <n v="22.5"/>
    <n v="2.11"/>
    <n v="29.8"/>
    <n v="2.5"/>
    <n v="6.2"/>
    <n v="4.4000000000000004"/>
    <n v="14.1"/>
    <n v="48.1"/>
    <n v="51"/>
    <n v="16.5"/>
    <n v="101.92"/>
    <n v="6.6"/>
    <n v="1443"/>
  </r>
  <r>
    <x v="350"/>
    <x v="16"/>
    <n v="20"/>
    <n v="29"/>
    <n v="19"/>
    <n v="10"/>
    <n v="15.8"/>
    <n v="209"/>
    <n v="75"/>
    <n v="200"/>
    <n v="37.200000000000003"/>
    <n v="32"/>
    <n v="96"/>
    <n v="33.700000000000003"/>
    <n v="29"/>
    <n v="41"/>
    <n v="72.5"/>
    <n v="26"/>
    <n v="64"/>
    <n v="93"/>
    <n v="29"/>
    <n v="32"/>
    <n v="12"/>
    <n v="6"/>
    <n v="29"/>
    <n v="383"/>
    <n v="0"/>
    <n v="0"/>
    <n v="-2.2999999999999998"/>
    <n v="112.7"/>
    <n v="118.6"/>
    <n v="-5.9"/>
    <n v="8.5"/>
    <n v="0.94"/>
    <n v="10.5"/>
    <n v="5.5"/>
    <n v="13"/>
    <n v="9.3000000000000007"/>
    <n v="11.2"/>
    <n v="45.2"/>
    <n v="48.2"/>
    <n v="21.9"/>
    <n v="102.73"/>
    <n v="6.4"/>
    <n v="977"/>
  </r>
  <r>
    <x v="351"/>
    <x v="2"/>
    <n v="36"/>
    <n v="56"/>
    <n v="37"/>
    <n v="19"/>
    <n v="12.3"/>
    <n v="207"/>
    <n v="90"/>
    <n v="140"/>
    <n v="65"/>
    <n v="0"/>
    <n v="0"/>
    <n v="0"/>
    <n v="28"/>
    <n v="62"/>
    <n v="42.2"/>
    <n v="84"/>
    <n v="202"/>
    <n v="286"/>
    <n v="50"/>
    <n v="39"/>
    <n v="17"/>
    <n v="28"/>
    <n v="73"/>
    <n v="717"/>
    <n v="3"/>
    <n v="0"/>
    <n v="-0.8"/>
    <n v="108.8"/>
    <n v="112.1"/>
    <n v="-3.3"/>
    <n v="10.5"/>
    <n v="1.33"/>
    <n v="20.2"/>
    <n v="11.9"/>
    <n v="26.2"/>
    <n v="19.399999999999999"/>
    <n v="15.3"/>
    <n v="65"/>
    <n v="62.1"/>
    <n v="12.6"/>
    <n v="100.07"/>
    <n v="11.5"/>
    <n v="1440"/>
  </r>
  <r>
    <x v="352"/>
    <x v="27"/>
    <n v="26"/>
    <n v="20"/>
    <n v="5"/>
    <n v="15"/>
    <n v="32.4"/>
    <n v="206"/>
    <n v="76"/>
    <n v="172"/>
    <n v="43.6"/>
    <n v="22"/>
    <n v="72"/>
    <n v="30.6"/>
    <n v="34"/>
    <n v="40"/>
    <n v="82.5"/>
    <n v="22"/>
    <n v="56"/>
    <n v="78"/>
    <n v="66"/>
    <n v="36"/>
    <n v="38"/>
    <n v="10"/>
    <n v="66"/>
    <n v="500"/>
    <n v="0"/>
    <n v="0"/>
    <n v="-1"/>
    <n v="111.8"/>
    <n v="112.5"/>
    <n v="-0.7"/>
    <n v="13.4"/>
    <n v="1.86"/>
    <n v="22.3"/>
    <n v="3.3"/>
    <n v="8.5"/>
    <n v="5.9"/>
    <n v="12"/>
    <n v="50"/>
    <n v="54.1"/>
    <n v="14.6"/>
    <n v="100.76"/>
    <n v="6.2"/>
    <n v="1356"/>
  </r>
  <r>
    <x v="353"/>
    <x v="7"/>
    <n v="32"/>
    <n v="24"/>
    <n v="10"/>
    <n v="14"/>
    <n v="19.3"/>
    <n v="204"/>
    <n v="79"/>
    <n v="156"/>
    <n v="51.6"/>
    <n v="34"/>
    <n v="77"/>
    <n v="44.7"/>
    <n v="10"/>
    <n v="12"/>
    <n v="69.2"/>
    <n v="24"/>
    <n v="79"/>
    <n v="103"/>
    <n v="38"/>
    <n v="17"/>
    <n v="19"/>
    <n v="12"/>
    <n v="36"/>
    <n v="466"/>
    <n v="3"/>
    <n v="0"/>
    <n v="-4"/>
    <n v="107.5"/>
    <n v="116.5"/>
    <n v="-9"/>
    <n v="12.5"/>
    <n v="2.38"/>
    <n v="17.7"/>
    <n v="4.5999999999999996"/>
    <n v="17.399999999999999"/>
    <n v="10.8"/>
    <n v="7.4"/>
    <n v="62.6"/>
    <n v="63.2"/>
    <n v="15.5"/>
    <n v="104.76"/>
    <n v="10.6"/>
    <n v="1009"/>
  </r>
  <r>
    <x v="354"/>
    <x v="25"/>
    <n v="22"/>
    <n v="52"/>
    <n v="27"/>
    <n v="25"/>
    <n v="11.2"/>
    <n v="203"/>
    <n v="68"/>
    <n v="172"/>
    <n v="40.200000000000003"/>
    <n v="10"/>
    <n v="52"/>
    <n v="23.5"/>
    <n v="47"/>
    <n v="78"/>
    <n v="64.5"/>
    <n v="42"/>
    <n v="83"/>
    <n v="125"/>
    <n v="42"/>
    <n v="16"/>
    <n v="26"/>
    <n v="5"/>
    <n v="26"/>
    <n v="494"/>
    <n v="0"/>
    <n v="0"/>
    <n v="-2"/>
    <n v="101.8"/>
    <n v="109.5"/>
    <n v="-7.7"/>
    <n v="10.1"/>
    <n v="2.86"/>
    <n v="15.2"/>
    <n v="7.1"/>
    <n v="13.7"/>
    <n v="10.3"/>
    <n v="5.3"/>
    <n v="43.7"/>
    <n v="48.4"/>
    <n v="15.8"/>
    <n v="103.43"/>
    <n v="8.1999999999999993"/>
    <n v="1255"/>
  </r>
  <r>
    <x v="355"/>
    <x v="12"/>
    <n v="29"/>
    <n v="42"/>
    <n v="26"/>
    <n v="16"/>
    <n v="11.9"/>
    <n v="202"/>
    <n v="80"/>
    <n v="151"/>
    <n v="53.3"/>
    <n v="13"/>
    <n v="25"/>
    <n v="42.3"/>
    <n v="25"/>
    <n v="42"/>
    <n v="67.5"/>
    <n v="55"/>
    <n v="80"/>
    <n v="139"/>
    <n v="38"/>
    <n v="21"/>
    <n v="13"/>
    <n v="8"/>
    <n v="50"/>
    <n v="466"/>
    <n v="1"/>
    <n v="0"/>
    <n v="-0.6"/>
    <n v="110.5"/>
    <n v="112.6"/>
    <n v="-2.1"/>
    <n v="10.199999999999999"/>
    <n v="1.76"/>
    <n v="16.3"/>
    <n v="9.9"/>
    <n v="15.1"/>
    <n v="12.5"/>
    <n v="9.3000000000000007"/>
    <n v="56.9"/>
    <n v="59"/>
    <n v="14.8"/>
    <n v="103.58"/>
    <n v="9.6999999999999993"/>
    <n v="1078"/>
  </r>
  <r>
    <x v="356"/>
    <x v="2"/>
    <n v="25"/>
    <n v="49"/>
    <n v="31"/>
    <n v="18"/>
    <n v="13.6"/>
    <n v="201"/>
    <n v="78"/>
    <n v="181"/>
    <n v="42.8"/>
    <n v="39"/>
    <n v="103"/>
    <n v="39.6"/>
    <n v="5"/>
    <n v="10"/>
    <n v="75"/>
    <n v="15"/>
    <n v="54"/>
    <n v="69"/>
    <n v="108"/>
    <n v="25"/>
    <n v="20"/>
    <n v="5"/>
    <n v="39"/>
    <n v="495"/>
    <n v="1"/>
    <n v="1"/>
    <n v="1.1000000000000001"/>
    <n v="112.6"/>
    <n v="109.7"/>
    <n v="2.9"/>
    <n v="21.1"/>
    <n v="4.46"/>
    <n v="34.1"/>
    <n v="2.2000000000000002"/>
    <n v="7.8"/>
    <n v="5.0999999999999996"/>
    <n v="7.6"/>
    <n v="53.9"/>
    <n v="54.5"/>
    <n v="13"/>
    <n v="99.25"/>
    <n v="7.8"/>
    <n v="1383"/>
  </r>
  <r>
    <x v="357"/>
    <x v="25"/>
    <n v="24"/>
    <n v="40"/>
    <n v="20"/>
    <n v="20"/>
    <n v="11.7"/>
    <n v="200"/>
    <n v="88"/>
    <n v="108"/>
    <n v="79.8"/>
    <n v="0"/>
    <n v="4"/>
    <n v="20"/>
    <n v="24"/>
    <n v="32"/>
    <n v="71.900000000000006"/>
    <n v="40"/>
    <n v="84"/>
    <n v="124"/>
    <n v="24"/>
    <n v="20"/>
    <n v="16"/>
    <n v="24"/>
    <n v="52"/>
    <n v="480"/>
    <n v="1"/>
    <n v="0"/>
    <n v="-0.5"/>
    <n v="107"/>
    <n v="109.2"/>
    <n v="-2.2999999999999998"/>
    <n v="8"/>
    <n v="1.39"/>
    <n v="15.2"/>
    <n v="8.9"/>
    <n v="17.3"/>
    <n v="13.3"/>
    <n v="11"/>
    <n v="80.3"/>
    <n v="80.400000000000006"/>
    <n v="12.8"/>
    <n v="99.77"/>
    <n v="13.1"/>
    <n v="974"/>
  </r>
  <r>
    <x v="358"/>
    <x v="7"/>
    <n v="22"/>
    <n v="33"/>
    <n v="15"/>
    <n v="18"/>
    <n v="16.100000000000001"/>
    <n v="198"/>
    <n v="73"/>
    <n v="172"/>
    <n v="42.1"/>
    <n v="20"/>
    <n v="83"/>
    <n v="25.9"/>
    <n v="33"/>
    <n v="43"/>
    <n v="76.2"/>
    <n v="43"/>
    <n v="96"/>
    <n v="139"/>
    <n v="26"/>
    <n v="17"/>
    <n v="26"/>
    <n v="33"/>
    <n v="56"/>
    <n v="571"/>
    <n v="2"/>
    <n v="0"/>
    <n v="2.6"/>
    <n v="113.4"/>
    <n v="104.7"/>
    <n v="8.8000000000000007"/>
    <n v="6.4"/>
    <n v="1.8"/>
    <n v="11.7"/>
    <n v="7.8"/>
    <n v="17.899999999999999"/>
    <n v="12.7"/>
    <n v="6.5"/>
    <n v="48.2"/>
    <n v="52"/>
    <n v="15.5"/>
    <n v="103.84"/>
    <n v="8.5"/>
    <n v="1146"/>
  </r>
  <r>
    <x v="359"/>
    <x v="27"/>
    <n v="26"/>
    <n v="37"/>
    <n v="6"/>
    <n v="31"/>
    <n v="13.6"/>
    <n v="196"/>
    <n v="67"/>
    <n v="159"/>
    <n v="43"/>
    <n v="26"/>
    <n v="81"/>
    <n v="32.5"/>
    <n v="33"/>
    <n v="52"/>
    <n v="68"/>
    <n v="26"/>
    <n v="59"/>
    <n v="85"/>
    <n v="22"/>
    <n v="22"/>
    <n v="22"/>
    <n v="7"/>
    <n v="44"/>
    <n v="403"/>
    <n v="0"/>
    <n v="0"/>
    <n v="-3.6"/>
    <n v="106.4"/>
    <n v="119.3"/>
    <n v="-12.9"/>
    <n v="6.5"/>
    <n v="1"/>
    <n v="9.8000000000000007"/>
    <n v="5"/>
    <n v="11.7"/>
    <n v="8.1999999999999993"/>
    <n v="9.8000000000000007"/>
    <n v="51.3"/>
    <n v="54.4"/>
    <n v="16.7"/>
    <n v="100.49"/>
    <n v="6.7"/>
    <n v="1052"/>
  </r>
  <r>
    <x v="360"/>
    <x v="5"/>
    <n v="25"/>
    <n v="33"/>
    <n v="12"/>
    <n v="21"/>
    <n v="14"/>
    <n v="195"/>
    <n v="69"/>
    <n v="158"/>
    <n v="43"/>
    <n v="40"/>
    <n v="89"/>
    <n v="43.3"/>
    <n v="20"/>
    <n v="23"/>
    <n v="86.4"/>
    <n v="23"/>
    <n v="56"/>
    <n v="79"/>
    <n v="79"/>
    <n v="17"/>
    <n v="20"/>
    <n v="7"/>
    <n v="30"/>
    <n v="465"/>
    <n v="1"/>
    <n v="0"/>
    <n v="-0.9"/>
    <n v="115.6"/>
    <n v="118.4"/>
    <n v="-2.8"/>
    <n v="23.5"/>
    <n v="4.59"/>
    <n v="29.7"/>
    <n v="4.8"/>
    <n v="12.4"/>
    <n v="8.6"/>
    <n v="6.5"/>
    <n v="55.4"/>
    <n v="57.8"/>
    <n v="17"/>
    <n v="98.66"/>
    <n v="10.5"/>
    <n v="947"/>
  </r>
  <r>
    <x v="361"/>
    <x v="23"/>
    <n v="28"/>
    <n v="46"/>
    <n v="19"/>
    <n v="27"/>
    <n v="10.199999999999999"/>
    <n v="193"/>
    <n v="69"/>
    <n v="166"/>
    <n v="42.2"/>
    <n v="32"/>
    <n v="106"/>
    <n v="32.1"/>
    <n v="18"/>
    <n v="23"/>
    <n v="90.9"/>
    <n v="46"/>
    <n v="46"/>
    <n v="92"/>
    <n v="28"/>
    <n v="14"/>
    <n v="14"/>
    <n v="14"/>
    <n v="41"/>
    <n v="405"/>
    <n v="0"/>
    <n v="0"/>
    <n v="-1.2"/>
    <n v="108"/>
    <n v="114.5"/>
    <n v="-6.5"/>
    <n v="8.3000000000000007"/>
    <n v="1.63"/>
    <n v="11.9"/>
    <n v="8.1999999999999993"/>
    <n v="11.1"/>
    <n v="9.5"/>
    <n v="7.3"/>
    <n v="52.4"/>
    <n v="55.2"/>
    <n v="16.2"/>
    <n v="102.71"/>
    <n v="7.7"/>
    <n v="1009"/>
  </r>
  <r>
    <x v="362"/>
    <x v="15"/>
    <n v="25"/>
    <n v="51"/>
    <n v="40"/>
    <n v="11"/>
    <n v="10.1"/>
    <n v="189"/>
    <n v="71"/>
    <n v="138"/>
    <n v="51.4"/>
    <n v="20"/>
    <n v="46"/>
    <n v="43.8"/>
    <n v="26"/>
    <n v="31"/>
    <n v="71.900000000000006"/>
    <n v="20"/>
    <n v="46"/>
    <n v="66"/>
    <n v="71"/>
    <n v="36"/>
    <n v="15"/>
    <n v="15"/>
    <n v="26"/>
    <n v="434"/>
    <n v="0"/>
    <n v="0"/>
    <n v="-0.9"/>
    <n v="108.3"/>
    <n v="113.5"/>
    <n v="-5.2"/>
    <n v="19.100000000000001"/>
    <n v="1.87"/>
    <n v="27"/>
    <n v="3.7"/>
    <n v="8.5"/>
    <n v="6.3"/>
    <n v="14.4"/>
    <n v="58.9"/>
    <n v="61"/>
    <n v="15.5"/>
    <n v="100.91"/>
    <n v="9.1"/>
    <n v="1084"/>
  </r>
  <r>
    <x v="363"/>
    <x v="12"/>
    <n v="29"/>
    <n v="52"/>
    <n v="38"/>
    <n v="14"/>
    <n v="11.3"/>
    <n v="187"/>
    <n v="68"/>
    <n v="146"/>
    <n v="47.3"/>
    <n v="16"/>
    <n v="47"/>
    <n v="34.799999999999997"/>
    <n v="31"/>
    <n v="47"/>
    <n v="68.099999999999994"/>
    <n v="52"/>
    <n v="68"/>
    <n v="120"/>
    <n v="47"/>
    <n v="21"/>
    <n v="26"/>
    <n v="5"/>
    <n v="83"/>
    <n v="478"/>
    <n v="0"/>
    <n v="0"/>
    <n v="1"/>
    <n v="111"/>
    <n v="104.7"/>
    <n v="6.3"/>
    <n v="10.7"/>
    <n v="2.14"/>
    <n v="19.7"/>
    <n v="7.2"/>
    <n v="10.8"/>
    <n v="8.9"/>
    <n v="9.1999999999999993"/>
    <n v="52.7"/>
    <n v="55.7"/>
    <n v="12.6"/>
    <n v="103.16"/>
    <n v="7.1"/>
    <n v="1251"/>
  </r>
  <r>
    <x v="364"/>
    <x v="8"/>
    <n v="25"/>
    <n v="45"/>
    <n v="22"/>
    <n v="23"/>
    <n v="9.6999999999999993"/>
    <n v="185"/>
    <n v="72"/>
    <n v="144"/>
    <n v="50.7"/>
    <n v="9"/>
    <n v="27"/>
    <n v="28.6"/>
    <n v="32"/>
    <n v="41"/>
    <n v="76.2"/>
    <n v="41"/>
    <n v="81"/>
    <n v="122"/>
    <n v="45"/>
    <n v="27"/>
    <n v="41"/>
    <n v="27"/>
    <n v="77"/>
    <n v="563"/>
    <n v="0"/>
    <n v="0"/>
    <n v="1"/>
    <n v="111.3"/>
    <n v="105.7"/>
    <n v="5.6"/>
    <n v="14.1"/>
    <n v="1.69"/>
    <n v="19"/>
    <n v="9"/>
    <n v="19.7"/>
    <n v="14.2"/>
    <n v="11.3"/>
    <n v="53.5"/>
    <n v="57.3"/>
    <n v="17.899999999999999"/>
    <n v="101.81"/>
    <n v="11.5"/>
    <n v="924"/>
  </r>
  <r>
    <x v="365"/>
    <x v="24"/>
    <n v="24"/>
    <n v="13"/>
    <n v="6"/>
    <n v="7"/>
    <n v="24.5"/>
    <n v="183"/>
    <n v="70"/>
    <n v="161"/>
    <n v="43.5"/>
    <n v="23"/>
    <n v="60"/>
    <n v="40"/>
    <n v="20"/>
    <n v="21"/>
    <n v="90.5"/>
    <n v="12"/>
    <n v="26"/>
    <n v="38"/>
    <n v="39"/>
    <n v="25"/>
    <n v="7"/>
    <n v="4"/>
    <n v="23"/>
    <n v="295"/>
    <n v="0"/>
    <n v="0"/>
    <n v="-4.2"/>
    <n v="107"/>
    <n v="114.4"/>
    <n v="-7.3"/>
    <n v="21.9"/>
    <n v="1.56"/>
    <n v="16.7"/>
    <n v="3.4"/>
    <n v="7.9"/>
    <n v="5.6"/>
    <n v="10.7"/>
    <n v="50.9"/>
    <n v="53.7"/>
    <n v="25"/>
    <n v="99"/>
    <n v="9.8000000000000007"/>
    <n v="655"/>
  </r>
  <r>
    <x v="366"/>
    <x v="2"/>
    <n v="24"/>
    <n v="57"/>
    <n v="36"/>
    <n v="21"/>
    <n v="10.7"/>
    <n v="182"/>
    <n v="68"/>
    <n v="143"/>
    <n v="49.6"/>
    <n v="17"/>
    <n v="51"/>
    <n v="32.700000000000003"/>
    <n v="29"/>
    <n v="46"/>
    <n v="61.4"/>
    <n v="34"/>
    <n v="57"/>
    <n v="91"/>
    <n v="23"/>
    <n v="11"/>
    <n v="23"/>
    <n v="40"/>
    <n v="63"/>
    <n v="502"/>
    <n v="0"/>
    <n v="0"/>
    <n v="-0.4"/>
    <n v="107.3"/>
    <n v="108.9"/>
    <n v="-1.6"/>
    <n v="5.0999999999999996"/>
    <n v="1.64"/>
    <n v="11.6"/>
    <n v="5.2"/>
    <n v="8.1"/>
    <n v="6.7"/>
    <n v="7"/>
    <n v="55.7"/>
    <n v="57.4"/>
    <n v="11.9"/>
    <n v="102.16"/>
    <n v="6.3"/>
    <n v="1293"/>
  </r>
  <r>
    <x v="367"/>
    <x v="16"/>
    <n v="24"/>
    <n v="27"/>
    <n v="10"/>
    <n v="17"/>
    <n v="18.5"/>
    <n v="178"/>
    <n v="68"/>
    <n v="167"/>
    <n v="40.1"/>
    <n v="27"/>
    <n v="95"/>
    <n v="27.4"/>
    <n v="19"/>
    <n v="24"/>
    <n v="79.2"/>
    <n v="22"/>
    <n v="76"/>
    <n v="97"/>
    <n v="54"/>
    <n v="32"/>
    <n v="11"/>
    <n v="8"/>
    <n v="46"/>
    <n v="402"/>
    <n v="1"/>
    <n v="0"/>
    <n v="0.2"/>
    <n v="117.4"/>
    <n v="116.2"/>
    <n v="1.2"/>
    <n v="14"/>
    <n v="1.67"/>
    <n v="20.8"/>
    <n v="4.2"/>
    <n v="15"/>
    <n v="9.6"/>
    <n v="12.5"/>
    <n v="47.9"/>
    <n v="50.4"/>
    <n v="16.600000000000001"/>
    <n v="105.23"/>
    <n v="6.5"/>
    <n v="1090"/>
  </r>
  <r>
    <x v="368"/>
    <x v="20"/>
    <n v="33"/>
    <n v="50"/>
    <n v="26"/>
    <n v="24"/>
    <n v="12.2"/>
    <n v="175"/>
    <n v="60"/>
    <n v="155"/>
    <n v="40.299999999999997"/>
    <n v="40"/>
    <n v="105"/>
    <n v="36.4"/>
    <n v="15"/>
    <n v="20"/>
    <n v="77.8"/>
    <n v="15"/>
    <n v="55"/>
    <n v="75"/>
    <n v="70"/>
    <n v="20"/>
    <n v="25"/>
    <n v="5"/>
    <n v="50"/>
    <n v="445"/>
    <n v="0"/>
    <n v="0"/>
    <n v="0.7"/>
    <n v="110.5"/>
    <n v="106.9"/>
    <n v="3.6"/>
    <n v="16.600000000000001"/>
    <n v="4"/>
    <n v="28.7"/>
    <n v="2.7"/>
    <n v="9.5"/>
    <n v="6"/>
    <n v="7.2"/>
    <n v="52.9"/>
    <n v="54.7"/>
    <n v="12.6"/>
    <n v="98.59"/>
    <n v="7.5"/>
    <n v="1252"/>
  </r>
  <r>
    <x v="369"/>
    <x v="25"/>
    <n v="29"/>
    <n v="20"/>
    <n v="7"/>
    <n v="13"/>
    <n v="18.600000000000001"/>
    <n v="174"/>
    <n v="64"/>
    <n v="134"/>
    <n v="47.8"/>
    <n v="24"/>
    <n v="54"/>
    <n v="43.4"/>
    <n v="24"/>
    <n v="32"/>
    <n v="74.2"/>
    <n v="4"/>
    <n v="30"/>
    <n v="34"/>
    <n v="56"/>
    <n v="22"/>
    <n v="12"/>
    <n v="4"/>
    <n v="34"/>
    <n v="320"/>
    <n v="0"/>
    <n v="0"/>
    <n v="-2.4"/>
    <n v="109.3"/>
    <n v="115.2"/>
    <n v="-6"/>
    <n v="22"/>
    <n v="2.5499999999999998"/>
    <n v="24.8"/>
    <n v="1"/>
    <n v="7.4"/>
    <n v="4.2"/>
    <n v="9.6999999999999993"/>
    <n v="56.3"/>
    <n v="58.9"/>
    <n v="19.3"/>
    <n v="101.4"/>
    <n v="8.3000000000000007"/>
    <n v="786"/>
  </r>
  <r>
    <x v="370"/>
    <x v="12"/>
    <n v="38"/>
    <n v="32"/>
    <n v="20"/>
    <n v="12"/>
    <n v="12.4"/>
    <n v="173"/>
    <n v="61"/>
    <n v="122"/>
    <n v="50.4"/>
    <n v="29"/>
    <n v="80"/>
    <n v="36.700000000000003"/>
    <n v="22"/>
    <n v="26"/>
    <n v="80.8"/>
    <n v="10"/>
    <n v="48"/>
    <n v="58"/>
    <n v="19"/>
    <n v="10"/>
    <n v="6"/>
    <n v="3"/>
    <n v="32"/>
    <n v="291"/>
    <n v="0"/>
    <n v="0"/>
    <n v="-1.2"/>
    <n v="112.2"/>
    <n v="116.1"/>
    <n v="-3.9"/>
    <n v="6.8"/>
    <n v="2.2200000000000002"/>
    <n v="12.4"/>
    <n v="2.4"/>
    <n v="10.8"/>
    <n v="6.5"/>
    <n v="5.6"/>
    <n v="62.4"/>
    <n v="64.900000000000006"/>
    <n v="14.4"/>
    <n v="100.43"/>
    <n v="8.5"/>
    <n v="827"/>
  </r>
  <r>
    <x v="371"/>
    <x v="15"/>
    <n v="22"/>
    <n v="47"/>
    <n v="37"/>
    <n v="10"/>
    <n v="9.6"/>
    <n v="169"/>
    <n v="66"/>
    <n v="150"/>
    <n v="43"/>
    <n v="19"/>
    <n v="56"/>
    <n v="34.5"/>
    <n v="19"/>
    <n v="24"/>
    <n v="79.2"/>
    <n v="38"/>
    <n v="61"/>
    <n v="94"/>
    <n v="42"/>
    <n v="28"/>
    <n v="14"/>
    <n v="5"/>
    <n v="52"/>
    <n v="371"/>
    <n v="1"/>
    <n v="0"/>
    <n v="0"/>
    <n v="108.4"/>
    <n v="108.8"/>
    <n v="-0.4"/>
    <n v="13.5"/>
    <n v="1.69"/>
    <n v="19.100000000000001"/>
    <n v="7.6"/>
    <n v="11.7"/>
    <n v="9.6999999999999993"/>
    <n v="11.3"/>
    <n v="49.7"/>
    <n v="52.3"/>
    <n v="16.399999999999999"/>
    <n v="101.31"/>
    <n v="7.5"/>
    <n v="957"/>
  </r>
  <r>
    <x v="372"/>
    <x v="25"/>
    <n v="24"/>
    <n v="40"/>
    <n v="17"/>
    <n v="23"/>
    <n v="15.2"/>
    <n v="168"/>
    <n v="68"/>
    <n v="136"/>
    <n v="49.6"/>
    <n v="24"/>
    <n v="56"/>
    <n v="40.700000000000003"/>
    <n v="12"/>
    <n v="12"/>
    <n v="92.3"/>
    <n v="24"/>
    <n v="92"/>
    <n v="116"/>
    <n v="44"/>
    <n v="16"/>
    <n v="20"/>
    <n v="20"/>
    <n v="64"/>
    <n v="472"/>
    <n v="1"/>
    <n v="0"/>
    <n v="-4"/>
    <n v="110"/>
    <n v="122.3"/>
    <n v="-12.3"/>
    <n v="9"/>
    <n v="2.63"/>
    <n v="21.1"/>
    <n v="3.7"/>
    <n v="15.4"/>
    <n v="9.6"/>
    <n v="8"/>
    <n v="57.8"/>
    <n v="59.7"/>
    <n v="11"/>
    <n v="102.71"/>
    <n v="6.7"/>
    <n v="1303"/>
  </r>
  <r>
    <x v="373"/>
    <x v="7"/>
    <n v="26"/>
    <n v="31"/>
    <n v="15"/>
    <n v="16"/>
    <n v="16.2"/>
    <n v="167"/>
    <n v="65"/>
    <n v="161"/>
    <n v="40.1"/>
    <n v="28"/>
    <n v="81"/>
    <n v="32.9"/>
    <n v="12"/>
    <n v="12"/>
    <n v="100"/>
    <n v="6"/>
    <n v="43"/>
    <n v="50"/>
    <n v="81"/>
    <n v="34"/>
    <n v="28"/>
    <n v="9"/>
    <n v="40"/>
    <n v="428"/>
    <n v="1"/>
    <n v="1"/>
    <n v="-0.6"/>
    <n v="106.2"/>
    <n v="108.4"/>
    <n v="-2.2000000000000002"/>
    <n v="22.4"/>
    <n v="2.4500000000000002"/>
    <n v="28.8"/>
    <n v="1.3"/>
    <n v="8"/>
    <n v="4.7"/>
    <n v="11.7"/>
    <n v="48.5"/>
    <n v="50.3"/>
    <n v="16.399999999999999"/>
    <n v="102.77"/>
    <n v="7.4"/>
    <n v="1075"/>
  </r>
  <r>
    <x v="374"/>
    <x v="24"/>
    <n v="26"/>
    <n v="16"/>
    <n v="6"/>
    <n v="10"/>
    <n v="29.9"/>
    <n v="166"/>
    <n v="54"/>
    <n v="123"/>
    <n v="43.9"/>
    <n v="27"/>
    <n v="74"/>
    <n v="36.5"/>
    <n v="30"/>
    <n v="37"/>
    <n v="83.8"/>
    <n v="18"/>
    <n v="64"/>
    <n v="82"/>
    <n v="37"/>
    <n v="29"/>
    <n v="18"/>
    <n v="13"/>
    <n v="46"/>
    <n v="386"/>
    <n v="0"/>
    <n v="0"/>
    <n v="0.6"/>
    <n v="114.9"/>
    <n v="113.3"/>
    <n v="1.6"/>
    <n v="10.7"/>
    <n v="1.32"/>
    <n v="18"/>
    <n v="3.5"/>
    <n v="13.4"/>
    <n v="8.3000000000000007"/>
    <n v="13.6"/>
    <n v="54.9"/>
    <n v="59.6"/>
    <n v="14.6"/>
    <n v="99.95"/>
    <n v="7.6"/>
    <n v="995"/>
  </r>
  <r>
    <x v="375"/>
    <x v="1"/>
    <n v="23"/>
    <n v="40"/>
    <n v="28"/>
    <n v="12"/>
    <n v="13"/>
    <n v="164"/>
    <n v="56"/>
    <n v="120"/>
    <n v="46.7"/>
    <n v="24"/>
    <n v="52"/>
    <n v="43.1"/>
    <n v="28"/>
    <n v="36"/>
    <n v="78.400000000000006"/>
    <n v="28"/>
    <n v="28"/>
    <n v="52"/>
    <n v="28"/>
    <n v="8"/>
    <n v="36"/>
    <n v="4"/>
    <n v="60"/>
    <n v="372"/>
    <n v="0"/>
    <n v="0"/>
    <n v="1.1000000000000001"/>
    <n v="115.2"/>
    <n v="109.6"/>
    <n v="5.6"/>
    <n v="6.7"/>
    <n v="3.25"/>
    <n v="15.1"/>
    <n v="4.7"/>
    <n v="5.3"/>
    <n v="5"/>
    <n v="4.7"/>
    <n v="55.8"/>
    <n v="59.8"/>
    <n v="11.5"/>
    <n v="101.98"/>
    <n v="5.7"/>
    <n v="1101"/>
  </r>
  <r>
    <x v="376"/>
    <x v="27"/>
    <n v="33"/>
    <n v="38"/>
    <n v="10"/>
    <n v="28"/>
    <n v="16.3"/>
    <n v="163"/>
    <n v="61"/>
    <n v="129"/>
    <n v="47.3"/>
    <n v="8"/>
    <n v="38"/>
    <n v="24.3"/>
    <n v="30"/>
    <n v="38"/>
    <n v="83.8"/>
    <n v="46"/>
    <n v="122"/>
    <n v="163"/>
    <n v="61"/>
    <n v="27"/>
    <n v="19"/>
    <n v="19"/>
    <n v="68"/>
    <n v="540"/>
    <n v="1"/>
    <n v="0"/>
    <n v="-1.6"/>
    <n v="109.3"/>
    <n v="115.2"/>
    <n v="-5.9"/>
    <n v="13.1"/>
    <n v="2.4"/>
    <n v="26"/>
    <n v="6.2"/>
    <n v="19.2"/>
    <n v="12.2"/>
    <n v="10.8"/>
    <n v="50.8"/>
    <n v="55.8"/>
    <n v="11.1"/>
    <n v="102.26"/>
    <n v="8.1"/>
    <n v="1331"/>
  </r>
  <r>
    <x v="377"/>
    <x v="28"/>
    <n v="27"/>
    <n v="38"/>
    <n v="10"/>
    <n v="28"/>
    <n v="18.600000000000001"/>
    <n v="163"/>
    <n v="57"/>
    <n v="137"/>
    <n v="42.2"/>
    <n v="30"/>
    <n v="99"/>
    <n v="31.6"/>
    <n v="15"/>
    <n v="19"/>
    <n v="85"/>
    <n v="42"/>
    <n v="122"/>
    <n v="163"/>
    <n v="30"/>
    <n v="30"/>
    <n v="15"/>
    <n v="15"/>
    <n v="49"/>
    <n v="460"/>
    <n v="0"/>
    <n v="0"/>
    <n v="-2.7"/>
    <n v="108.6"/>
    <n v="116.2"/>
    <n v="-7.6"/>
    <n v="5.8"/>
    <n v="1"/>
    <n v="15"/>
    <n v="5.8"/>
    <n v="15.3"/>
    <n v="10.7"/>
    <n v="15"/>
    <n v="53.7"/>
    <n v="56.3"/>
    <n v="10.199999999999999"/>
    <n v="101.29"/>
    <n v="6.3"/>
    <n v="1492"/>
  </r>
  <r>
    <x v="378"/>
    <x v="17"/>
    <n v="26"/>
    <n v="28"/>
    <n v="14"/>
    <n v="14"/>
    <n v="13.6"/>
    <n v="162"/>
    <n v="59"/>
    <n v="123"/>
    <n v="47.5"/>
    <n v="14"/>
    <n v="39"/>
    <n v="37.5"/>
    <n v="31"/>
    <n v="39"/>
    <n v="77.5"/>
    <n v="14"/>
    <n v="31"/>
    <n v="45"/>
    <n v="53"/>
    <n v="17"/>
    <n v="22"/>
    <n v="6"/>
    <n v="42"/>
    <n v="356"/>
    <n v="0"/>
    <n v="0"/>
    <n v="0"/>
    <n v="110.9"/>
    <n v="110.1"/>
    <n v="0.8"/>
    <n v="19.3"/>
    <n v="3.31"/>
    <n v="25.4"/>
    <n v="3.5"/>
    <n v="7.9"/>
    <n v="5.7"/>
    <n v="7.7"/>
    <n v="53.7"/>
    <n v="58"/>
    <n v="16.7"/>
    <n v="104.12"/>
    <n v="8.9"/>
    <n v="823"/>
  </r>
  <r>
    <x v="379"/>
    <x v="14"/>
    <n v="26"/>
    <n v="29"/>
    <n v="17"/>
    <n v="12"/>
    <n v="18.7"/>
    <n v="162"/>
    <n v="64"/>
    <n v="145"/>
    <n v="43.8"/>
    <n v="26"/>
    <n v="67"/>
    <n v="38.200000000000003"/>
    <n v="9"/>
    <n v="12"/>
    <n v="81.8"/>
    <n v="38"/>
    <n v="75"/>
    <n v="113"/>
    <n v="41"/>
    <n v="26"/>
    <n v="29"/>
    <n v="12"/>
    <n v="44"/>
    <n v="455"/>
    <n v="0"/>
    <n v="0"/>
    <n v="-0.4"/>
    <n v="111.2"/>
    <n v="112.4"/>
    <n v="-1.2"/>
    <n v="10.8"/>
    <n v="1.62"/>
    <n v="19.399999999999999"/>
    <n v="6.8"/>
    <n v="13.5"/>
    <n v="10.1"/>
    <n v="12"/>
    <n v="52.8"/>
    <n v="54.1"/>
    <n v="13.4"/>
    <n v="99.53"/>
    <n v="8"/>
    <n v="1126"/>
  </r>
  <r>
    <x v="380"/>
    <x v="19"/>
    <n v="24"/>
    <n v="36"/>
    <n v="14"/>
    <n v="22"/>
    <n v="10.4"/>
    <n v="158"/>
    <n v="68"/>
    <n v="119"/>
    <n v="58.1"/>
    <n v="0"/>
    <n v="0"/>
    <n v="0"/>
    <n v="22"/>
    <n v="32"/>
    <n v="63.6"/>
    <n v="58"/>
    <n v="97"/>
    <n v="151"/>
    <n v="18"/>
    <n v="22"/>
    <n v="14"/>
    <n v="29"/>
    <n v="50"/>
    <n v="475"/>
    <n v="2"/>
    <n v="0"/>
    <n v="-3.6"/>
    <n v="101.6"/>
    <n v="117.5"/>
    <n v="-15.9"/>
    <n v="7.2"/>
    <n v="0.74"/>
    <n v="9.9"/>
    <n v="13.3"/>
    <n v="24"/>
    <n v="18.5"/>
    <n v="13.5"/>
    <n v="58.1"/>
    <n v="59.7"/>
    <n v="16.399999999999999"/>
    <n v="105.46"/>
    <n v="11.3"/>
    <n v="826"/>
  </r>
  <r>
    <x v="381"/>
    <x v="23"/>
    <n v="21"/>
    <n v="52"/>
    <n v="23"/>
    <n v="29"/>
    <n v="8.8000000000000007"/>
    <n v="156"/>
    <n v="57"/>
    <n v="140"/>
    <n v="40.799999999999997"/>
    <n v="16"/>
    <n v="57"/>
    <n v="27.1"/>
    <n v="21"/>
    <n v="31"/>
    <n v="76.7"/>
    <n v="26"/>
    <n v="42"/>
    <n v="68"/>
    <n v="26"/>
    <n v="31"/>
    <n v="16"/>
    <n v="5"/>
    <n v="36"/>
    <n v="307"/>
    <n v="1"/>
    <n v="0"/>
    <n v="-1.7"/>
    <n v="100.6"/>
    <n v="109.8"/>
    <n v="-9.1999999999999993"/>
    <n v="8.3000000000000007"/>
    <n v="0.83"/>
    <n v="11.9"/>
    <n v="4.9000000000000004"/>
    <n v="9.6999999999999993"/>
    <n v="7.1"/>
    <n v="14.3"/>
    <n v="46.5"/>
    <n v="49.9"/>
    <n v="15.6"/>
    <n v="104.66"/>
    <n v="5.5"/>
    <n v="1005"/>
  </r>
  <r>
    <x v="382"/>
    <x v="21"/>
    <n v="23"/>
    <n v="39"/>
    <n v="12"/>
    <n v="27"/>
    <n v="13.2"/>
    <n v="156"/>
    <n v="59"/>
    <n v="129"/>
    <n v="45.7"/>
    <n v="16"/>
    <n v="51"/>
    <n v="32.700000000000003"/>
    <n v="23"/>
    <n v="35"/>
    <n v="65.7"/>
    <n v="20"/>
    <n v="66"/>
    <n v="86"/>
    <n v="43"/>
    <n v="23"/>
    <n v="27"/>
    <n v="12"/>
    <n v="35"/>
    <n v="421"/>
    <n v="1"/>
    <n v="0"/>
    <n v="-2.9"/>
    <n v="104.4"/>
    <n v="114.8"/>
    <n v="-10.4"/>
    <n v="12.3"/>
    <n v="1.91"/>
    <n v="20.8"/>
    <n v="3.8"/>
    <n v="12.3"/>
    <n v="8"/>
    <n v="10.8"/>
    <n v="51.9"/>
    <n v="54.4"/>
    <n v="13.8"/>
    <n v="99.47"/>
    <n v="7.8"/>
    <n v="1066"/>
  </r>
  <r>
    <x v="383"/>
    <x v="18"/>
    <n v="29"/>
    <n v="36"/>
    <n v="13"/>
    <n v="23"/>
    <n v="8.9"/>
    <n v="155"/>
    <n v="54"/>
    <n v="148"/>
    <n v="37.700000000000003"/>
    <n v="36"/>
    <n v="104"/>
    <n v="33.299999999999997"/>
    <n v="7"/>
    <n v="11"/>
    <n v="80"/>
    <n v="4"/>
    <n v="36"/>
    <n v="40"/>
    <n v="40"/>
    <n v="11"/>
    <n v="14"/>
    <n v="4"/>
    <n v="14"/>
    <n v="295"/>
    <n v="0"/>
    <n v="0"/>
    <n v="1"/>
    <n v="114.8"/>
    <n v="111.5"/>
    <n v="3.3"/>
    <n v="16.600000000000001"/>
    <n v="3.64"/>
    <n v="19.899999999999999"/>
    <n v="1.2"/>
    <n v="9.4"/>
    <n v="5.4"/>
    <n v="5.5"/>
    <n v="49.7"/>
    <n v="50.9"/>
    <n v="20"/>
    <n v="106.46"/>
    <n v="8.1999999999999993"/>
    <n v="717"/>
  </r>
  <r>
    <x v="384"/>
    <x v="12"/>
    <n v="24"/>
    <n v="33"/>
    <n v="9"/>
    <n v="24"/>
    <n v="12.4"/>
    <n v="152"/>
    <n v="56"/>
    <n v="125"/>
    <n v="45.6"/>
    <n v="20"/>
    <n v="59"/>
    <n v="31.1"/>
    <n v="20"/>
    <n v="26"/>
    <n v="76.900000000000006"/>
    <n v="13"/>
    <n v="73"/>
    <n v="83"/>
    <n v="36"/>
    <n v="23"/>
    <n v="13"/>
    <n v="10"/>
    <n v="20"/>
    <n v="353"/>
    <n v="0"/>
    <n v="0"/>
    <n v="-2.2999999999999998"/>
    <n v="106.4"/>
    <n v="114.6"/>
    <n v="-8.1999999999999993"/>
    <n v="12.1"/>
    <n v="1.59"/>
    <n v="18"/>
    <n v="3"/>
    <n v="17.7"/>
    <n v="10.1"/>
    <n v="11.3"/>
    <n v="53.2"/>
    <n v="56.1"/>
    <n v="15.9"/>
    <n v="104.43"/>
    <n v="8.9"/>
    <n v="890"/>
  </r>
  <r>
    <x v="385"/>
    <x v="9"/>
    <n v="25"/>
    <n v="37"/>
    <n v="21"/>
    <n v="16"/>
    <n v="11.4"/>
    <n v="152"/>
    <n v="59"/>
    <n v="133"/>
    <n v="43.3"/>
    <n v="7"/>
    <n v="37"/>
    <n v="21.1"/>
    <n v="30"/>
    <n v="33"/>
    <n v="80"/>
    <n v="22"/>
    <n v="33"/>
    <n v="59"/>
    <n v="33"/>
    <n v="26"/>
    <n v="19"/>
    <n v="4"/>
    <n v="26"/>
    <n v="311"/>
    <n v="0"/>
    <n v="0"/>
    <n v="-1.7"/>
    <n v="103.8"/>
    <n v="109.8"/>
    <n v="-6"/>
    <n v="12.4"/>
    <n v="1.31"/>
    <n v="16.2"/>
    <n v="5.3"/>
    <n v="8.4"/>
    <n v="6.8"/>
    <n v="12.4"/>
    <n v="46.3"/>
    <n v="50.9"/>
    <n v="17.5"/>
    <n v="100.15"/>
    <n v="7"/>
    <n v="872"/>
  </r>
  <r>
    <x v="386"/>
    <x v="20"/>
    <n v="28"/>
    <n v="31"/>
    <n v="15"/>
    <n v="16"/>
    <n v="13.9"/>
    <n v="152"/>
    <n v="56"/>
    <n v="146"/>
    <n v="38.1"/>
    <n v="22"/>
    <n v="78"/>
    <n v="28.6"/>
    <n v="19"/>
    <n v="22"/>
    <n v="85.7"/>
    <n v="25"/>
    <n v="28"/>
    <n v="53"/>
    <n v="37"/>
    <n v="22"/>
    <n v="31"/>
    <n v="9"/>
    <n v="37"/>
    <n v="375"/>
    <n v="0"/>
    <n v="0"/>
    <n v="-2.8"/>
    <n v="101.9"/>
    <n v="111.1"/>
    <n v="-9.1999999999999993"/>
    <n v="14.1"/>
    <n v="1.73"/>
    <n v="17.5"/>
    <n v="5.6"/>
    <n v="7.1"/>
    <n v="6.3"/>
    <n v="10.1"/>
    <n v="45.6"/>
    <n v="48.6"/>
    <n v="17.600000000000001"/>
    <n v="98.95"/>
    <n v="7.1"/>
    <n v="885"/>
  </r>
  <r>
    <x v="387"/>
    <x v="24"/>
    <n v="23"/>
    <n v="36"/>
    <n v="11"/>
    <n v="25"/>
    <n v="13.9"/>
    <n v="151"/>
    <n v="58"/>
    <n v="126"/>
    <n v="46.8"/>
    <n v="14"/>
    <n v="40"/>
    <n v="34.1"/>
    <n v="18"/>
    <n v="22"/>
    <n v="81.8"/>
    <n v="29"/>
    <n v="65"/>
    <n v="94"/>
    <n v="43"/>
    <n v="29"/>
    <n v="22"/>
    <n v="4"/>
    <n v="32"/>
    <n v="374"/>
    <n v="1"/>
    <n v="0"/>
    <n v="-3.7"/>
    <n v="99.6"/>
    <n v="112"/>
    <n v="-12.4"/>
    <n v="13"/>
    <n v="1.56"/>
    <n v="20.6"/>
    <n v="5.3"/>
    <n v="13.2"/>
    <n v="9"/>
    <n v="13.2"/>
    <n v="52.4"/>
    <n v="55.3"/>
    <n v="13.3"/>
    <n v="100.73"/>
    <n v="8.3000000000000007"/>
    <n v="1045"/>
  </r>
  <r>
    <x v="388"/>
    <x v="1"/>
    <n v="24"/>
    <n v="24"/>
    <n v="11"/>
    <n v="13"/>
    <n v="9.9"/>
    <n v="149"/>
    <n v="48"/>
    <n v="118"/>
    <n v="39.799999999999997"/>
    <n v="31"/>
    <n v="82"/>
    <n v="39"/>
    <n v="24"/>
    <n v="26"/>
    <n v="88.5"/>
    <n v="5"/>
    <n v="19"/>
    <n v="24"/>
    <n v="31"/>
    <n v="24"/>
    <n v="19"/>
    <n v="5"/>
    <n v="29"/>
    <n v="269"/>
    <n v="0"/>
    <n v="0"/>
    <n v="-1.3"/>
    <n v="102"/>
    <n v="108.1"/>
    <n v="-6.1"/>
    <n v="24.6"/>
    <n v="1.28"/>
    <n v="17.3"/>
    <n v="2"/>
    <n v="8.3000000000000007"/>
    <n v="5.0999999999999996"/>
    <n v="13.5"/>
    <n v="53.4"/>
    <n v="57.6"/>
    <n v="27.4"/>
    <n v="98.61"/>
    <n v="10.8"/>
    <n v="490"/>
  </r>
  <r>
    <x v="389"/>
    <x v="14"/>
    <n v="26"/>
    <n v="36"/>
    <n v="25"/>
    <n v="11"/>
    <n v="16.100000000000001"/>
    <n v="148"/>
    <n v="58"/>
    <n v="122"/>
    <n v="48.8"/>
    <n v="11"/>
    <n v="32"/>
    <n v="28.1"/>
    <n v="22"/>
    <n v="36"/>
    <n v="55.6"/>
    <n v="68"/>
    <n v="115"/>
    <n v="184"/>
    <n v="40"/>
    <n v="29"/>
    <n v="36"/>
    <n v="11"/>
    <n v="68"/>
    <n v="533"/>
    <n v="0"/>
    <n v="0"/>
    <n v="1"/>
    <n v="115.6"/>
    <n v="112.2"/>
    <n v="3.3"/>
    <n v="9.4"/>
    <n v="1.41"/>
    <n v="19.899999999999999"/>
    <n v="11.4"/>
    <n v="19.399999999999999"/>
    <n v="15.4"/>
    <n v="14.1"/>
    <n v="52.5"/>
    <n v="53.7"/>
    <n v="11.6"/>
    <n v="100.61"/>
    <n v="8.1999999999999993"/>
    <n v="1215"/>
  </r>
  <r>
    <x v="390"/>
    <x v="7"/>
    <n v="22"/>
    <n v="35"/>
    <n v="13"/>
    <n v="22"/>
    <n v="10.7"/>
    <n v="147"/>
    <n v="60"/>
    <n v="112"/>
    <n v="53.1"/>
    <n v="7"/>
    <n v="28"/>
    <n v="25.9"/>
    <n v="21"/>
    <n v="32"/>
    <n v="63.6"/>
    <n v="35"/>
    <n v="49"/>
    <n v="84"/>
    <n v="18"/>
    <n v="4"/>
    <n v="11"/>
    <n v="18"/>
    <n v="46"/>
    <n v="350"/>
    <n v="1"/>
    <n v="0"/>
    <n v="-0.1"/>
    <n v="110.2"/>
    <n v="111.8"/>
    <n v="-1.6"/>
    <n v="7"/>
    <n v="3.8"/>
    <n v="12.7"/>
    <n v="9.1"/>
    <n v="13.9"/>
    <n v="11.4"/>
    <n v="3.3"/>
    <n v="56.2"/>
    <n v="58"/>
    <n v="14.1"/>
    <n v="104.7"/>
    <n v="8.1999999999999993"/>
    <n v="823"/>
  </r>
  <r>
    <x v="391"/>
    <x v="11"/>
    <n v="33"/>
    <n v="42"/>
    <n v="21"/>
    <n v="21"/>
    <n v="8.1"/>
    <n v="147"/>
    <n v="50"/>
    <n v="118"/>
    <n v="42.7"/>
    <n v="42"/>
    <n v="101"/>
    <n v="43.6"/>
    <n v="4"/>
    <n v="4"/>
    <n v="60"/>
    <n v="4"/>
    <n v="21"/>
    <n v="21"/>
    <n v="8"/>
    <n v="4"/>
    <n v="4"/>
    <n v="0"/>
    <n v="29"/>
    <n v="197"/>
    <n v="0"/>
    <n v="0"/>
    <n v="0.6"/>
    <n v="111.5"/>
    <n v="109.9"/>
    <n v="1.6"/>
    <n v="2.8"/>
    <n v="1.17"/>
    <n v="5.3"/>
    <n v="0.9"/>
    <n v="5.4"/>
    <n v="3.1"/>
    <n v="4.5"/>
    <n v="61.5"/>
    <n v="61.7"/>
    <n v="15"/>
    <n v="101.3"/>
    <n v="5.0999999999999996"/>
    <n v="728"/>
  </r>
  <r>
    <x v="392"/>
    <x v="20"/>
    <n v="30"/>
    <n v="48"/>
    <n v="28"/>
    <n v="20"/>
    <n v="14.8"/>
    <n v="144"/>
    <n v="53"/>
    <n v="134"/>
    <n v="38.299999999999997"/>
    <n v="38"/>
    <n v="101"/>
    <n v="35.6"/>
    <n v="5"/>
    <n v="14"/>
    <n v="58.3"/>
    <n v="19"/>
    <n v="43"/>
    <n v="62"/>
    <n v="29"/>
    <n v="19"/>
    <n v="24"/>
    <n v="14"/>
    <n v="43"/>
    <n v="365"/>
    <n v="0"/>
    <n v="0"/>
    <n v="1.8"/>
    <n v="110.4"/>
    <n v="103.2"/>
    <n v="7.2"/>
    <n v="5.8"/>
    <n v="1.76"/>
    <n v="16.3"/>
    <n v="2.6"/>
    <n v="6.3"/>
    <n v="4.4000000000000004"/>
    <n v="9.1999999999999993"/>
    <n v="51.9"/>
    <n v="52.4"/>
    <n v="9"/>
    <n v="99.58"/>
    <n v="4.3"/>
    <n v="1465"/>
  </r>
  <r>
    <x v="393"/>
    <x v="19"/>
    <n v="32"/>
    <n v="28"/>
    <n v="10"/>
    <n v="18"/>
    <n v="18.8"/>
    <n v="143"/>
    <n v="67"/>
    <n v="115"/>
    <n v="58.8"/>
    <n v="0"/>
    <n v="0"/>
    <n v="0"/>
    <n v="11"/>
    <n v="25"/>
    <n v="40"/>
    <n v="42"/>
    <n v="115"/>
    <n v="157"/>
    <n v="31"/>
    <n v="28"/>
    <n v="17"/>
    <n v="22"/>
    <n v="53"/>
    <n v="470"/>
    <n v="3"/>
    <n v="0"/>
    <n v="-3.6"/>
    <n v="108.7"/>
    <n v="117.9"/>
    <n v="-9.1999999999999993"/>
    <n v="7.9"/>
    <n v="1.1499999999999999"/>
    <n v="16.899999999999999"/>
    <n v="8"/>
    <n v="20.7"/>
    <n v="14.4"/>
    <n v="14.8"/>
    <n v="58.8"/>
    <n v="57.6"/>
    <n v="12.4"/>
    <n v="100.23"/>
    <n v="8"/>
    <n v="1102"/>
  </r>
  <r>
    <x v="394"/>
    <x v="27"/>
    <n v="24"/>
    <n v="14"/>
    <n v="2"/>
    <n v="12"/>
    <n v="23.7"/>
    <n v="141"/>
    <n v="53"/>
    <n v="109"/>
    <n v="48.6"/>
    <n v="14"/>
    <n v="43"/>
    <n v="32.6"/>
    <n v="22"/>
    <n v="29"/>
    <n v="73.3"/>
    <n v="13"/>
    <n v="46"/>
    <n v="57"/>
    <n v="13"/>
    <n v="13"/>
    <n v="10"/>
    <n v="10"/>
    <n v="29"/>
    <n v="279"/>
    <n v="1"/>
    <n v="0"/>
    <n v="-10.4"/>
    <n v="100.7"/>
    <n v="121.2"/>
    <n v="-20.5"/>
    <n v="6.2"/>
    <n v="1.08"/>
    <n v="8.8000000000000007"/>
    <n v="3.4"/>
    <n v="13.6"/>
    <n v="8.4"/>
    <n v="8.1999999999999993"/>
    <n v="55"/>
    <n v="58.1"/>
    <n v="16.899999999999999"/>
    <n v="101.63"/>
    <n v="7.9"/>
    <n v="702"/>
  </r>
  <r>
    <x v="395"/>
    <x v="0"/>
    <n v="22"/>
    <n v="37"/>
    <n v="30"/>
    <n v="7"/>
    <n v="10.9"/>
    <n v="141"/>
    <n v="56"/>
    <n v="126"/>
    <n v="43.2"/>
    <n v="22"/>
    <n v="70"/>
    <n v="32.4"/>
    <n v="11"/>
    <n v="15"/>
    <n v="68.8"/>
    <n v="19"/>
    <n v="63"/>
    <n v="81"/>
    <n v="30"/>
    <n v="19"/>
    <n v="19"/>
    <n v="7"/>
    <n v="33"/>
    <n v="340"/>
    <n v="0"/>
    <n v="0"/>
    <n v="1.2"/>
    <n v="104.3"/>
    <n v="99.2"/>
    <n v="5.0999999999999996"/>
    <n v="10.7"/>
    <n v="1.72"/>
    <n v="17.100000000000001"/>
    <n v="4"/>
    <n v="14.2"/>
    <n v="9.1"/>
    <n v="9.9"/>
    <n v="52.4"/>
    <n v="53.8"/>
    <n v="15.2"/>
    <n v="102.86"/>
    <n v="8.8000000000000007"/>
    <n v="868"/>
  </r>
  <r>
    <x v="396"/>
    <x v="1"/>
    <n v="24"/>
    <n v="32"/>
    <n v="21"/>
    <n v="11"/>
    <n v="10.6"/>
    <n v="138"/>
    <n v="54"/>
    <n v="115"/>
    <n v="48.2"/>
    <n v="10"/>
    <n v="32"/>
    <n v="35.5"/>
    <n v="16"/>
    <n v="22"/>
    <n v="81"/>
    <n v="10"/>
    <n v="38"/>
    <n v="48"/>
    <n v="32"/>
    <n v="16"/>
    <n v="6"/>
    <n v="6"/>
    <n v="26"/>
    <n v="262"/>
    <n v="1"/>
    <n v="0"/>
    <n v="0.3"/>
    <n v="107.8"/>
    <n v="107"/>
    <n v="0.8"/>
    <n v="13.9"/>
    <n v="2.13"/>
    <n v="18.8"/>
    <n v="2.9"/>
    <n v="10"/>
    <n v="6.5"/>
    <n v="8.8000000000000007"/>
    <n v="53.1"/>
    <n v="56"/>
    <n v="16.600000000000001"/>
    <n v="103.77"/>
    <n v="8.1999999999999993"/>
    <n v="735"/>
  </r>
  <r>
    <x v="397"/>
    <x v="27"/>
    <n v="27"/>
    <n v="32"/>
    <n v="19"/>
    <n v="13"/>
    <n v="12.9"/>
    <n v="138"/>
    <n v="51"/>
    <n v="112"/>
    <n v="46.4"/>
    <n v="16"/>
    <n v="54"/>
    <n v="27.8"/>
    <n v="19"/>
    <n v="26"/>
    <n v="70.400000000000006"/>
    <n v="32"/>
    <n v="112"/>
    <n v="144"/>
    <n v="19"/>
    <n v="19"/>
    <n v="10"/>
    <n v="32"/>
    <n v="58"/>
    <n v="438"/>
    <n v="0"/>
    <n v="0"/>
    <n v="-2.2999999999999998"/>
    <n v="103.5"/>
    <n v="112.5"/>
    <n v="-9"/>
    <n v="6.8"/>
    <n v="0.9"/>
    <n v="11.1"/>
    <n v="7.9"/>
    <n v="26.8"/>
    <n v="17.5"/>
    <n v="12.3"/>
    <n v="53.1"/>
    <n v="55.7"/>
    <n v="15"/>
    <n v="98.15"/>
    <n v="10"/>
    <n v="846"/>
  </r>
  <r>
    <x v="398"/>
    <x v="1"/>
    <n v="26"/>
    <n v="39"/>
    <n v="28"/>
    <n v="11"/>
    <n v="5.6"/>
    <n v="137"/>
    <n v="51"/>
    <n v="105"/>
    <n v="49.5"/>
    <n v="12"/>
    <n v="35"/>
    <n v="27.8"/>
    <n v="23"/>
    <n v="35"/>
    <n v="68.599999999999994"/>
    <n v="31"/>
    <n v="23"/>
    <n v="55"/>
    <n v="12"/>
    <n v="12"/>
    <n v="8"/>
    <n v="4"/>
    <n v="27"/>
    <n v="234"/>
    <n v="0"/>
    <n v="0"/>
    <n v="0"/>
    <n v="107.9"/>
    <n v="107.5"/>
    <n v="0.4"/>
    <n v="8.1999999999999993"/>
    <n v="0.92"/>
    <n v="7.6"/>
    <n v="13.8"/>
    <n v="10.3"/>
    <n v="12.1"/>
    <n v="8.3000000000000007"/>
    <n v="54.3"/>
    <n v="57.3"/>
    <n v="24.1"/>
    <n v="105.17"/>
    <n v="10.1"/>
    <n v="480"/>
  </r>
  <r>
    <x v="399"/>
    <x v="22"/>
    <n v="39"/>
    <n v="35"/>
    <n v="14"/>
    <n v="21"/>
    <n v="18.8"/>
    <n v="137"/>
    <n v="42"/>
    <n v="116"/>
    <n v="35"/>
    <n v="28"/>
    <n v="88"/>
    <n v="33"/>
    <n v="28"/>
    <n v="32"/>
    <n v="81.8"/>
    <n v="11"/>
    <n v="56"/>
    <n v="67"/>
    <n v="95"/>
    <n v="21"/>
    <n v="32"/>
    <n v="11"/>
    <n v="63"/>
    <n v="473"/>
    <n v="0"/>
    <n v="0"/>
    <n v="-2"/>
    <n v="103.8"/>
    <n v="109.6"/>
    <n v="-5.8"/>
    <n v="20.6"/>
    <n v="4.57"/>
    <n v="38.4"/>
    <n v="1.6"/>
    <n v="8.6"/>
    <n v="5"/>
    <n v="8.4"/>
    <n v="47.4"/>
    <n v="52.5"/>
    <n v="10"/>
    <n v="99.28"/>
    <n v="6.7"/>
    <n v="1368"/>
  </r>
  <r>
    <x v="400"/>
    <x v="11"/>
    <n v="23"/>
    <n v="36"/>
    <n v="18"/>
    <n v="18"/>
    <n v="11"/>
    <n v="137"/>
    <n v="47"/>
    <n v="126"/>
    <n v="37"/>
    <n v="18"/>
    <n v="61"/>
    <n v="29.5"/>
    <n v="25"/>
    <n v="43"/>
    <n v="59.1"/>
    <n v="18"/>
    <n v="58"/>
    <n v="76"/>
    <n v="40"/>
    <n v="18"/>
    <n v="22"/>
    <n v="4"/>
    <n v="40"/>
    <n v="349"/>
    <n v="0"/>
    <n v="0"/>
    <n v="1.2"/>
    <n v="113.1"/>
    <n v="109.3"/>
    <n v="3.9"/>
    <n v="13.9"/>
    <n v="2.2799999999999998"/>
    <n v="19.899999999999999"/>
    <n v="4.4000000000000004"/>
    <n v="14.7"/>
    <n v="9.3000000000000007"/>
    <n v="8.6999999999999993"/>
    <n v="44.1"/>
    <n v="47.1"/>
    <n v="16.899999999999999"/>
    <n v="100.14"/>
    <n v="7"/>
    <n v="831"/>
  </r>
  <r>
    <x v="401"/>
    <x v="16"/>
    <n v="26"/>
    <n v="31"/>
    <n v="7"/>
    <n v="24"/>
    <n v="8.6"/>
    <n v="136"/>
    <n v="56"/>
    <n v="105"/>
    <n v="51.9"/>
    <n v="3"/>
    <n v="19"/>
    <n v="15.8"/>
    <n v="22"/>
    <n v="34"/>
    <n v="65.7"/>
    <n v="37"/>
    <n v="47"/>
    <n v="84"/>
    <n v="12"/>
    <n v="12"/>
    <n v="9"/>
    <n v="9"/>
    <n v="19"/>
    <n v="291"/>
    <n v="1"/>
    <n v="0"/>
    <n v="-0.3"/>
    <n v="108.2"/>
    <n v="108.8"/>
    <n v="-0.6"/>
    <n v="6.3"/>
    <n v="0.92"/>
    <n v="7.6"/>
    <n v="12.8"/>
    <n v="15.9"/>
    <n v="14.3"/>
    <n v="8.3000000000000007"/>
    <n v="53.3"/>
    <n v="56"/>
    <n v="20"/>
    <n v="103.88"/>
    <n v="12.3"/>
    <n v="571"/>
  </r>
  <r>
    <x v="402"/>
    <x v="22"/>
    <n v="35"/>
    <n v="31"/>
    <n v="11"/>
    <n v="20"/>
    <n v="12.4"/>
    <n v="136"/>
    <n v="53"/>
    <n v="133"/>
    <n v="39.1"/>
    <n v="25"/>
    <n v="74"/>
    <n v="33.799999999999997"/>
    <n v="6"/>
    <n v="9"/>
    <n v="77.8"/>
    <n v="9"/>
    <n v="34"/>
    <n v="43"/>
    <n v="47"/>
    <n v="16"/>
    <n v="16"/>
    <n v="3"/>
    <n v="34"/>
    <n v="295"/>
    <n v="0"/>
    <n v="0"/>
    <n v="-0.6"/>
    <n v="108.3"/>
    <n v="111.8"/>
    <n v="-3.5"/>
    <n v="17.2"/>
    <n v="2.65"/>
    <n v="22.6"/>
    <n v="2"/>
    <n v="9.3000000000000007"/>
    <n v="5.5"/>
    <n v="8.5"/>
    <n v="48.5"/>
    <n v="49.6"/>
    <n v="17"/>
    <n v="98.88"/>
    <n v="6.7"/>
    <n v="795"/>
  </r>
  <r>
    <x v="403"/>
    <x v="11"/>
    <n v="24"/>
    <n v="40"/>
    <n v="19"/>
    <n v="21"/>
    <n v="7.6"/>
    <n v="136"/>
    <n v="56"/>
    <n v="84"/>
    <n v="65.099999999999994"/>
    <n v="4"/>
    <n v="8"/>
    <n v="37.5"/>
    <n v="24"/>
    <n v="36"/>
    <n v="63.9"/>
    <n v="24"/>
    <n v="36"/>
    <n v="56"/>
    <n v="12"/>
    <n v="16"/>
    <n v="4"/>
    <n v="12"/>
    <n v="32"/>
    <n v="248"/>
    <n v="0"/>
    <n v="0"/>
    <n v="-1.6"/>
    <n v="104.6"/>
    <n v="115.1"/>
    <n v="-10.5"/>
    <n v="5.7"/>
    <n v="0.75"/>
    <n v="9.5"/>
    <n v="7.1"/>
    <n v="12"/>
    <n v="9.5"/>
    <n v="12.7"/>
    <n v="66.900000000000006"/>
    <n v="67.8"/>
    <n v="15.2"/>
    <n v="102.68"/>
    <n v="8.6999999999999993"/>
    <n v="652"/>
  </r>
  <r>
    <x v="404"/>
    <x v="0"/>
    <n v="23"/>
    <n v="54"/>
    <n v="45"/>
    <n v="9"/>
    <n v="10.199999999999999"/>
    <n v="135"/>
    <n v="49"/>
    <n v="135"/>
    <n v="38.299999999999997"/>
    <n v="16"/>
    <n v="65"/>
    <n v="25.4"/>
    <n v="16"/>
    <n v="27"/>
    <n v="60.7"/>
    <n v="32"/>
    <n v="92"/>
    <n v="119"/>
    <n v="59"/>
    <n v="27"/>
    <n v="16"/>
    <n v="5"/>
    <n v="54"/>
    <n v="400"/>
    <n v="1"/>
    <n v="0"/>
    <n v="1.4"/>
    <n v="108.9"/>
    <n v="102.9"/>
    <n v="6"/>
    <n v="14.3"/>
    <n v="2.0699999999999998"/>
    <n v="25"/>
    <n v="5"/>
    <n v="15.3"/>
    <n v="10.199999999999999"/>
    <n v="12.1"/>
    <n v="44.4"/>
    <n v="46.4"/>
    <n v="13.1"/>
    <n v="101.09"/>
    <n v="6.6"/>
    <n v="1164"/>
  </r>
  <r>
    <x v="405"/>
    <x v="2"/>
    <n v="24"/>
    <n v="51"/>
    <n v="30"/>
    <n v="21"/>
    <n v="7.8"/>
    <n v="133"/>
    <n v="46"/>
    <n v="122"/>
    <n v="37.5"/>
    <n v="26"/>
    <n v="77"/>
    <n v="31.1"/>
    <n v="20"/>
    <n v="26"/>
    <n v="75"/>
    <n v="26"/>
    <n v="51"/>
    <n v="77"/>
    <n v="20"/>
    <n v="15"/>
    <n v="10"/>
    <n v="5"/>
    <n v="46"/>
    <n v="291"/>
    <n v="0"/>
    <n v="0"/>
    <n v="-1.9"/>
    <n v="98.5"/>
    <n v="108.7"/>
    <n v="-10.199999999999999"/>
    <n v="7.4"/>
    <n v="1.43"/>
    <n v="12"/>
    <n v="5.5"/>
    <n v="12.4"/>
    <n v="8.8000000000000007"/>
    <n v="8.4"/>
    <n v="47.1"/>
    <n v="50.6"/>
    <n v="14.6"/>
    <n v="104.6"/>
    <n v="5.7"/>
    <n v="867"/>
  </r>
  <r>
    <x v="406"/>
    <x v="21"/>
    <n v="32"/>
    <n v="51"/>
    <n v="7"/>
    <n v="44"/>
    <n v="7.8"/>
    <n v="128"/>
    <n v="41"/>
    <n v="87"/>
    <n v="48.9"/>
    <n v="10"/>
    <n v="31"/>
    <n v="32.299999999999997"/>
    <n v="31"/>
    <n v="51"/>
    <n v="66"/>
    <n v="20"/>
    <n v="46"/>
    <n v="66"/>
    <n v="15"/>
    <n v="10"/>
    <n v="10"/>
    <n v="0"/>
    <n v="31"/>
    <n v="255"/>
    <n v="0"/>
    <n v="0"/>
    <n v="-1.4"/>
    <n v="101.9"/>
    <n v="109.7"/>
    <n v="-7.8"/>
    <n v="5.9"/>
    <n v="1.6"/>
    <n v="11.9"/>
    <n v="4.2"/>
    <n v="11.1"/>
    <n v="7.7"/>
    <n v="7.4"/>
    <n v="54.5"/>
    <n v="58.6"/>
    <n v="12.4"/>
    <n v="101.23"/>
    <n v="7.1"/>
    <n v="835"/>
  </r>
  <r>
    <x v="407"/>
    <x v="10"/>
    <n v="33"/>
    <n v="40"/>
    <n v="22"/>
    <n v="18"/>
    <n v="15.9"/>
    <n v="124"/>
    <n v="44"/>
    <n v="132"/>
    <n v="34.4"/>
    <n v="20"/>
    <n v="72"/>
    <n v="27.4"/>
    <n v="16"/>
    <n v="24"/>
    <n v="60"/>
    <n v="28"/>
    <n v="40"/>
    <n v="68"/>
    <n v="76"/>
    <n v="24"/>
    <n v="36"/>
    <n v="12"/>
    <n v="24"/>
    <n v="440"/>
    <n v="0"/>
    <n v="0"/>
    <n v="0"/>
    <n v="106.1"/>
    <n v="106.3"/>
    <n v="-0.2"/>
    <n v="16.2"/>
    <n v="3.5"/>
    <n v="31.8"/>
    <n v="4.2"/>
    <n v="6.1"/>
    <n v="5.0999999999999996"/>
    <n v="9.1"/>
    <n v="42"/>
    <n v="44"/>
    <n v="11.1"/>
    <n v="98.84"/>
    <n v="6.1"/>
    <n v="1308"/>
  </r>
  <r>
    <x v="408"/>
    <x v="6"/>
    <n v="36"/>
    <n v="23"/>
    <n v="13"/>
    <n v="10"/>
    <n v="10.9"/>
    <n v="122"/>
    <n v="41"/>
    <n v="115"/>
    <n v="35.700000000000003"/>
    <n v="23"/>
    <n v="67"/>
    <n v="35.799999999999997"/>
    <n v="16"/>
    <n v="23"/>
    <n v="69.599999999999994"/>
    <n v="23"/>
    <n v="71"/>
    <n v="94"/>
    <n v="23"/>
    <n v="14"/>
    <n v="16"/>
    <n v="5"/>
    <n v="21"/>
    <n v="311"/>
    <n v="0"/>
    <n v="0"/>
    <n v="-1.1000000000000001"/>
    <n v="108.7"/>
    <n v="112.3"/>
    <n v="-3.6"/>
    <n v="13.4"/>
    <n v="1.57"/>
    <n v="13.6"/>
    <n v="8"/>
    <n v="28.2"/>
    <n v="17.7"/>
    <n v="8.6"/>
    <n v="46.1"/>
    <n v="48.8"/>
    <n v="23"/>
    <n v="103.56"/>
    <n v="10.9"/>
    <n v="540"/>
  </r>
  <r>
    <x v="409"/>
    <x v="0"/>
    <n v="25"/>
    <n v="32"/>
    <n v="29"/>
    <n v="3"/>
    <n v="7.7"/>
    <n v="122"/>
    <n v="42"/>
    <n v="96"/>
    <n v="44.3"/>
    <n v="22"/>
    <n v="67"/>
    <n v="33.299999999999997"/>
    <n v="13"/>
    <n v="19"/>
    <n v="77.8"/>
    <n v="16"/>
    <n v="38"/>
    <n v="54"/>
    <n v="13"/>
    <n v="6"/>
    <n v="6"/>
    <n v="22"/>
    <n v="22"/>
    <n v="278"/>
    <n v="1"/>
    <n v="0"/>
    <n v="1.3"/>
    <n v="115.1"/>
    <n v="105.8"/>
    <n v="9.4"/>
    <n v="7.7"/>
    <n v="2"/>
    <n v="11.1"/>
    <n v="6.4"/>
    <n v="13.1"/>
    <n v="9.9"/>
    <n v="5.6"/>
    <n v="55.7"/>
    <n v="58.1"/>
    <n v="18.5"/>
    <n v="103.83"/>
    <n v="10.1"/>
    <n v="529"/>
  </r>
  <r>
    <x v="410"/>
    <x v="26"/>
    <n v="25"/>
    <n v="26"/>
    <n v="15"/>
    <n v="11"/>
    <n v="16.600000000000001"/>
    <n v="122"/>
    <n v="47"/>
    <n v="99"/>
    <n v="46.9"/>
    <n v="3"/>
    <n v="16"/>
    <n v="12.5"/>
    <n v="29"/>
    <n v="39"/>
    <n v="76.3"/>
    <n v="52"/>
    <n v="70"/>
    <n v="122"/>
    <n v="29"/>
    <n v="23"/>
    <n v="8"/>
    <n v="10"/>
    <n v="52"/>
    <n v="343"/>
    <n v="0"/>
    <n v="0"/>
    <n v="-1.2"/>
    <n v="106.1"/>
    <n v="108.2"/>
    <n v="-2.1"/>
    <n v="9.1999999999999993"/>
    <n v="1.22"/>
    <n v="16.899999999999999"/>
    <n v="10.4"/>
    <n v="14.3"/>
    <n v="12.3"/>
    <n v="13.9"/>
    <n v="48"/>
    <n v="53.6"/>
    <n v="12.5"/>
    <n v="102.22"/>
    <n v="7.4"/>
    <n v="915"/>
  </r>
  <r>
    <x v="411"/>
    <x v="24"/>
    <n v="24"/>
    <n v="20"/>
    <n v="2"/>
    <n v="18"/>
    <n v="13.3"/>
    <n v="120"/>
    <n v="42"/>
    <n v="106"/>
    <n v="39"/>
    <n v="14"/>
    <n v="34"/>
    <n v="39.4"/>
    <n v="26"/>
    <n v="34"/>
    <n v="73.5"/>
    <n v="14"/>
    <n v="18"/>
    <n v="32"/>
    <n v="28"/>
    <n v="18"/>
    <n v="12"/>
    <n v="0"/>
    <n v="22"/>
    <n v="216"/>
    <n v="0"/>
    <n v="0"/>
    <n v="-0.3"/>
    <n v="100"/>
    <n v="102.6"/>
    <n v="-2.6"/>
    <n v="18.7"/>
    <n v="1.56"/>
    <n v="16.8"/>
    <n v="5.0999999999999996"/>
    <n v="7.1"/>
    <n v="6"/>
    <n v="10.8"/>
    <n v="45.2"/>
    <n v="50"/>
    <n v="22"/>
    <n v="98.35"/>
    <n v="7.7"/>
    <n v="548"/>
  </r>
  <r>
    <x v="412"/>
    <x v="1"/>
    <n v="22"/>
    <n v="46"/>
    <n v="32"/>
    <n v="14"/>
    <n v="6"/>
    <n v="120"/>
    <n v="46"/>
    <n v="92"/>
    <n v="48.9"/>
    <n v="14"/>
    <n v="41"/>
    <n v="32.6"/>
    <n v="18"/>
    <n v="18"/>
    <n v="89.5"/>
    <n v="14"/>
    <n v="37"/>
    <n v="46"/>
    <n v="18"/>
    <n v="9"/>
    <n v="14"/>
    <n v="14"/>
    <n v="32"/>
    <n v="271"/>
    <n v="0"/>
    <n v="0"/>
    <n v="-0.3"/>
    <n v="104"/>
    <n v="107"/>
    <n v="-3"/>
    <n v="9.6"/>
    <n v="1.64"/>
    <n v="14.2"/>
    <n v="4.4000000000000004"/>
    <n v="11.5"/>
    <n v="8.1"/>
    <n v="8.6999999999999993"/>
    <n v="56.7"/>
    <n v="60.5"/>
    <n v="16"/>
    <n v="104.77"/>
    <n v="9.5"/>
    <n v="604"/>
  </r>
  <r>
    <x v="413"/>
    <x v="26"/>
    <n v="25"/>
    <n v="14"/>
    <n v="8"/>
    <n v="6"/>
    <n v="16.2"/>
    <n v="118"/>
    <n v="42"/>
    <n v="87"/>
    <n v="48.3"/>
    <n v="13"/>
    <n v="39"/>
    <n v="30.8"/>
    <n v="22"/>
    <n v="25"/>
    <n v="88"/>
    <n v="14"/>
    <n v="28"/>
    <n v="42"/>
    <n v="15"/>
    <n v="8"/>
    <n v="10"/>
    <n v="1"/>
    <n v="20"/>
    <n v="220"/>
    <n v="1"/>
    <n v="0"/>
    <n v="4.5999999999999996"/>
    <n v="118.1"/>
    <n v="103.4"/>
    <n v="14.7"/>
    <n v="9.8000000000000007"/>
    <n v="1.78"/>
    <n v="12.9"/>
    <n v="5.2"/>
    <n v="11.3"/>
    <n v="8.1999999999999993"/>
    <n v="7.3"/>
    <n v="55.2"/>
    <n v="60.2"/>
    <n v="18.3"/>
    <n v="103.89"/>
    <n v="10.6"/>
    <n v="486"/>
  </r>
  <r>
    <x v="414"/>
    <x v="25"/>
    <n v="33"/>
    <n v="55"/>
    <n v="25"/>
    <n v="30"/>
    <n v="10"/>
    <n v="116"/>
    <n v="44"/>
    <n v="61"/>
    <n v="68.900000000000006"/>
    <n v="0"/>
    <n v="6"/>
    <n v="40"/>
    <n v="28"/>
    <n v="44"/>
    <n v="65.099999999999994"/>
    <n v="50"/>
    <n v="72"/>
    <n v="116"/>
    <n v="55"/>
    <n v="17"/>
    <n v="17"/>
    <n v="22"/>
    <n v="77"/>
    <n v="435"/>
    <n v="0"/>
    <n v="0"/>
    <n v="-0.3"/>
    <n v="108.6"/>
    <n v="109.7"/>
    <n v="-1.1000000000000001"/>
    <n v="13"/>
    <n v="3.06"/>
    <n v="36.200000000000003"/>
    <n v="8.4"/>
    <n v="13.1"/>
    <n v="10.7"/>
    <n v="11.8"/>
    <n v="70.5"/>
    <n v="71.3"/>
    <n v="7.3"/>
    <n v="102.17"/>
    <n v="7.3"/>
    <n v="1172"/>
  </r>
  <r>
    <x v="415"/>
    <x v="23"/>
    <n v="27"/>
    <n v="20"/>
    <n v="7"/>
    <n v="13"/>
    <n v="17.600000000000001"/>
    <n v="116"/>
    <n v="50"/>
    <n v="78"/>
    <n v="64.099999999999994"/>
    <n v="2"/>
    <n v="4"/>
    <n v="33.299999999999997"/>
    <n v="16"/>
    <n v="18"/>
    <n v="88.2"/>
    <n v="36"/>
    <n v="84"/>
    <n v="118"/>
    <n v="22"/>
    <n v="18"/>
    <n v="14"/>
    <n v="34"/>
    <n v="32"/>
    <n v="410"/>
    <n v="0"/>
    <n v="0"/>
    <n v="-0.9"/>
    <n v="106.3"/>
    <n v="108.3"/>
    <n v="-2"/>
    <n v="9"/>
    <n v="1.24"/>
    <n v="17.100000000000001"/>
    <n v="9.6999999999999993"/>
    <n v="21.7"/>
    <n v="15.9"/>
    <n v="13.8"/>
    <n v="64.7"/>
    <n v="67.900000000000006"/>
    <n v="12"/>
    <n v="100.69"/>
    <n v="13.7"/>
    <n v="736"/>
  </r>
  <r>
    <x v="416"/>
    <x v="29"/>
    <n v="22"/>
    <n v="28"/>
    <n v="9"/>
    <n v="19"/>
    <n v="11.7"/>
    <n v="115"/>
    <n v="45"/>
    <n v="109"/>
    <n v="41.7"/>
    <n v="20"/>
    <n v="50"/>
    <n v="38"/>
    <n v="8"/>
    <n v="11"/>
    <n v="70"/>
    <n v="17"/>
    <n v="36"/>
    <n v="56"/>
    <n v="20"/>
    <n v="14"/>
    <n v="8"/>
    <n v="8"/>
    <n v="28"/>
    <n v="244"/>
    <n v="0"/>
    <n v="0"/>
    <n v="-2.4"/>
    <n v="101.2"/>
    <n v="110.7"/>
    <n v="-9.6"/>
    <n v="9.1"/>
    <n v="1.36"/>
    <n v="13"/>
    <n v="5.0999999999999996"/>
    <n v="11.8"/>
    <n v="8.1999999999999993"/>
    <n v="9.6"/>
    <n v="50.5"/>
    <n v="51.6"/>
    <n v="16.399999999999999"/>
    <n v="99.39"/>
    <n v="6.6"/>
    <n v="677"/>
  </r>
  <r>
    <x v="417"/>
    <x v="29"/>
    <n v="20"/>
    <n v="20"/>
    <n v="6"/>
    <n v="14"/>
    <n v="12.3"/>
    <n v="114"/>
    <n v="40"/>
    <n v="96"/>
    <n v="40.6"/>
    <n v="34"/>
    <n v="74"/>
    <n v="44.6"/>
    <n v="4"/>
    <n v="6"/>
    <n v="60"/>
    <n v="4"/>
    <n v="26"/>
    <n v="30"/>
    <n v="12"/>
    <n v="16"/>
    <n v="6"/>
    <n v="2"/>
    <n v="22"/>
    <n v="172"/>
    <n v="0"/>
    <n v="0"/>
    <n v="-3.2"/>
    <n v="98.7"/>
    <n v="109.7"/>
    <n v="-11.1"/>
    <n v="7.8"/>
    <n v="0.8"/>
    <n v="9.6"/>
    <n v="1.5"/>
    <n v="10.5"/>
    <n v="5.6"/>
    <n v="12"/>
    <n v="57.8"/>
    <n v="58"/>
    <n v="18.899999999999999"/>
    <n v="103.67"/>
    <n v="6.5"/>
    <n v="529"/>
  </r>
  <r>
    <x v="418"/>
    <x v="23"/>
    <n v="28"/>
    <n v="15"/>
    <n v="8"/>
    <n v="7"/>
    <n v="20.8"/>
    <n v="113"/>
    <n v="42"/>
    <n v="89"/>
    <n v="47.7"/>
    <n v="21"/>
    <n v="48"/>
    <n v="43.8"/>
    <n v="8"/>
    <n v="15"/>
    <n v="46.7"/>
    <n v="14"/>
    <n v="38"/>
    <n v="53"/>
    <n v="29"/>
    <n v="14"/>
    <n v="33"/>
    <n v="9"/>
    <n v="14"/>
    <n v="330"/>
    <n v="0"/>
    <n v="0"/>
    <n v="0.1"/>
    <n v="105.3"/>
    <n v="105.1"/>
    <n v="0.2"/>
    <n v="12.6"/>
    <n v="2.15"/>
    <n v="20.7"/>
    <n v="3.8"/>
    <n v="12.2"/>
    <n v="7.6"/>
    <n v="9.6"/>
    <n v="59.7"/>
    <n v="59.2"/>
    <n v="13.5"/>
    <n v="102.37"/>
    <n v="11.4"/>
    <n v="666"/>
  </r>
  <r>
    <x v="419"/>
    <x v="4"/>
    <n v="24"/>
    <n v="31"/>
    <n v="27"/>
    <n v="4"/>
    <n v="12.4"/>
    <n v="112"/>
    <n v="40"/>
    <n v="109"/>
    <n v="35.5"/>
    <n v="25"/>
    <n v="81"/>
    <n v="31.7"/>
    <n v="9"/>
    <n v="12"/>
    <n v="75"/>
    <n v="19"/>
    <n v="47"/>
    <n v="65"/>
    <n v="34"/>
    <n v="12"/>
    <n v="16"/>
    <n v="3"/>
    <n v="22"/>
    <n v="285"/>
    <n v="0"/>
    <n v="0"/>
    <n v="0.9"/>
    <n v="109.9"/>
    <n v="105.8"/>
    <n v="4.0999999999999996"/>
    <n v="12"/>
    <n v="2.75"/>
    <n v="20.5"/>
    <n v="4.8"/>
    <n v="11.7"/>
    <n v="8.3000000000000007"/>
    <n v="7.5"/>
    <n v="47.3"/>
    <n v="49"/>
    <n v="14.3"/>
    <n v="95.28"/>
    <n v="7.4"/>
    <n v="761"/>
  </r>
  <r>
    <x v="420"/>
    <x v="24"/>
    <n v="24"/>
    <n v="15"/>
    <n v="1"/>
    <n v="14"/>
    <n v="24.7"/>
    <n v="110"/>
    <n v="42"/>
    <n v="131"/>
    <n v="32.299999999999997"/>
    <n v="12"/>
    <n v="56"/>
    <n v="21.4"/>
    <n v="14"/>
    <n v="15"/>
    <n v="86.7"/>
    <n v="14"/>
    <n v="36"/>
    <n v="50"/>
    <n v="56"/>
    <n v="32"/>
    <n v="15"/>
    <n v="2"/>
    <n v="23"/>
    <n v="273"/>
    <n v="0"/>
    <n v="0"/>
    <n v="-11.3"/>
    <n v="99.5"/>
    <n v="121.8"/>
    <n v="-22.3"/>
    <n v="23.5"/>
    <n v="1.81"/>
    <n v="25"/>
    <n v="3.3"/>
    <n v="9.8000000000000007"/>
    <n v="6.4"/>
    <n v="13.8"/>
    <n v="36.9"/>
    <n v="39.9"/>
    <n v="18.600000000000001"/>
    <n v="99.5"/>
    <n v="5.0999999999999996"/>
    <n v="769"/>
  </r>
  <r>
    <x v="421"/>
    <x v="9"/>
    <n v="36"/>
    <n v="29"/>
    <n v="12"/>
    <n v="17"/>
    <n v="11.1"/>
    <n v="110"/>
    <n v="35"/>
    <n v="96"/>
    <n v="37.5"/>
    <n v="26"/>
    <n v="75"/>
    <n v="34.700000000000003"/>
    <n v="12"/>
    <n v="15"/>
    <n v="92.9"/>
    <n v="3"/>
    <n v="17"/>
    <n v="23"/>
    <n v="26"/>
    <n v="17"/>
    <n v="12"/>
    <n v="3"/>
    <n v="23"/>
    <n v="209"/>
    <n v="0"/>
    <n v="0"/>
    <n v="-0.5"/>
    <n v="104.6"/>
    <n v="108"/>
    <n v="-3.4"/>
    <n v="12.3"/>
    <n v="1.53"/>
    <n v="18.100000000000001"/>
    <n v="1.2"/>
    <n v="5.0999999999999996"/>
    <n v="3.2"/>
    <n v="11.8"/>
    <n v="51"/>
    <n v="54.3"/>
    <n v="15"/>
    <n v="103.29"/>
    <n v="5.5"/>
    <n v="694"/>
  </r>
  <r>
    <x v="422"/>
    <x v="16"/>
    <n v="29"/>
    <n v="46"/>
    <n v="26"/>
    <n v="20"/>
    <n v="12.1"/>
    <n v="110"/>
    <n v="41"/>
    <n v="92"/>
    <n v="45.1"/>
    <n v="23"/>
    <n v="60"/>
    <n v="37.1"/>
    <n v="9"/>
    <n v="9"/>
    <n v="87.5"/>
    <n v="37"/>
    <n v="115"/>
    <n v="152"/>
    <n v="41"/>
    <n v="14"/>
    <n v="32"/>
    <n v="14"/>
    <n v="32"/>
    <n v="474"/>
    <n v="0"/>
    <n v="0"/>
    <n v="1.3"/>
    <n v="113.2"/>
    <n v="107.8"/>
    <n v="5.4"/>
    <n v="9.5"/>
    <n v="2.63"/>
    <n v="27.6"/>
    <n v="6"/>
    <n v="18.7"/>
    <n v="12.3"/>
    <n v="10.5"/>
    <n v="57.7"/>
    <n v="59.2"/>
    <n v="7.7"/>
    <n v="105.46"/>
    <n v="9.4"/>
    <n v="1223"/>
  </r>
  <r>
    <x v="423"/>
    <x v="29"/>
    <n v="24"/>
    <n v="9"/>
    <n v="3"/>
    <n v="6"/>
    <n v="28.2"/>
    <n v="109"/>
    <n v="45"/>
    <n v="102"/>
    <n v="44.1"/>
    <n v="9"/>
    <n v="35"/>
    <n v="25.7"/>
    <n v="10"/>
    <n v="16"/>
    <n v="62.5"/>
    <n v="17"/>
    <n v="48"/>
    <n v="65"/>
    <n v="20"/>
    <n v="15"/>
    <n v="4"/>
    <n v="1"/>
    <n v="21"/>
    <n v="217"/>
    <n v="3"/>
    <n v="0"/>
    <n v="-7.3"/>
    <n v="102.8"/>
    <n v="115.5"/>
    <n v="-12.6"/>
    <n v="13.7"/>
    <n v="1.33"/>
    <n v="14"/>
    <n v="6"/>
    <n v="19.399999999999999"/>
    <n v="12.3"/>
    <n v="10.5"/>
    <n v="48.5"/>
    <n v="50"/>
    <n v="20.5"/>
    <n v="100.3"/>
    <n v="8.6"/>
    <n v="531"/>
  </r>
  <r>
    <x v="424"/>
    <x v="4"/>
    <n v="34"/>
    <n v="26"/>
    <n v="16"/>
    <n v="10"/>
    <n v="12.1"/>
    <n v="109"/>
    <n v="39"/>
    <n v="91"/>
    <n v="42.2"/>
    <n v="23"/>
    <n v="65"/>
    <n v="36.4"/>
    <n v="8"/>
    <n v="13"/>
    <n v="66.7"/>
    <n v="26"/>
    <n v="47"/>
    <n v="73"/>
    <n v="18"/>
    <n v="8"/>
    <n v="8"/>
    <n v="13"/>
    <n v="34"/>
    <n v="273"/>
    <n v="0"/>
    <n v="0"/>
    <n v="-1.9"/>
    <n v="104.9"/>
    <n v="109.8"/>
    <n v="-5"/>
    <n v="7.8"/>
    <n v="2.13"/>
    <n v="14"/>
    <n v="7.6"/>
    <n v="13.8"/>
    <n v="10.6"/>
    <n v="6.6"/>
    <n v="55.6"/>
    <n v="56.7"/>
    <n v="13.9"/>
    <n v="98.16"/>
    <n v="8"/>
    <n v="634"/>
  </r>
  <r>
    <x v="425"/>
    <x v="28"/>
    <n v="22"/>
    <n v="43"/>
    <n v="22"/>
    <n v="21"/>
    <n v="8.5"/>
    <n v="108"/>
    <n v="34"/>
    <n v="90"/>
    <n v="38.9"/>
    <n v="13"/>
    <n v="47"/>
    <n v="25"/>
    <n v="26"/>
    <n v="39"/>
    <n v="71.099999999999994"/>
    <n v="17"/>
    <n v="43"/>
    <n v="56"/>
    <n v="34"/>
    <n v="17"/>
    <n v="26"/>
    <n v="4"/>
    <n v="43"/>
    <n v="297"/>
    <n v="0"/>
    <n v="0"/>
    <n v="-0.7"/>
    <n v="105.6"/>
    <n v="108.9"/>
    <n v="-3.3"/>
    <n v="13"/>
    <n v="2.06"/>
    <n v="21"/>
    <n v="4.4000000000000004"/>
    <n v="10.7"/>
    <n v="7.6"/>
    <n v="10.199999999999999"/>
    <n v="45.6"/>
    <n v="51.1"/>
    <n v="13.9"/>
    <n v="102.79"/>
    <n v="6.3"/>
    <n v="779"/>
  </r>
  <r>
    <x v="426"/>
    <x v="24"/>
    <n v="39"/>
    <n v="37"/>
    <n v="10"/>
    <n v="27"/>
    <n v="11.1"/>
    <n v="107"/>
    <n v="48"/>
    <n v="96"/>
    <n v="49.5"/>
    <n v="0"/>
    <n v="4"/>
    <n v="50"/>
    <n v="11"/>
    <n v="19"/>
    <n v="60"/>
    <n v="52"/>
    <n v="70"/>
    <n v="118"/>
    <n v="22"/>
    <n v="26"/>
    <n v="7"/>
    <n v="19"/>
    <n v="56"/>
    <n v="337"/>
    <n v="1"/>
    <n v="0"/>
    <n v="-3.4"/>
    <n v="96.6"/>
    <n v="110.4"/>
    <n v="-13.8"/>
    <n v="8.1"/>
    <n v="0.84"/>
    <n v="14"/>
    <n v="11.4"/>
    <n v="15.1"/>
    <n v="13.3"/>
    <n v="16.7"/>
    <n v="50"/>
    <n v="51.5"/>
    <n v="13.2"/>
    <n v="99.38"/>
    <n v="6.8"/>
    <n v="843"/>
  </r>
  <r>
    <x v="427"/>
    <x v="22"/>
    <n v="21"/>
    <n v="15"/>
    <n v="3"/>
    <n v="12"/>
    <n v="21"/>
    <n v="107"/>
    <n v="38"/>
    <n v="98"/>
    <n v="37.799999999999997"/>
    <n v="14"/>
    <n v="47"/>
    <n v="30.4"/>
    <n v="18"/>
    <n v="21"/>
    <n v="85.7"/>
    <n v="3"/>
    <n v="24"/>
    <n v="27"/>
    <n v="38"/>
    <n v="18"/>
    <n v="5"/>
    <n v="8"/>
    <n v="26"/>
    <n v="212"/>
    <n v="0"/>
    <n v="0"/>
    <n v="-6.4"/>
    <n v="107.2"/>
    <n v="123.5"/>
    <n v="-16.399999999999999"/>
    <n v="16.5"/>
    <n v="2.06"/>
    <n v="22.7"/>
    <n v="0.9"/>
    <n v="7.7"/>
    <n v="4.0999999999999996"/>
    <n v="11"/>
    <n v="44.9"/>
    <n v="49.4"/>
    <n v="16.399999999999999"/>
    <n v="101.36"/>
    <n v="4.9000000000000004"/>
    <n v="670"/>
  </r>
  <r>
    <x v="428"/>
    <x v="14"/>
    <n v="25"/>
    <n v="33"/>
    <n v="15"/>
    <n v="18"/>
    <n v="17.899999999999999"/>
    <n v="106"/>
    <n v="40"/>
    <n v="92"/>
    <n v="40.4"/>
    <n v="13"/>
    <n v="46"/>
    <n v="27.7"/>
    <n v="17"/>
    <n v="26"/>
    <n v="61.5"/>
    <n v="17"/>
    <n v="50"/>
    <n v="66"/>
    <n v="23"/>
    <n v="13"/>
    <n v="33"/>
    <n v="10"/>
    <n v="43"/>
    <n v="333"/>
    <n v="0"/>
    <n v="0"/>
    <n v="-2.8"/>
    <n v="107.6"/>
    <n v="115.9"/>
    <n v="-8.4"/>
    <n v="4.9000000000000004"/>
    <n v="1.83"/>
    <n v="15.8"/>
    <n v="2.9"/>
    <n v="8.1"/>
    <n v="5.6"/>
    <n v="8.6"/>
    <n v="47.3"/>
    <n v="49.8"/>
    <n v="8.4"/>
    <n v="100.53"/>
    <n v="4"/>
    <n v="1240"/>
  </r>
  <r>
    <x v="429"/>
    <x v="28"/>
    <n v="25"/>
    <n v="14"/>
    <n v="3"/>
    <n v="11"/>
    <n v="18.2"/>
    <n v="106"/>
    <n v="42"/>
    <n v="70"/>
    <n v="60"/>
    <n v="0"/>
    <n v="0"/>
    <n v="0"/>
    <n v="22"/>
    <n v="31"/>
    <n v="74.2"/>
    <n v="46"/>
    <n v="76"/>
    <n v="122"/>
    <n v="8"/>
    <n v="10"/>
    <n v="13"/>
    <n v="1"/>
    <n v="24"/>
    <n v="300"/>
    <n v="4"/>
    <n v="0"/>
    <n v="-0.8"/>
    <n v="113.4"/>
    <n v="115.8"/>
    <n v="-2.5"/>
    <n v="5.0999999999999996"/>
    <n v="0.9"/>
    <n v="8.9"/>
    <n v="16"/>
    <n v="28.6"/>
    <n v="22.1"/>
    <n v="9.9"/>
    <n v="60"/>
    <n v="64"/>
    <n v="14.4"/>
    <n v="101.2"/>
    <n v="14"/>
    <n v="539"/>
  </r>
  <r>
    <x v="430"/>
    <x v="17"/>
    <n v="20"/>
    <n v="50"/>
    <n v="31"/>
    <n v="19"/>
    <n v="7.6"/>
    <n v="105"/>
    <n v="35"/>
    <n v="90"/>
    <n v="38"/>
    <n v="15"/>
    <n v="50"/>
    <n v="30"/>
    <n v="20"/>
    <n v="20"/>
    <n v="81.8"/>
    <n v="25"/>
    <n v="50"/>
    <n v="70"/>
    <n v="20"/>
    <n v="10"/>
    <n v="20"/>
    <n v="10"/>
    <n v="40"/>
    <n v="290"/>
    <n v="0"/>
    <n v="0"/>
    <n v="0.4"/>
    <n v="106.1"/>
    <n v="105.4"/>
    <n v="0.6"/>
    <n v="6.3"/>
    <n v="1.58"/>
    <n v="14.4"/>
    <n v="6"/>
    <n v="12.6"/>
    <n v="9.3000000000000007"/>
    <n v="9.1"/>
    <n v="46.2"/>
    <n v="50.6"/>
    <n v="11.8"/>
    <n v="105.49"/>
    <n v="5.9"/>
    <n v="842"/>
  </r>
  <r>
    <x v="431"/>
    <x v="16"/>
    <n v="25"/>
    <n v="25"/>
    <n v="14"/>
    <n v="11"/>
    <n v="10.1"/>
    <n v="105"/>
    <n v="35"/>
    <n v="83"/>
    <n v="41.5"/>
    <n v="20"/>
    <n v="53"/>
    <n v="36.5"/>
    <n v="20"/>
    <n v="20"/>
    <n v="100"/>
    <n v="13"/>
    <n v="18"/>
    <n v="30"/>
    <n v="35"/>
    <n v="5"/>
    <n v="10"/>
    <n v="0"/>
    <n v="23"/>
    <n v="218"/>
    <n v="0"/>
    <n v="0"/>
    <n v="1.6"/>
    <n v="116.4"/>
    <n v="109.6"/>
    <n v="6.8"/>
    <n v="18.2"/>
    <n v="5.67"/>
    <n v="26.2"/>
    <n v="4.3"/>
    <n v="7"/>
    <n v="5.6"/>
    <n v="4.5999999999999996"/>
    <n v="53"/>
    <n v="58.7"/>
    <n v="14.8"/>
    <n v="103.04"/>
    <n v="8.6999999999999993"/>
    <n v="543"/>
  </r>
  <r>
    <x v="432"/>
    <x v="14"/>
    <n v="33"/>
    <n v="34"/>
    <n v="18"/>
    <n v="16"/>
    <n v="18.7"/>
    <n v="102"/>
    <n v="37"/>
    <n v="95"/>
    <n v="38.5"/>
    <n v="14"/>
    <n v="48"/>
    <n v="26.5"/>
    <n v="17"/>
    <n v="20"/>
    <n v="76.2"/>
    <n v="24"/>
    <n v="71"/>
    <n v="95"/>
    <n v="44"/>
    <n v="24"/>
    <n v="10"/>
    <n v="17"/>
    <n v="65"/>
    <n v="337"/>
    <n v="0"/>
    <n v="0"/>
    <n v="-0.5"/>
    <n v="111.9"/>
    <n v="112.3"/>
    <n v="-0.4"/>
    <n v="8.6999999999999993"/>
    <n v="1.87"/>
    <n v="25"/>
    <n v="4"/>
    <n v="10.5"/>
    <n v="7.3"/>
    <n v="13.4"/>
    <n v="45.3"/>
    <n v="48.9"/>
    <n v="8.5"/>
    <n v="101.75"/>
    <n v="3.5"/>
    <n v="1345"/>
  </r>
  <r>
    <x v="433"/>
    <x v="13"/>
    <n v="28"/>
    <n v="39"/>
    <n v="24"/>
    <n v="15"/>
    <n v="6.4"/>
    <n v="98"/>
    <n v="43"/>
    <n v="101"/>
    <n v="40.6"/>
    <n v="4"/>
    <n v="23"/>
    <n v="22.7"/>
    <n v="12"/>
    <n v="16"/>
    <n v="73.3"/>
    <n v="16"/>
    <n v="31"/>
    <n v="47"/>
    <n v="47"/>
    <n v="20"/>
    <n v="16"/>
    <n v="4"/>
    <n v="20"/>
    <n v="257"/>
    <n v="0"/>
    <n v="0"/>
    <n v="-0.4"/>
    <n v="105"/>
    <n v="107.8"/>
    <n v="-2.8"/>
    <n v="27.4"/>
    <n v="2.67"/>
    <n v="27.6"/>
    <n v="5.5"/>
    <n v="13.1"/>
    <n v="9"/>
    <n v="10.3"/>
    <n v="43.1"/>
    <n v="45.5"/>
    <n v="20.399999999999999"/>
    <n v="103.26"/>
    <n v="9.3000000000000007"/>
    <n v="536"/>
  </r>
  <r>
    <x v="434"/>
    <x v="19"/>
    <n v="29"/>
    <n v="46"/>
    <n v="17"/>
    <n v="29"/>
    <n v="6.8"/>
    <n v="97"/>
    <n v="32"/>
    <n v="74"/>
    <n v="43.1"/>
    <n v="18"/>
    <n v="46"/>
    <n v="41.3"/>
    <n v="18"/>
    <n v="23"/>
    <n v="77.3"/>
    <n v="5"/>
    <n v="23"/>
    <n v="32"/>
    <n v="51"/>
    <n v="14"/>
    <n v="14"/>
    <n v="0"/>
    <n v="18"/>
    <n v="244"/>
    <n v="0"/>
    <n v="0"/>
    <n v="1.2"/>
    <n v="118"/>
    <n v="108.9"/>
    <n v="9.1"/>
    <n v="20.8"/>
    <n v="3.19"/>
    <n v="34.200000000000003"/>
    <n v="2.1"/>
    <n v="7.4"/>
    <n v="5"/>
    <n v="10.7"/>
    <n v="56.3"/>
    <n v="60"/>
    <n v="13.4"/>
    <n v="99.58"/>
    <n v="8.3000000000000007"/>
    <n v="651"/>
  </r>
  <r>
    <x v="435"/>
    <x v="14"/>
    <n v="25"/>
    <n v="38"/>
    <n v="17"/>
    <n v="21"/>
    <n v="10.3"/>
    <n v="95"/>
    <n v="42"/>
    <n v="72"/>
    <n v="55.4"/>
    <n v="0"/>
    <n v="0"/>
    <n v="0"/>
    <n v="11"/>
    <n v="34"/>
    <n v="39.4"/>
    <n v="46"/>
    <n v="61"/>
    <n v="106"/>
    <n v="15"/>
    <n v="23"/>
    <n v="8"/>
    <n v="15"/>
    <n v="68"/>
    <n v="293"/>
    <n v="0"/>
    <n v="0"/>
    <n v="-0.5"/>
    <n v="105.6"/>
    <n v="107.8"/>
    <n v="-2.2000000000000002"/>
    <n v="5.8"/>
    <n v="0.67"/>
    <n v="12.3"/>
    <n v="11.4"/>
    <n v="14.1"/>
    <n v="12.8"/>
    <n v="18.5"/>
    <n v="55.4"/>
    <n v="53.7"/>
    <n v="12.1"/>
    <n v="99.06"/>
    <n v="4.4000000000000004"/>
    <n v="809"/>
  </r>
  <r>
    <x v="436"/>
    <x v="3"/>
    <n v="26"/>
    <n v="53"/>
    <n v="34"/>
    <n v="19"/>
    <n v="11.9"/>
    <n v="95"/>
    <n v="42"/>
    <n v="69"/>
    <n v="63.4"/>
    <n v="0"/>
    <n v="0"/>
    <n v="0"/>
    <n v="11"/>
    <n v="11"/>
    <n v="61.5"/>
    <n v="69"/>
    <n v="127"/>
    <n v="196"/>
    <n v="32"/>
    <n v="32"/>
    <n v="11"/>
    <n v="21"/>
    <n v="64"/>
    <n v="440"/>
    <n v="0"/>
    <n v="0"/>
    <n v="0.5"/>
    <n v="111.5"/>
    <n v="109.1"/>
    <n v="2.4"/>
    <n v="6.8"/>
    <n v="1"/>
    <n v="23.1"/>
    <n v="11.4"/>
    <n v="19.600000000000001"/>
    <n v="15.6"/>
    <n v="23.1"/>
    <n v="63.4"/>
    <n v="63.9"/>
    <n v="7.4"/>
    <n v="98.7"/>
    <n v="7"/>
    <n v="1295"/>
  </r>
  <r>
    <x v="437"/>
    <x v="29"/>
    <n v="23"/>
    <n v="36"/>
    <n v="13"/>
    <n v="23"/>
    <n v="13"/>
    <n v="94"/>
    <n v="36"/>
    <n v="108"/>
    <n v="32.700000000000003"/>
    <n v="7"/>
    <n v="40"/>
    <n v="17.5"/>
    <n v="14"/>
    <n v="22"/>
    <n v="76.2"/>
    <n v="14"/>
    <n v="25"/>
    <n v="40"/>
    <n v="65"/>
    <n v="22"/>
    <n v="32"/>
    <n v="4"/>
    <n v="36"/>
    <n v="317"/>
    <n v="0"/>
    <n v="0"/>
    <n v="-3.3"/>
    <n v="98.5"/>
    <n v="110.4"/>
    <n v="-12"/>
    <n v="20.5"/>
    <n v="3"/>
    <n v="31.3"/>
    <n v="2.4"/>
    <n v="6.1"/>
    <n v="4.0999999999999996"/>
    <n v="10.4"/>
    <n v="36"/>
    <n v="40"/>
    <n v="12.2"/>
    <n v="99.16"/>
    <n v="5.0999999999999996"/>
    <n v="969"/>
  </r>
  <r>
    <x v="438"/>
    <x v="14"/>
    <n v="24"/>
    <n v="37"/>
    <n v="23"/>
    <n v="14"/>
    <n v="9.1999999999999993"/>
    <n v="89"/>
    <n v="41"/>
    <n v="67"/>
    <n v="60.6"/>
    <n v="0"/>
    <n v="4"/>
    <n v="0"/>
    <n v="11"/>
    <n v="15"/>
    <n v="71.400000000000006"/>
    <n v="33"/>
    <n v="56"/>
    <n v="93"/>
    <n v="15"/>
    <n v="11"/>
    <n v="7"/>
    <n v="15"/>
    <n v="44"/>
    <n v="285"/>
    <n v="0"/>
    <n v="0"/>
    <n v="-0.2"/>
    <n v="104.7"/>
    <n v="106"/>
    <n v="-1.3"/>
    <n v="6.8"/>
    <n v="1.33"/>
    <n v="15.8"/>
    <n v="9.5"/>
    <n v="16.5"/>
    <n v="12.9"/>
    <n v="11.9"/>
    <n v="60.6"/>
    <n v="62.4"/>
    <n v="10.4"/>
    <n v="101.19"/>
    <n v="8.1999999999999993"/>
    <n v="721"/>
  </r>
  <r>
    <x v="439"/>
    <x v="6"/>
    <n v="27"/>
    <n v="14"/>
    <n v="8"/>
    <n v="6"/>
    <n v="19.2"/>
    <n v="87"/>
    <n v="31"/>
    <n v="62"/>
    <n v="50.8"/>
    <n v="15"/>
    <n v="29"/>
    <n v="53.3"/>
    <n v="8"/>
    <n v="13"/>
    <n v="75"/>
    <n v="13"/>
    <n v="24"/>
    <n v="36"/>
    <n v="22"/>
    <n v="17"/>
    <n v="21"/>
    <n v="6"/>
    <n v="29"/>
    <n v="228"/>
    <n v="0"/>
    <n v="0"/>
    <n v="2.7"/>
    <n v="107.3"/>
    <n v="100.5"/>
    <n v="6.8"/>
    <n v="12.8"/>
    <n v="1.35"/>
    <n v="21.5"/>
    <n v="4.2"/>
    <n v="8.6"/>
    <n v="6.4"/>
    <n v="15.9"/>
    <n v="63.9"/>
    <n v="65.599999999999994"/>
    <n v="13.1"/>
    <n v="100.58"/>
    <n v="8.1999999999999993"/>
    <n v="562"/>
  </r>
  <r>
    <x v="440"/>
    <x v="10"/>
    <n v="27"/>
    <n v="17"/>
    <n v="10"/>
    <n v="7"/>
    <n v="17.100000000000001"/>
    <n v="87"/>
    <n v="37"/>
    <n v="56"/>
    <n v="66.099999999999994"/>
    <n v="0"/>
    <n v="0"/>
    <n v="0"/>
    <n v="14"/>
    <n v="19"/>
    <n v="68.400000000000006"/>
    <n v="53"/>
    <n v="49"/>
    <n v="100"/>
    <n v="14"/>
    <n v="10"/>
    <n v="15"/>
    <n v="19"/>
    <n v="26"/>
    <n v="320"/>
    <n v="2"/>
    <n v="0"/>
    <n v="1.4"/>
    <n v="113.8"/>
    <n v="108.2"/>
    <n v="5.7"/>
    <n v="6.2"/>
    <n v="1.3"/>
    <n v="14.8"/>
    <n v="17.399999999999999"/>
    <n v="17.600000000000001"/>
    <n v="17.5"/>
    <n v="11.4"/>
    <n v="66.099999999999994"/>
    <n v="67.599999999999994"/>
    <n v="10.9"/>
    <n v="96.37"/>
    <n v="12.2"/>
    <n v="578"/>
  </r>
  <r>
    <x v="441"/>
    <x v="27"/>
    <n v="24"/>
    <n v="13"/>
    <n v="3"/>
    <n v="10"/>
    <n v="14.1"/>
    <n v="86"/>
    <n v="31"/>
    <n v="78"/>
    <n v="39.700000000000003"/>
    <n v="13"/>
    <n v="44"/>
    <n v="29.5"/>
    <n v="10"/>
    <n v="13"/>
    <n v="84.6"/>
    <n v="4"/>
    <n v="16"/>
    <n v="20"/>
    <n v="23"/>
    <n v="14"/>
    <n v="3"/>
    <n v="3"/>
    <n v="18"/>
    <n v="146"/>
    <n v="0"/>
    <n v="0"/>
    <n v="-2"/>
    <n v="104.5"/>
    <n v="110.4"/>
    <n v="-5.9"/>
    <n v="19.8"/>
    <n v="1.71"/>
    <n v="19.8"/>
    <n v="2"/>
    <n v="7.6"/>
    <n v="4.8"/>
    <n v="11.6"/>
    <n v="48.1"/>
    <n v="51.4"/>
    <n v="21.3"/>
    <n v="105.49"/>
    <n v="6.5"/>
    <n v="402"/>
  </r>
  <r>
    <x v="442"/>
    <x v="27"/>
    <n v="31"/>
    <n v="24"/>
    <n v="3"/>
    <n v="21"/>
    <n v="21.3"/>
    <n v="84"/>
    <n v="41"/>
    <n v="122"/>
    <n v="32.799999999999997"/>
    <n v="0"/>
    <n v="7"/>
    <n v="16.7"/>
    <n v="5"/>
    <n v="7"/>
    <n v="57.1"/>
    <n v="14"/>
    <n v="65"/>
    <n v="79"/>
    <n v="166"/>
    <n v="60"/>
    <n v="24"/>
    <n v="12"/>
    <n v="36"/>
    <n v="475"/>
    <n v="2"/>
    <n v="0"/>
    <n v="-6.2"/>
    <n v="99.7"/>
    <n v="113.1"/>
    <n v="-13.4"/>
    <n v="44.3"/>
    <n v="2.81"/>
    <n v="47.4"/>
    <n v="2.7"/>
    <n v="11.4"/>
    <n v="7.1"/>
    <n v="16.899999999999999"/>
    <n v="33.200000000000003"/>
    <n v="34"/>
    <n v="15.1"/>
    <n v="101.3"/>
    <n v="7.9"/>
    <n v="1076"/>
  </r>
  <r>
    <x v="443"/>
    <x v="4"/>
    <n v="21"/>
    <n v="52"/>
    <n v="39"/>
    <n v="13"/>
    <n v="7.8"/>
    <n v="83"/>
    <n v="31"/>
    <n v="83"/>
    <n v="36.1"/>
    <n v="16"/>
    <n v="57"/>
    <n v="27.3"/>
    <n v="5"/>
    <n v="10"/>
    <n v="58.3"/>
    <n v="21"/>
    <n v="47"/>
    <n v="68"/>
    <n v="21"/>
    <n v="16"/>
    <n v="10"/>
    <n v="10"/>
    <n v="31"/>
    <n v="244"/>
    <n v="0"/>
    <n v="0"/>
    <n v="0.5"/>
    <n v="111.8"/>
    <n v="108"/>
    <n v="3.8"/>
    <n v="6.4"/>
    <n v="1.1200000000000001"/>
    <n v="15.3"/>
    <n v="5.7"/>
    <n v="11.3"/>
    <n v="8.5"/>
    <n v="13.7"/>
    <n v="45.2"/>
    <n v="46.4"/>
    <n v="11"/>
    <n v="98.14"/>
    <n v="4.5"/>
    <n v="821"/>
  </r>
  <r>
    <x v="444"/>
    <x v="5"/>
    <n v="32"/>
    <n v="25"/>
    <n v="6"/>
    <n v="19"/>
    <n v="5.8"/>
    <n v="83"/>
    <n v="28"/>
    <n v="75"/>
    <n v="36.5"/>
    <n v="10"/>
    <n v="38"/>
    <n v="24.3"/>
    <n v="20"/>
    <n v="20"/>
    <n v="95.2"/>
    <n v="3"/>
    <n v="18"/>
    <n v="20"/>
    <n v="10"/>
    <n v="10"/>
    <n v="5"/>
    <n v="0"/>
    <n v="5"/>
    <n v="133"/>
    <n v="0"/>
    <n v="0"/>
    <n v="1"/>
    <n v="104.7"/>
    <n v="98.7"/>
    <n v="6"/>
    <n v="12.1"/>
    <n v="1.1000000000000001"/>
    <n v="10.5"/>
    <n v="2"/>
    <n v="10.4"/>
    <n v="6.4"/>
    <n v="9.5"/>
    <n v="42.6"/>
    <n v="49.9"/>
    <n v="26.9"/>
    <n v="104.99"/>
    <n v="8.9"/>
    <n v="318"/>
  </r>
  <r>
    <x v="445"/>
    <x v="10"/>
    <n v="24"/>
    <n v="41"/>
    <n v="27"/>
    <n v="14"/>
    <n v="7.2"/>
    <n v="82"/>
    <n v="29"/>
    <n v="82"/>
    <n v="32.9"/>
    <n v="12"/>
    <n v="45"/>
    <n v="29.8"/>
    <n v="12"/>
    <n v="16"/>
    <n v="76.5"/>
    <n v="8"/>
    <n v="21"/>
    <n v="29"/>
    <n v="70"/>
    <n v="16"/>
    <n v="12"/>
    <n v="4"/>
    <n v="25"/>
    <n v="250"/>
    <n v="0"/>
    <n v="0"/>
    <n v="0"/>
    <n v="104.1"/>
    <n v="104.4"/>
    <n v="-0.3"/>
    <n v="32.1"/>
    <n v="3.89"/>
    <n v="39.299999999999997"/>
    <n v="2.7"/>
    <n v="5.9"/>
    <n v="4.3"/>
    <n v="10.1"/>
    <n v="41.5"/>
    <n v="45.3"/>
    <n v="15.2"/>
    <n v="102.35"/>
    <n v="7.2"/>
    <n v="632"/>
  </r>
  <r>
    <x v="446"/>
    <x v="21"/>
    <n v="23"/>
    <n v="34"/>
    <n v="4"/>
    <n v="30"/>
    <n v="7.1"/>
    <n v="82"/>
    <n v="31"/>
    <n v="78"/>
    <n v="41"/>
    <n v="7"/>
    <n v="31"/>
    <n v="24.1"/>
    <n v="10"/>
    <n v="14"/>
    <n v="60"/>
    <n v="10"/>
    <n v="27"/>
    <n v="37"/>
    <n v="10"/>
    <n v="7"/>
    <n v="14"/>
    <n v="7"/>
    <n v="17"/>
    <n v="197"/>
    <n v="0"/>
    <n v="0"/>
    <n v="-0.8"/>
    <n v="104.7"/>
    <n v="107.2"/>
    <n v="-2.5"/>
    <n v="6.4"/>
    <n v="1.57"/>
    <n v="10.7"/>
    <n v="3.6"/>
    <n v="10.4"/>
    <n v="6.9"/>
    <n v="6.8"/>
    <n v="45.5"/>
    <n v="47.3"/>
    <n v="15"/>
    <n v="106.66"/>
    <n v="6.7"/>
    <n v="531"/>
  </r>
  <r>
    <x v="447"/>
    <x v="10"/>
    <n v="24"/>
    <n v="35"/>
    <n v="19"/>
    <n v="16"/>
    <n v="4.5"/>
    <n v="81"/>
    <n v="28"/>
    <n v="67"/>
    <n v="41.5"/>
    <n v="11"/>
    <n v="28"/>
    <n v="34.5"/>
    <n v="14"/>
    <n v="21"/>
    <n v="75"/>
    <n v="11"/>
    <n v="32"/>
    <n v="46"/>
    <n v="11"/>
    <n v="14"/>
    <n v="4"/>
    <n v="0"/>
    <n v="14"/>
    <n v="147"/>
    <n v="0"/>
    <n v="0"/>
    <n v="0.3"/>
    <n v="94.8"/>
    <n v="92"/>
    <n v="2.9"/>
    <n v="12.4"/>
    <n v="0.73"/>
    <n v="10.9"/>
    <n v="6.4"/>
    <n v="19.8"/>
    <n v="12.9"/>
    <n v="14.9"/>
    <n v="49.2"/>
    <n v="53.5"/>
    <n v="22.2"/>
    <n v="106.73"/>
    <n v="12.3"/>
    <n v="347"/>
  </r>
  <r>
    <x v="448"/>
    <x v="21"/>
    <n v="21"/>
    <n v="16"/>
    <n v="3"/>
    <n v="13"/>
    <n v="14.9"/>
    <n v="78"/>
    <n v="30"/>
    <n v="74"/>
    <n v="41.9"/>
    <n v="6"/>
    <n v="22"/>
    <n v="30.4"/>
    <n v="10"/>
    <n v="10"/>
    <n v="90"/>
    <n v="11"/>
    <n v="34"/>
    <n v="45"/>
    <n v="18"/>
    <n v="13"/>
    <n v="10"/>
    <n v="0"/>
    <n v="14"/>
    <n v="171"/>
    <n v="0"/>
    <n v="0"/>
    <n v="-8.1999999999999993"/>
    <n v="93.6"/>
    <n v="120.7"/>
    <n v="-27.1"/>
    <n v="12"/>
    <n v="1.42"/>
    <n v="16"/>
    <n v="4"/>
    <n v="14.1"/>
    <n v="8.6"/>
    <n v="11.3"/>
    <n v="46.6"/>
    <n v="49.7"/>
    <n v="15.5"/>
    <n v="100.58"/>
    <n v="7.4"/>
    <n v="502"/>
  </r>
  <r>
    <x v="449"/>
    <x v="22"/>
    <n v="26"/>
    <n v="15"/>
    <n v="4"/>
    <n v="11"/>
    <n v="14.4"/>
    <n v="77"/>
    <n v="26"/>
    <n v="54"/>
    <n v="48.1"/>
    <n v="15"/>
    <n v="41"/>
    <n v="36.6"/>
    <n v="9"/>
    <n v="12"/>
    <n v="75"/>
    <n v="9"/>
    <n v="38"/>
    <n v="47"/>
    <n v="5"/>
    <n v="6"/>
    <n v="11"/>
    <n v="11"/>
    <n v="21"/>
    <n v="192"/>
    <n v="0"/>
    <n v="0"/>
    <n v="1.3"/>
    <n v="117.3"/>
    <n v="111.8"/>
    <n v="5.5"/>
    <n v="2.2999999999999998"/>
    <n v="0.67"/>
    <n v="5.8"/>
    <n v="4.0999999999999996"/>
    <n v="16.100000000000001"/>
    <n v="10.3"/>
    <n v="8.6999999999999993"/>
    <n v="62"/>
    <n v="64.099999999999994"/>
    <n v="12.3"/>
    <n v="104.64"/>
    <n v="7.9"/>
    <n v="468"/>
  </r>
  <r>
    <x v="450"/>
    <x v="9"/>
    <n v="25"/>
    <n v="40"/>
    <n v="25"/>
    <n v="15"/>
    <n v="6.8"/>
    <n v="76"/>
    <n v="32"/>
    <n v="72"/>
    <n v="45.8"/>
    <n v="8"/>
    <n v="28"/>
    <n v="23.1"/>
    <n v="4"/>
    <n v="8"/>
    <n v="71.400000000000006"/>
    <n v="20"/>
    <n v="48"/>
    <n v="64"/>
    <n v="24"/>
    <n v="12"/>
    <n v="8"/>
    <n v="4"/>
    <n v="24"/>
    <n v="212"/>
    <n v="0"/>
    <n v="0"/>
    <n v="-1.3"/>
    <n v="105.9"/>
    <n v="114.7"/>
    <n v="-8.6999999999999993"/>
    <n v="13.7"/>
    <n v="2"/>
    <n v="21.8"/>
    <n v="7"/>
    <n v="17.600000000000001"/>
    <n v="12.2"/>
    <n v="10.9"/>
    <n v="50"/>
    <n v="51.3"/>
    <n v="13.4"/>
    <n v="98.21"/>
    <n v="8.3000000000000007"/>
    <n v="555"/>
  </r>
  <r>
    <x v="451"/>
    <x v="25"/>
    <n v="25"/>
    <n v="13"/>
    <n v="5"/>
    <n v="8"/>
    <n v="9.1"/>
    <n v="75"/>
    <n v="34"/>
    <n v="49"/>
    <n v="69.400000000000006"/>
    <n v="0"/>
    <n v="0"/>
    <n v="0"/>
    <n v="8"/>
    <n v="10"/>
    <n v="72.7"/>
    <n v="12"/>
    <n v="33"/>
    <n v="44"/>
    <n v="3"/>
    <n v="10"/>
    <n v="7"/>
    <n v="4"/>
    <n v="17"/>
    <n v="151"/>
    <n v="1"/>
    <n v="0"/>
    <n v="-1.1000000000000001"/>
    <n v="101.5"/>
    <n v="105.9"/>
    <n v="-4.4000000000000004"/>
    <n v="2.9"/>
    <n v="0.18"/>
    <n v="3"/>
    <n v="9.8000000000000007"/>
    <n v="22.4"/>
    <n v="16.5"/>
    <n v="16.7"/>
    <n v="69.400000000000006"/>
    <n v="70.599999999999994"/>
    <n v="21.6"/>
    <n v="108.49"/>
    <n v="15.4"/>
    <n v="267"/>
  </r>
  <r>
    <x v="452"/>
    <x v="16"/>
    <n v="27"/>
    <n v="17"/>
    <n v="7"/>
    <n v="10"/>
    <n v="9.1"/>
    <n v="75"/>
    <n v="29"/>
    <n v="63"/>
    <n v="46"/>
    <n v="9"/>
    <n v="27"/>
    <n v="29.6"/>
    <n v="9"/>
    <n v="10"/>
    <n v="72.7"/>
    <n v="3"/>
    <n v="34"/>
    <n v="37"/>
    <n v="9"/>
    <n v="10"/>
    <n v="5"/>
    <n v="3"/>
    <n v="15"/>
    <n v="146"/>
    <n v="0"/>
    <n v="0"/>
    <n v="3.9"/>
    <n v="128.19999999999999"/>
    <n v="101.8"/>
    <n v="26.4"/>
    <n v="6.3"/>
    <n v="0.8"/>
    <n v="9.3000000000000007"/>
    <n v="2.7"/>
    <n v="18.399999999999999"/>
    <n v="11.4"/>
    <n v="11.6"/>
    <n v="52.4"/>
    <n v="54.5"/>
    <n v="21"/>
    <n v="102.46"/>
    <n v="9"/>
    <n v="323"/>
  </r>
  <r>
    <x v="453"/>
    <x v="14"/>
    <n v="31"/>
    <n v="46"/>
    <n v="21"/>
    <n v="25"/>
    <n v="8.3000000000000007"/>
    <n v="74"/>
    <n v="32"/>
    <n v="64"/>
    <n v="50.8"/>
    <n v="0"/>
    <n v="9"/>
    <n v="22.2"/>
    <n v="9"/>
    <n v="18"/>
    <n v="47.1"/>
    <n v="37"/>
    <n v="55"/>
    <n v="97"/>
    <n v="37"/>
    <n v="18"/>
    <n v="9"/>
    <n v="23"/>
    <n v="55"/>
    <n v="313"/>
    <n v="0"/>
    <n v="0"/>
    <n v="-3.3"/>
    <n v="101.4"/>
    <n v="118.9"/>
    <n v="-17.5"/>
    <n v="14.3"/>
    <n v="1.9"/>
    <n v="29.5"/>
    <n v="9.4"/>
    <n v="14.2"/>
    <n v="11.8"/>
    <n v="15.5"/>
    <n v="52.4"/>
    <n v="52.5"/>
    <n v="10.1"/>
    <n v="101.55"/>
    <n v="5.7"/>
    <n v="798"/>
  </r>
  <r>
    <x v="454"/>
    <x v="21"/>
    <n v="22"/>
    <n v="20"/>
    <n v="10"/>
    <n v="10"/>
    <n v="12.5"/>
    <n v="72"/>
    <n v="26"/>
    <n v="60"/>
    <n v="42.4"/>
    <n v="6"/>
    <n v="22"/>
    <n v="28.6"/>
    <n v="16"/>
    <n v="22"/>
    <n v="68.2"/>
    <n v="20"/>
    <n v="28"/>
    <n v="48"/>
    <n v="6"/>
    <n v="10"/>
    <n v="8"/>
    <n v="10"/>
    <n v="18"/>
    <n v="180"/>
    <n v="0"/>
    <n v="0"/>
    <n v="-4.8"/>
    <n v="95.3"/>
    <n v="115.3"/>
    <n v="-20"/>
    <n v="4"/>
    <n v="0.67"/>
    <n v="7.1"/>
    <n v="7"/>
    <n v="10.1"/>
    <n v="8.5"/>
    <n v="10.6"/>
    <n v="47.5"/>
    <n v="51.7"/>
    <n v="13.2"/>
    <n v="98.57"/>
    <n v="6.5"/>
    <n v="515"/>
  </r>
  <r>
    <x v="455"/>
    <x v="15"/>
    <n v="34"/>
    <n v="40"/>
    <n v="31"/>
    <n v="9"/>
    <n v="8.1999999999999993"/>
    <n v="68"/>
    <n v="32"/>
    <n v="72"/>
    <n v="43.7"/>
    <n v="0"/>
    <n v="4"/>
    <n v="0"/>
    <n v="8"/>
    <n v="32"/>
    <n v="23.3"/>
    <n v="32"/>
    <n v="104"/>
    <n v="136"/>
    <n v="24"/>
    <n v="16"/>
    <n v="4"/>
    <n v="12"/>
    <n v="36"/>
    <n v="292"/>
    <n v="0"/>
    <n v="0"/>
    <n v="-2.1"/>
    <n v="97.2"/>
    <n v="109.8"/>
    <n v="-12.5"/>
    <n v="10.9"/>
    <n v="1.71"/>
    <n v="19.5"/>
    <n v="8.4"/>
    <n v="27.1"/>
    <n v="17.7"/>
    <n v="11.4"/>
    <n v="43.7"/>
    <n v="41"/>
    <n v="12.3"/>
    <n v="100.56"/>
    <n v="8.3000000000000007"/>
    <n v="688"/>
  </r>
  <r>
    <x v="456"/>
    <x v="3"/>
    <n v="20"/>
    <n v="23"/>
    <n v="12"/>
    <n v="11"/>
    <n v="5.3"/>
    <n v="67"/>
    <n v="23"/>
    <n v="51"/>
    <n v="48"/>
    <n v="14"/>
    <n v="30"/>
    <n v="43.3"/>
    <n v="7"/>
    <n v="7"/>
    <n v="75"/>
    <n v="7"/>
    <n v="18"/>
    <n v="25"/>
    <n v="5"/>
    <n v="7"/>
    <n v="2"/>
    <n v="5"/>
    <n v="12"/>
    <n v="115"/>
    <n v="0"/>
    <n v="0"/>
    <n v="0.3"/>
    <n v="103.4"/>
    <n v="96.3"/>
    <n v="7.1"/>
    <n v="5.6"/>
    <n v="0.5"/>
    <n v="6.2"/>
    <n v="5"/>
    <n v="14.3"/>
    <n v="9.8000000000000007"/>
    <n v="12.3"/>
    <n v="61"/>
    <n v="62.6"/>
    <n v="20.5"/>
    <n v="105.22"/>
    <n v="12.3"/>
    <n v="261"/>
  </r>
  <r>
    <x v="457"/>
    <x v="27"/>
    <n v="25"/>
    <n v="8"/>
    <n v="1"/>
    <n v="7"/>
    <n v="21"/>
    <n v="67"/>
    <n v="26"/>
    <n v="73"/>
    <n v="35.6"/>
    <n v="8"/>
    <n v="27"/>
    <n v="29.6"/>
    <n v="7"/>
    <n v="11"/>
    <n v="63.6"/>
    <n v="6"/>
    <n v="14"/>
    <n v="20"/>
    <n v="18"/>
    <n v="8"/>
    <n v="1"/>
    <n v="4"/>
    <n v="9"/>
    <n v="125"/>
    <n v="0"/>
    <n v="0"/>
    <n v="-5.3"/>
    <n v="100.9"/>
    <n v="114"/>
    <n v="-13.1"/>
    <n v="17.600000000000001"/>
    <n v="2.25"/>
    <n v="17.3"/>
    <n v="3.2"/>
    <n v="8.6"/>
    <n v="5.8"/>
    <n v="7.7"/>
    <n v="41.1"/>
    <n v="43"/>
    <n v="21.5"/>
    <n v="96.24"/>
    <n v="6"/>
    <n v="338"/>
  </r>
  <r>
    <x v="458"/>
    <x v="0"/>
    <n v="25"/>
    <n v="37"/>
    <n v="34"/>
    <n v="3"/>
    <n v="5.5"/>
    <n v="67"/>
    <n v="26"/>
    <n v="96"/>
    <n v="26"/>
    <n v="15"/>
    <n v="70"/>
    <n v="19.399999999999999"/>
    <n v="0"/>
    <n v="4"/>
    <n v="50"/>
    <n v="7"/>
    <n v="19"/>
    <n v="26"/>
    <n v="11"/>
    <n v="4"/>
    <n v="7"/>
    <n v="4"/>
    <n v="15"/>
    <n v="144"/>
    <n v="0"/>
    <n v="0"/>
    <n v="0.2"/>
    <n v="99.1"/>
    <n v="96.7"/>
    <n v="2.2999999999999998"/>
    <n v="9.4"/>
    <n v="3"/>
    <n v="10.6"/>
    <n v="2.9"/>
    <n v="8.6"/>
    <n v="5.7"/>
    <n v="3.5"/>
    <n v="33.299999999999997"/>
    <n v="33.5"/>
    <n v="20.7"/>
    <n v="100.16"/>
    <n v="2.5"/>
    <n v="422"/>
  </r>
  <r>
    <x v="459"/>
    <x v="22"/>
    <n v="23"/>
    <n v="10"/>
    <n v="1"/>
    <n v="9"/>
    <n v="25.3"/>
    <n v="67"/>
    <n v="27"/>
    <n v="69"/>
    <n v="39.1"/>
    <n v="5"/>
    <n v="32"/>
    <n v="15.6"/>
    <n v="8"/>
    <n v="10"/>
    <n v="80"/>
    <n v="23"/>
    <n v="47"/>
    <n v="70"/>
    <n v="10"/>
    <n v="7"/>
    <n v="9"/>
    <n v="12"/>
    <n v="16"/>
    <n v="222"/>
    <n v="2"/>
    <n v="0"/>
    <n v="-8.4"/>
    <n v="101.1"/>
    <n v="117"/>
    <n v="-15.9"/>
    <n v="5.6"/>
    <n v="1.43"/>
    <n v="11"/>
    <n v="7.8"/>
    <n v="17.5"/>
    <n v="12.4"/>
    <n v="7.7"/>
    <n v="42.8"/>
    <n v="45.6"/>
    <n v="12.8"/>
    <n v="102.58"/>
    <n v="7.7"/>
    <n v="542"/>
  </r>
  <r>
    <x v="460"/>
    <x v="12"/>
    <n v="26"/>
    <n v="20"/>
    <n v="14"/>
    <n v="6"/>
    <n v="7.3"/>
    <n v="66"/>
    <n v="28"/>
    <n v="62"/>
    <n v="43.5"/>
    <n v="6"/>
    <n v="26"/>
    <n v="23.1"/>
    <n v="6"/>
    <n v="8"/>
    <n v="62.5"/>
    <n v="6"/>
    <n v="8"/>
    <n v="14"/>
    <n v="10"/>
    <n v="14"/>
    <n v="8"/>
    <n v="4"/>
    <n v="16"/>
    <n v="116"/>
    <n v="0"/>
    <n v="0"/>
    <n v="-1.2"/>
    <n v="110.6"/>
    <n v="116.8"/>
    <n v="-6.2"/>
    <n v="7.9"/>
    <n v="0.64"/>
    <n v="10.1"/>
    <n v="3.3"/>
    <n v="5.3"/>
    <n v="4.3"/>
    <n v="15.7"/>
    <n v="48.4"/>
    <n v="49.6"/>
    <n v="21.2"/>
    <n v="108.85"/>
    <n v="3.8"/>
    <n v="331"/>
  </r>
  <r>
    <x v="461"/>
    <x v="29"/>
    <n v="27"/>
    <n v="6"/>
    <n v="4"/>
    <n v="2"/>
    <n v="20.2"/>
    <n v="62"/>
    <n v="22"/>
    <n v="54"/>
    <n v="40.700000000000003"/>
    <n v="13"/>
    <n v="35"/>
    <n v="37.1"/>
    <n v="5"/>
    <n v="8"/>
    <n v="62.5"/>
    <n v="6"/>
    <n v="14"/>
    <n v="20"/>
    <n v="17"/>
    <n v="10"/>
    <n v="7"/>
    <n v="2"/>
    <n v="18"/>
    <n v="128"/>
    <n v="1"/>
    <n v="0"/>
    <n v="4.5"/>
    <n v="108.3"/>
    <n v="97.4"/>
    <n v="10.9"/>
    <n v="20.5"/>
    <n v="1.7"/>
    <n v="20"/>
    <n v="4.5999999999999996"/>
    <n v="10.4"/>
    <n v="7.5"/>
    <n v="11.8"/>
    <n v="52.8"/>
    <n v="53.9"/>
    <n v="22.3"/>
    <n v="105.54"/>
    <n v="9.1"/>
    <n v="265"/>
  </r>
  <r>
    <x v="462"/>
    <x v="17"/>
    <n v="27"/>
    <n v="14"/>
    <n v="11"/>
    <n v="3"/>
    <n v="8.1"/>
    <n v="62"/>
    <n v="29"/>
    <n v="45"/>
    <n v="64.400000000000006"/>
    <n v="1"/>
    <n v="3"/>
    <n v="33.299999999999997"/>
    <n v="1"/>
    <n v="6"/>
    <n v="33.299999999999997"/>
    <n v="18"/>
    <n v="24"/>
    <n v="42"/>
    <n v="6"/>
    <n v="6"/>
    <n v="1"/>
    <n v="8"/>
    <n v="11"/>
    <n v="148"/>
    <n v="1"/>
    <n v="0"/>
    <n v="3.1"/>
    <n v="112.6"/>
    <n v="93.6"/>
    <n v="19"/>
    <n v="8"/>
    <n v="1.2"/>
    <n v="10.199999999999999"/>
    <n v="15.1"/>
    <n v="19.2"/>
    <n v="17.2"/>
    <n v="8.5"/>
    <n v="65.599999999999994"/>
    <n v="64"/>
    <n v="18.2"/>
    <n v="105.38"/>
    <n v="16"/>
    <n v="246"/>
  </r>
  <r>
    <x v="463"/>
    <x v="14"/>
    <n v="20"/>
    <n v="27"/>
    <n v="17"/>
    <n v="10"/>
    <n v="6.7"/>
    <n v="62"/>
    <n v="22"/>
    <n v="68"/>
    <n v="31.3"/>
    <n v="8"/>
    <n v="32"/>
    <n v="28.1"/>
    <n v="11"/>
    <n v="14"/>
    <n v="78.599999999999994"/>
    <n v="3"/>
    <n v="14"/>
    <n v="19"/>
    <n v="22"/>
    <n v="14"/>
    <n v="8"/>
    <n v="3"/>
    <n v="14"/>
    <n v="140"/>
    <n v="0"/>
    <n v="0"/>
    <n v="-2.6"/>
    <n v="95.5"/>
    <n v="114.1"/>
    <n v="-18.600000000000001"/>
    <n v="19.100000000000001"/>
    <n v="1.69"/>
    <n v="20.399999999999999"/>
    <n v="2.1"/>
    <n v="7.6"/>
    <n v="4.8"/>
    <n v="12"/>
    <n v="38.1"/>
    <n v="42.4"/>
    <n v="19.899999999999999"/>
    <n v="99.45"/>
    <n v="5"/>
    <n v="375"/>
  </r>
  <r>
    <x v="464"/>
    <x v="11"/>
    <n v="27"/>
    <n v="21"/>
    <n v="9"/>
    <n v="12"/>
    <n v="8.8000000000000007"/>
    <n v="61"/>
    <n v="27"/>
    <n v="67"/>
    <n v="41.8"/>
    <n v="4"/>
    <n v="8"/>
    <n v="50"/>
    <n v="0"/>
    <n v="0"/>
    <n v="100"/>
    <n v="6"/>
    <n v="15"/>
    <n v="21"/>
    <n v="27"/>
    <n v="15"/>
    <n v="11"/>
    <n v="2"/>
    <n v="13"/>
    <n v="147"/>
    <n v="0"/>
    <n v="0"/>
    <n v="0.2"/>
    <n v="109.3"/>
    <n v="105.7"/>
    <n v="3.6"/>
    <n v="20.8"/>
    <n v="1.8"/>
    <n v="24.8"/>
    <n v="3.6"/>
    <n v="7.7"/>
    <n v="5.8"/>
    <n v="13.8"/>
    <n v="44.8"/>
    <n v="45.2"/>
    <n v="19.600000000000001"/>
    <n v="99.36"/>
    <n v="6.5"/>
    <n v="377"/>
  </r>
  <r>
    <x v="465"/>
    <x v="26"/>
    <n v="26"/>
    <n v="10"/>
    <n v="5"/>
    <n v="5"/>
    <n v="17"/>
    <n v="59"/>
    <n v="22"/>
    <n v="63"/>
    <n v="34.9"/>
    <n v="15"/>
    <n v="47"/>
    <n v="31.9"/>
    <n v="0"/>
    <n v="1"/>
    <n v="0"/>
    <n v="5"/>
    <n v="22"/>
    <n v="27"/>
    <n v="3"/>
    <n v="4"/>
    <n v="4"/>
    <n v="2"/>
    <n v="12"/>
    <n v="110"/>
    <n v="0"/>
    <n v="0"/>
    <n v="5.4"/>
    <n v="114.2"/>
    <n v="100.5"/>
    <n v="13.7"/>
    <n v="2.2000000000000002"/>
    <n v="0.75"/>
    <n v="4.3"/>
    <n v="2.6"/>
    <n v="11.9"/>
    <n v="7.2"/>
    <n v="5.7"/>
    <n v="46.8"/>
    <n v="46.5"/>
    <n v="15.5"/>
    <n v="104.92"/>
    <n v="4.5999999999999996"/>
    <n v="372"/>
  </r>
  <r>
    <x v="466"/>
    <x v="26"/>
    <n v="26"/>
    <n v="17"/>
    <n v="2"/>
    <n v="15"/>
    <n v="8.6"/>
    <n v="58"/>
    <n v="26"/>
    <n v="49"/>
    <n v="53.1"/>
    <n v="0"/>
    <n v="0"/>
    <n v="0"/>
    <n v="7"/>
    <n v="9"/>
    <n v="75"/>
    <n v="20"/>
    <n v="31"/>
    <n v="51"/>
    <n v="19"/>
    <n v="14"/>
    <n v="3"/>
    <n v="9"/>
    <n v="27"/>
    <n v="172"/>
    <n v="0"/>
    <n v="0"/>
    <n v="-1.3"/>
    <n v="103.9"/>
    <n v="110.1"/>
    <n v="-6.1"/>
    <n v="19.399999999999999"/>
    <n v="1.29"/>
    <n v="21.2"/>
    <n v="12.7"/>
    <n v="21"/>
    <n v="16.5"/>
    <n v="16.5"/>
    <n v="53.1"/>
    <n v="55.2"/>
    <n v="18.2"/>
    <n v="100.37"/>
    <n v="10"/>
    <n v="305"/>
  </r>
  <r>
    <x v="467"/>
    <x v="2"/>
    <n v="31"/>
    <n v="16"/>
    <n v="7"/>
    <n v="9"/>
    <n v="13.1"/>
    <n v="56"/>
    <n v="21"/>
    <n v="58"/>
    <n v="36.200000000000003"/>
    <n v="6"/>
    <n v="26"/>
    <n v="26.9"/>
    <n v="6"/>
    <n v="10"/>
    <n v="70"/>
    <n v="14"/>
    <n v="37"/>
    <n v="50"/>
    <n v="22"/>
    <n v="14"/>
    <n v="6"/>
    <n v="2"/>
    <n v="19"/>
    <n v="160"/>
    <n v="1"/>
    <n v="0"/>
    <n v="-3.1"/>
    <n v="97.3"/>
    <n v="108.7"/>
    <n v="-11.5"/>
    <n v="17"/>
    <n v="1.53"/>
    <n v="22.8"/>
    <n v="5.9"/>
    <n v="15.8"/>
    <n v="10.7"/>
    <n v="14.9"/>
    <n v="42.2"/>
    <n v="44.9"/>
    <n v="15.7"/>
    <n v="99.59"/>
    <n v="6.7"/>
    <n v="437"/>
  </r>
  <r>
    <x v="468"/>
    <x v="14"/>
    <n v="35"/>
    <n v="15"/>
    <n v="7"/>
    <n v="8"/>
    <n v="11"/>
    <n v="56"/>
    <n v="21"/>
    <n v="71"/>
    <n v="30"/>
    <n v="9"/>
    <n v="36"/>
    <n v="25"/>
    <n v="5"/>
    <n v="6"/>
    <n v="83.3"/>
    <n v="3"/>
    <n v="20"/>
    <n v="23"/>
    <n v="21"/>
    <n v="5"/>
    <n v="2"/>
    <n v="3"/>
    <n v="17"/>
    <n v="125"/>
    <n v="0"/>
    <n v="0"/>
    <n v="-1.9"/>
    <n v="106.1"/>
    <n v="113.9"/>
    <n v="-7.8"/>
    <n v="19.100000000000001"/>
    <n v="4.2"/>
    <n v="21.2"/>
    <n v="1.7"/>
    <n v="11.4"/>
    <n v="6.6"/>
    <n v="5.0999999999999996"/>
    <n v="36.4"/>
    <n v="38.5"/>
    <n v="20.2"/>
    <n v="100.86"/>
    <n v="4.5"/>
    <n v="345"/>
  </r>
  <r>
    <x v="469"/>
    <x v="29"/>
    <n v="25"/>
    <n v="7"/>
    <n v="1"/>
    <n v="6"/>
    <n v="21.6"/>
    <n v="55"/>
    <n v="17"/>
    <n v="52"/>
    <n v="32.700000000000003"/>
    <n v="13"/>
    <n v="44"/>
    <n v="29.5"/>
    <n v="8"/>
    <n v="10"/>
    <n v="80"/>
    <n v="3"/>
    <n v="6"/>
    <n v="9"/>
    <n v="12"/>
    <n v="8"/>
    <n v="3"/>
    <n v="1"/>
    <n v="17"/>
    <n v="88"/>
    <n v="0"/>
    <n v="0"/>
    <n v="-10"/>
    <n v="98.8"/>
    <n v="119.3"/>
    <n v="-20.5"/>
    <n v="12.6"/>
    <n v="1.5"/>
    <n v="15.6"/>
    <n v="1.8"/>
    <n v="4.5999999999999996"/>
    <n v="3"/>
    <n v="10.4"/>
    <n v="45.2"/>
    <n v="48.8"/>
    <n v="17.7"/>
    <n v="105.16"/>
    <n v="2.4"/>
    <n v="330"/>
  </r>
  <r>
    <x v="470"/>
    <x v="4"/>
    <n v="25"/>
    <n v="25"/>
    <n v="17"/>
    <n v="8"/>
    <n v="7.4"/>
    <n v="55"/>
    <n v="18"/>
    <n v="40"/>
    <n v="41.5"/>
    <n v="13"/>
    <n v="33"/>
    <n v="39.4"/>
    <n v="8"/>
    <n v="10"/>
    <n v="77.8"/>
    <n v="10"/>
    <n v="30"/>
    <n v="40"/>
    <n v="13"/>
    <n v="8"/>
    <n v="5"/>
    <n v="3"/>
    <n v="18"/>
    <n v="135"/>
    <n v="0"/>
    <n v="0"/>
    <n v="1.8"/>
    <n v="115.7"/>
    <n v="102.9"/>
    <n v="12.8"/>
    <n v="9.5"/>
    <n v="1.63"/>
    <n v="19.7"/>
    <n v="5.0999999999999996"/>
    <n v="16.100000000000001"/>
    <n v="10.8"/>
    <n v="12.1"/>
    <n v="57.3"/>
    <n v="60.1"/>
    <n v="12.1"/>
    <n v="96.96"/>
    <n v="7.8"/>
    <n v="375"/>
  </r>
  <r>
    <x v="471"/>
    <x v="29"/>
    <n v="23"/>
    <n v="6"/>
    <n v="1"/>
    <n v="5"/>
    <n v="27.1"/>
    <n v="54"/>
    <n v="18"/>
    <n v="43"/>
    <n v="41.9"/>
    <n v="8"/>
    <n v="21"/>
    <n v="38.1"/>
    <n v="10"/>
    <n v="12"/>
    <n v="83.3"/>
    <n v="5"/>
    <n v="13"/>
    <n v="18"/>
    <n v="31"/>
    <n v="9"/>
    <n v="4"/>
    <n v="4"/>
    <n v="13"/>
    <n v="137"/>
    <n v="0"/>
    <n v="0"/>
    <n v="-4"/>
    <n v="109.9"/>
    <n v="115.6"/>
    <n v="-5.7"/>
    <n v="27.4"/>
    <n v="3.44"/>
    <n v="34.799999999999997"/>
    <n v="2.8"/>
    <n v="8.6999999999999993"/>
    <n v="5.5"/>
    <n v="10.1"/>
    <n v="51.2"/>
    <n v="55.9"/>
    <n v="14.5"/>
    <n v="101.72"/>
    <n v="8.5"/>
    <n v="342"/>
  </r>
  <r>
    <x v="472"/>
    <x v="7"/>
    <n v="21"/>
    <n v="10"/>
    <n v="6"/>
    <n v="4"/>
    <n v="12.4"/>
    <n v="53"/>
    <n v="18"/>
    <n v="47"/>
    <n v="38.299999999999997"/>
    <n v="4"/>
    <n v="19"/>
    <n v="21.1"/>
    <n v="13"/>
    <n v="18"/>
    <n v="72.2"/>
    <n v="5"/>
    <n v="16"/>
    <n v="21"/>
    <n v="17"/>
    <n v="8"/>
    <n v="3"/>
    <n v="2"/>
    <n v="9"/>
    <n v="111"/>
    <n v="0"/>
    <n v="0"/>
    <n v="-2.2999999999999998"/>
    <n v="95.3"/>
    <n v="103.3"/>
    <n v="-8"/>
    <n v="21.3"/>
    <n v="2.13"/>
    <n v="21.3"/>
    <n v="3.5"/>
    <n v="12.3"/>
    <n v="7.7"/>
    <n v="10"/>
    <n v="42.6"/>
    <n v="48.3"/>
    <n v="20.3"/>
    <n v="106.96"/>
    <n v="8.6"/>
    <n v="275"/>
  </r>
  <r>
    <x v="473"/>
    <x v="15"/>
    <n v="26"/>
    <n v="9"/>
    <n v="2"/>
    <n v="7"/>
    <n v="21.9"/>
    <n v="53"/>
    <n v="20"/>
    <n v="40"/>
    <n v="50"/>
    <n v="11"/>
    <n v="28"/>
    <n v="39.299999999999997"/>
    <n v="2"/>
    <n v="3"/>
    <n v="66.7"/>
    <n v="21"/>
    <n v="26"/>
    <n v="47"/>
    <n v="15"/>
    <n v="3"/>
    <n v="5"/>
    <n v="4"/>
    <n v="5"/>
    <n v="156"/>
    <n v="1"/>
    <n v="0"/>
    <n v="-3.1"/>
    <n v="115.8"/>
    <n v="122.1"/>
    <n v="-6.3"/>
    <n v="10.1"/>
    <n v="5"/>
    <n v="25.4"/>
    <n v="9.9"/>
    <n v="14.1"/>
    <n v="11.8"/>
    <n v="5.0999999999999996"/>
    <n v="63.8"/>
    <n v="64.099999999999994"/>
    <n v="9.3000000000000007"/>
    <n v="99.08"/>
    <n v="8.9"/>
    <n v="405"/>
  </r>
  <r>
    <x v="474"/>
    <x v="9"/>
    <n v="22"/>
    <n v="24"/>
    <n v="3"/>
    <n v="21"/>
    <n v="4.4000000000000004"/>
    <n v="53"/>
    <n v="19"/>
    <n v="36"/>
    <n v="54.3"/>
    <n v="12"/>
    <n v="24"/>
    <n v="56.5"/>
    <n v="2"/>
    <n v="5"/>
    <n v="50"/>
    <n v="5"/>
    <n v="19"/>
    <n v="24"/>
    <n v="2"/>
    <n v="5"/>
    <n v="2"/>
    <n v="2"/>
    <n v="7"/>
    <n v="98"/>
    <n v="0"/>
    <n v="0"/>
    <n v="1.2"/>
    <n v="114.6"/>
    <n v="102.1"/>
    <n v="12.4"/>
    <n v="4.2"/>
    <n v="0.6"/>
    <n v="6.7"/>
    <n v="3.8"/>
    <n v="18.899999999999999"/>
    <n v="10.5"/>
    <n v="11.1"/>
    <n v="72.900000000000006"/>
    <n v="72.099999999999994"/>
    <n v="15.1"/>
    <n v="104.77"/>
    <n v="12.2"/>
    <n v="233"/>
  </r>
  <r>
    <x v="475"/>
    <x v="26"/>
    <n v="39"/>
    <n v="28"/>
    <n v="11"/>
    <n v="17"/>
    <n v="8.1"/>
    <n v="53"/>
    <n v="17"/>
    <n v="59"/>
    <n v="30"/>
    <n v="6"/>
    <n v="28"/>
    <n v="21.4"/>
    <n v="11"/>
    <n v="11"/>
    <n v="91.7"/>
    <n v="8"/>
    <n v="20"/>
    <n v="28"/>
    <n v="31"/>
    <n v="11"/>
    <n v="17"/>
    <n v="3"/>
    <n v="22"/>
    <n v="182"/>
    <n v="0"/>
    <n v="0"/>
    <n v="-1"/>
    <n v="106.6"/>
    <n v="111.1"/>
    <n v="-4.5"/>
    <n v="17.100000000000001"/>
    <n v="3.1"/>
    <n v="29"/>
    <n v="3.6"/>
    <n v="9"/>
    <n v="6.1"/>
    <n v="9.3000000000000007"/>
    <n v="35"/>
    <n v="40.6"/>
    <n v="12.9"/>
    <n v="105.94"/>
    <n v="5.0999999999999996"/>
    <n v="498"/>
  </r>
  <r>
    <x v="476"/>
    <x v="22"/>
    <n v="26"/>
    <n v="6"/>
    <n v="1"/>
    <n v="5"/>
    <n v="23.7"/>
    <n v="52"/>
    <n v="19"/>
    <n v="39"/>
    <n v="48.7"/>
    <n v="6"/>
    <n v="18"/>
    <n v="33.299999999999997"/>
    <n v="8"/>
    <n v="14"/>
    <n v="57.1"/>
    <n v="7"/>
    <n v="15"/>
    <n v="22"/>
    <n v="4"/>
    <n v="8"/>
    <n v="4"/>
    <n v="3"/>
    <n v="14"/>
    <n v="97"/>
    <n v="0"/>
    <n v="0"/>
    <n v="-5.2"/>
    <n v="113.6"/>
    <n v="124.3"/>
    <n v="-10.7"/>
    <n v="4"/>
    <n v="0.5"/>
    <n v="7.1"/>
    <n v="4.7"/>
    <n v="11.5"/>
    <n v="7.9"/>
    <n v="14.3"/>
    <n v="56.4"/>
    <n v="57.6"/>
    <n v="15.4"/>
    <n v="101.4"/>
    <n v="5"/>
    <n v="301"/>
  </r>
  <r>
    <x v="477"/>
    <x v="10"/>
    <n v="23"/>
    <n v="25"/>
    <n v="17"/>
    <n v="8"/>
    <n v="8.6999999999999993"/>
    <n v="48"/>
    <n v="20"/>
    <n v="30"/>
    <n v="67.7"/>
    <n v="0"/>
    <n v="0"/>
    <n v="0"/>
    <n v="5"/>
    <n v="13"/>
    <n v="46.2"/>
    <n v="15"/>
    <n v="38"/>
    <n v="50"/>
    <n v="10"/>
    <n v="20"/>
    <n v="0"/>
    <n v="15"/>
    <n v="33"/>
    <n v="153"/>
    <n v="0"/>
    <n v="0"/>
    <n v="-2.5"/>
    <n v="97.6"/>
    <n v="110.1"/>
    <n v="-12.4"/>
    <n v="7.5"/>
    <n v="0.52"/>
    <n v="15.9"/>
    <n v="6.6"/>
    <n v="15.1"/>
    <n v="11.2"/>
    <n v="30.4"/>
    <n v="67.7"/>
    <n v="65.400000000000006"/>
    <n v="11.3"/>
    <n v="102.57"/>
    <n v="4.8"/>
    <n v="462"/>
  </r>
  <r>
    <x v="478"/>
    <x v="13"/>
    <n v="25"/>
    <n v="14"/>
    <n v="11"/>
    <n v="3"/>
    <n v="6"/>
    <n v="46"/>
    <n v="18"/>
    <n v="36"/>
    <n v="50"/>
    <n v="4"/>
    <n v="15"/>
    <n v="26.7"/>
    <n v="6"/>
    <n v="8"/>
    <n v="75"/>
    <n v="7"/>
    <n v="10"/>
    <n v="17"/>
    <n v="6"/>
    <n v="4"/>
    <n v="1"/>
    <n v="4"/>
    <n v="6"/>
    <n v="88"/>
    <n v="0"/>
    <n v="0"/>
    <n v="-0.2"/>
    <n v="112.7"/>
    <n v="115.6"/>
    <n v="-2.9"/>
    <n v="8.6"/>
    <n v="1.25"/>
    <n v="10.199999999999999"/>
    <n v="6.9"/>
    <n v="14.9"/>
    <n v="10.1"/>
    <n v="8.1999999999999993"/>
    <n v="55.6"/>
    <n v="58.2"/>
    <n v="20.2"/>
    <n v="103.28"/>
    <n v="10.4"/>
    <n v="181"/>
  </r>
  <r>
    <x v="479"/>
    <x v="17"/>
    <n v="24"/>
    <n v="22"/>
    <n v="7"/>
    <n v="15"/>
    <n v="8.1999999999999993"/>
    <n v="46"/>
    <n v="15"/>
    <n v="37"/>
    <n v="43.2"/>
    <n v="0"/>
    <n v="11"/>
    <n v="10"/>
    <n v="13"/>
    <n v="20"/>
    <n v="68.400000000000006"/>
    <n v="11"/>
    <n v="20"/>
    <n v="31"/>
    <n v="9"/>
    <n v="7"/>
    <n v="2"/>
    <n v="2"/>
    <n v="22"/>
    <n v="108"/>
    <n v="0"/>
    <n v="0"/>
    <n v="-0.9"/>
    <n v="104.4"/>
    <n v="110.7"/>
    <n v="-6.3"/>
    <n v="6.2"/>
    <n v="1.5"/>
    <n v="15"/>
    <n v="5.4"/>
    <n v="10.6"/>
    <n v="7.8"/>
    <n v="10"/>
    <n v="44.6"/>
    <n v="50.7"/>
    <n v="10.9"/>
    <n v="107.55"/>
    <n v="4"/>
    <n v="409"/>
  </r>
  <r>
    <x v="480"/>
    <x v="7"/>
    <n v="26"/>
    <n v="6"/>
    <n v="3"/>
    <n v="3"/>
    <n v="11.9"/>
    <n v="43"/>
    <n v="16"/>
    <n v="25"/>
    <n v="64"/>
    <n v="9"/>
    <n v="17"/>
    <n v="52.9"/>
    <n v="2"/>
    <n v="2"/>
    <n v="100"/>
    <n v="4"/>
    <n v="7"/>
    <n v="11"/>
    <n v="2"/>
    <n v="4"/>
    <n v="0"/>
    <n v="0"/>
    <n v="10"/>
    <n v="55"/>
    <n v="0"/>
    <n v="0"/>
    <n v="4.8"/>
    <n v="104"/>
    <n v="84.2"/>
    <n v="19.8"/>
    <n v="4.7"/>
    <n v="0.5"/>
    <n v="6.3"/>
    <n v="5.7"/>
    <n v="9.3000000000000007"/>
    <n v="7.6"/>
    <n v="12.5"/>
    <n v="82"/>
    <n v="83.1"/>
    <n v="18.100000000000001"/>
    <n v="101.64"/>
    <n v="12.2"/>
    <n v="151"/>
  </r>
  <r>
    <x v="481"/>
    <x v="6"/>
    <n v="23"/>
    <n v="16"/>
    <n v="10"/>
    <n v="6"/>
    <n v="6.1"/>
    <n v="43"/>
    <n v="18"/>
    <n v="26"/>
    <n v="69.2"/>
    <n v="3"/>
    <n v="6"/>
    <n v="42.9"/>
    <n v="5"/>
    <n v="10"/>
    <n v="44.4"/>
    <n v="6"/>
    <n v="22"/>
    <n v="29"/>
    <n v="5"/>
    <n v="5"/>
    <n v="5"/>
    <n v="5"/>
    <n v="11"/>
    <n v="106"/>
    <n v="0"/>
    <n v="0"/>
    <n v="0.3"/>
    <n v="105.5"/>
    <n v="104.1"/>
    <n v="1.3"/>
    <n v="5.8"/>
    <n v="1"/>
    <n v="10.5"/>
    <n v="6.7"/>
    <n v="18.8"/>
    <n v="13.6"/>
    <n v="10.5"/>
    <n v="75"/>
    <n v="71.8"/>
    <n v="14.5"/>
    <n v="106.64"/>
    <n v="11.4"/>
    <n v="219"/>
  </r>
  <r>
    <x v="482"/>
    <x v="24"/>
    <n v="26"/>
    <n v="6"/>
    <n v="0"/>
    <n v="6"/>
    <n v="18.600000000000001"/>
    <n v="42"/>
    <n v="12"/>
    <n v="28"/>
    <n v="42.9"/>
    <n v="6"/>
    <n v="15"/>
    <n v="40"/>
    <n v="12"/>
    <n v="15"/>
    <n v="80"/>
    <n v="3"/>
    <n v="3"/>
    <n v="6"/>
    <n v="12"/>
    <n v="8"/>
    <n v="3"/>
    <n v="1"/>
    <n v="10"/>
    <n v="71"/>
    <n v="0"/>
    <n v="0"/>
    <n v="-7.8"/>
    <n v="100.4"/>
    <n v="120.4"/>
    <n v="-20"/>
    <n v="17.600000000000001"/>
    <n v="1.5"/>
    <n v="21.8"/>
    <n v="2.5"/>
    <n v="2.5"/>
    <n v="2.5"/>
    <n v="14.5"/>
    <n v="53.6"/>
    <n v="60.7"/>
    <n v="15.9"/>
    <n v="100.89"/>
    <n v="5.7"/>
    <n v="235"/>
  </r>
  <r>
    <x v="483"/>
    <x v="3"/>
    <n v="25"/>
    <n v="13"/>
    <n v="8"/>
    <n v="5"/>
    <n v="10.6"/>
    <n v="38"/>
    <n v="14"/>
    <n v="33"/>
    <n v="43.8"/>
    <n v="9"/>
    <n v="23"/>
    <n v="37.5"/>
    <n v="1"/>
    <n v="3"/>
    <n v="50"/>
    <n v="5"/>
    <n v="16"/>
    <n v="21"/>
    <n v="10"/>
    <n v="4"/>
    <n v="3"/>
    <n v="3"/>
    <n v="17"/>
    <n v="86"/>
    <n v="0"/>
    <n v="0"/>
    <n v="-1.1000000000000001"/>
    <n v="107.8"/>
    <n v="114.8"/>
    <n v="-7"/>
    <n v="10.6"/>
    <n v="2.5"/>
    <n v="21.3"/>
    <n v="3.6"/>
    <n v="11.5"/>
    <n v="7.6"/>
    <n v="8.5"/>
    <n v="57.8"/>
    <n v="57.8"/>
    <n v="11.6"/>
    <n v="97.1"/>
    <n v="5.4"/>
    <n v="282"/>
  </r>
  <r>
    <x v="484"/>
    <x v="15"/>
    <n v="21"/>
    <n v="10"/>
    <n v="9"/>
    <n v="1"/>
    <n v="7.5"/>
    <n v="37"/>
    <n v="13"/>
    <n v="38"/>
    <n v="34.200000000000003"/>
    <n v="11"/>
    <n v="30"/>
    <n v="36.700000000000003"/>
    <n v="0"/>
    <n v="0"/>
    <n v="0"/>
    <n v="0"/>
    <n v="7"/>
    <n v="7"/>
    <n v="8"/>
    <n v="2"/>
    <n v="1"/>
    <n v="1"/>
    <n v="4"/>
    <n v="61"/>
    <n v="0"/>
    <n v="0"/>
    <n v="-3.4"/>
    <n v="89"/>
    <n v="110.5"/>
    <n v="-21.5"/>
    <n v="20"/>
    <n v="4"/>
    <n v="16.7"/>
    <n v="0"/>
    <n v="7.5"/>
    <n v="3.6"/>
    <n v="4.2"/>
    <n v="48.7"/>
    <n v="48.7"/>
    <n v="20.100000000000001"/>
    <n v="104.3"/>
    <n v="8"/>
    <n v="163"/>
  </r>
  <r>
    <x v="485"/>
    <x v="18"/>
    <n v="27"/>
    <n v="17"/>
    <n v="4"/>
    <n v="13"/>
    <n v="4.4000000000000004"/>
    <n v="36"/>
    <n v="12"/>
    <n v="26"/>
    <n v="46.2"/>
    <n v="7"/>
    <n v="15"/>
    <n v="40"/>
    <n v="7"/>
    <n v="9"/>
    <n v="75"/>
    <n v="5"/>
    <n v="15"/>
    <n v="20"/>
    <n v="9"/>
    <n v="2"/>
    <n v="0"/>
    <n v="0"/>
    <n v="7"/>
    <n v="73"/>
    <n v="0"/>
    <n v="0"/>
    <n v="0.7"/>
    <n v="105.2"/>
    <n v="102.4"/>
    <n v="2.8"/>
    <n v="17.3"/>
    <n v="9"/>
    <n v="23.1"/>
    <n v="6"/>
    <n v="16.5"/>
    <n v="11.5"/>
    <n v="2.6"/>
    <n v="57.7"/>
    <n v="61"/>
    <n v="15.1"/>
    <n v="108.61"/>
    <n v="12.7"/>
    <n v="172"/>
  </r>
  <r>
    <x v="486"/>
    <x v="15"/>
    <n v="24"/>
    <n v="5"/>
    <n v="4"/>
    <n v="1"/>
    <n v="12.7"/>
    <n v="36"/>
    <n v="13"/>
    <n v="32"/>
    <n v="40.6"/>
    <n v="2"/>
    <n v="10"/>
    <n v="20"/>
    <n v="8"/>
    <n v="11"/>
    <n v="72.7"/>
    <n v="9"/>
    <n v="12"/>
    <n v="21"/>
    <n v="2"/>
    <n v="2"/>
    <n v="0"/>
    <n v="1"/>
    <n v="9"/>
    <n v="65"/>
    <n v="1"/>
    <n v="0"/>
    <n v="1.4"/>
    <n v="96.4"/>
    <n v="92"/>
    <n v="4.4000000000000004"/>
    <n v="5.3"/>
    <n v="1"/>
    <n v="5"/>
    <n v="11.7"/>
    <n v="14.5"/>
    <n v="13.1"/>
    <n v="5"/>
    <n v="43.8"/>
    <n v="48.9"/>
    <n v="23"/>
    <n v="104.1"/>
    <n v="9.6"/>
    <n v="138"/>
  </r>
  <r>
    <x v="487"/>
    <x v="0"/>
    <n v="24"/>
    <n v="21"/>
    <n v="20"/>
    <n v="1"/>
    <n v="6"/>
    <n v="36"/>
    <n v="13"/>
    <n v="29"/>
    <n v="40"/>
    <n v="11"/>
    <n v="21"/>
    <n v="47.6"/>
    <n v="2"/>
    <n v="2"/>
    <n v="100"/>
    <n v="8"/>
    <n v="17"/>
    <n v="25"/>
    <n v="4"/>
    <n v="4"/>
    <n v="4"/>
    <n v="0"/>
    <n v="13"/>
    <n v="86"/>
    <n v="0"/>
    <n v="0"/>
    <n v="-1"/>
    <n v="99.6"/>
    <n v="106.3"/>
    <n v="-6.7"/>
    <n v="5.8"/>
    <n v="1.25"/>
    <n v="12.5"/>
    <n v="6"/>
    <n v="11.9"/>
    <n v="8.8000000000000007"/>
    <n v="10"/>
    <n v="56.7"/>
    <n v="58.3"/>
    <n v="11.5"/>
    <n v="102.63"/>
    <n v="6.5"/>
    <n v="266"/>
  </r>
  <r>
    <x v="488"/>
    <x v="17"/>
    <n v="23"/>
    <n v="5"/>
    <n v="1"/>
    <n v="4"/>
    <n v="16.8"/>
    <n v="35"/>
    <n v="14"/>
    <n v="23"/>
    <n v="60.9"/>
    <n v="0"/>
    <n v="0"/>
    <n v="0"/>
    <n v="7"/>
    <n v="14"/>
    <n v="50"/>
    <n v="11"/>
    <n v="17"/>
    <n v="28"/>
    <n v="5"/>
    <n v="5"/>
    <n v="3"/>
    <n v="8"/>
    <n v="14"/>
    <n v="104"/>
    <n v="0"/>
    <n v="0"/>
    <n v="2"/>
    <n v="112.5"/>
    <n v="107.1"/>
    <n v="5.4"/>
    <n v="7.9"/>
    <n v="1"/>
    <n v="12.5"/>
    <n v="12.6"/>
    <n v="16.8"/>
    <n v="14.9"/>
    <n v="12.5"/>
    <n v="60.9"/>
    <n v="60"/>
    <n v="16.399999999999999"/>
    <n v="105.29"/>
    <n v="9.5"/>
    <n v="184"/>
  </r>
  <r>
    <x v="489"/>
    <x v="16"/>
    <n v="24"/>
    <n v="22"/>
    <n v="17"/>
    <n v="5"/>
    <n v="4.2"/>
    <n v="35"/>
    <n v="11"/>
    <n v="31"/>
    <n v="36.700000000000003"/>
    <n v="7"/>
    <n v="22"/>
    <n v="30.4"/>
    <n v="7"/>
    <n v="9"/>
    <n v="77.8"/>
    <n v="0"/>
    <n v="11"/>
    <n v="11"/>
    <n v="20"/>
    <n v="4"/>
    <n v="2"/>
    <n v="0"/>
    <n v="9"/>
    <n v="79"/>
    <n v="0"/>
    <n v="0"/>
    <n v="1.2"/>
    <n v="114.6"/>
    <n v="102.5"/>
    <n v="12.1"/>
    <n v="25.7"/>
    <n v="3.8"/>
    <n v="32.799999999999997"/>
    <n v="0"/>
    <n v="11.4"/>
    <n v="6.3"/>
    <n v="8.6"/>
    <n v="48.3"/>
    <n v="53"/>
    <n v="16.7"/>
    <n v="106.19"/>
    <n v="8.6"/>
    <n v="206"/>
  </r>
  <r>
    <x v="490"/>
    <x v="5"/>
    <n v="23"/>
    <n v="16"/>
    <n v="4"/>
    <n v="12"/>
    <n v="7.4"/>
    <n v="35"/>
    <n v="14"/>
    <n v="45"/>
    <n v="31.1"/>
    <n v="5"/>
    <n v="21"/>
    <n v="19"/>
    <n v="3"/>
    <n v="6"/>
    <n v="50"/>
    <n v="5"/>
    <n v="10"/>
    <n v="13"/>
    <n v="16"/>
    <n v="3"/>
    <n v="3"/>
    <n v="0"/>
    <n v="5"/>
    <n v="80"/>
    <n v="0"/>
    <n v="0"/>
    <n v="0.1"/>
    <n v="109.2"/>
    <n v="105.7"/>
    <n v="3.5"/>
    <n v="18.8"/>
    <n v="5.33"/>
    <n v="23.9"/>
    <n v="3.1"/>
    <n v="7"/>
    <n v="5"/>
    <n v="4.5"/>
    <n v="35.6"/>
    <n v="36.700000000000003"/>
    <n v="18.7"/>
    <n v="98.56"/>
    <n v="4.9000000000000004"/>
    <n v="240"/>
  </r>
  <r>
    <x v="491"/>
    <x v="4"/>
    <n v="22"/>
    <n v="16"/>
    <n v="13"/>
    <n v="3"/>
    <n v="5.8"/>
    <n v="34"/>
    <n v="13"/>
    <n v="34"/>
    <n v="35.299999999999997"/>
    <n v="5"/>
    <n v="18"/>
    <n v="22.2"/>
    <n v="5"/>
    <n v="6"/>
    <n v="71.400000000000006"/>
    <n v="2"/>
    <n v="11"/>
    <n v="13"/>
    <n v="13"/>
    <n v="13"/>
    <n v="5"/>
    <n v="2"/>
    <n v="2"/>
    <n v="74"/>
    <n v="0"/>
    <n v="0"/>
    <n v="-1.8"/>
    <n v="91.7"/>
    <n v="105.4"/>
    <n v="-13.7"/>
    <n v="27.7"/>
    <n v="1"/>
    <n v="20.6"/>
    <n v="2"/>
    <n v="11.8"/>
    <n v="6.7"/>
    <n v="20.6"/>
    <n v="41.2"/>
    <n v="44.5"/>
    <n v="22.8"/>
    <n v="94.28"/>
    <n v="7.9"/>
    <n v="181"/>
  </r>
  <r>
    <x v="492"/>
    <x v="27"/>
    <n v="27"/>
    <n v="11"/>
    <n v="3"/>
    <n v="8"/>
    <n v="11.5"/>
    <n v="34"/>
    <n v="14"/>
    <n v="22"/>
    <n v="63.6"/>
    <n v="0"/>
    <n v="0"/>
    <n v="0"/>
    <n v="6"/>
    <n v="10"/>
    <n v="60"/>
    <n v="12"/>
    <n v="28"/>
    <n v="39"/>
    <n v="6"/>
    <n v="4"/>
    <n v="1"/>
    <n v="3"/>
    <n v="15"/>
    <n v="97"/>
    <n v="1"/>
    <n v="0"/>
    <n v="-6.8"/>
    <n v="101.4"/>
    <n v="130.5"/>
    <n v="-29.1"/>
    <n v="5.6"/>
    <n v="1.25"/>
    <n v="13.9"/>
    <n v="7.9"/>
    <n v="19.399999999999999"/>
    <n v="13.4"/>
    <n v="11.1"/>
    <n v="63.6"/>
    <n v="64.400000000000006"/>
    <n v="9.6999999999999993"/>
    <n v="104.42"/>
    <n v="7.2"/>
    <n v="276"/>
  </r>
  <r>
    <x v="493"/>
    <x v="4"/>
    <n v="26"/>
    <n v="33"/>
    <n v="26"/>
    <n v="7"/>
    <n v="7"/>
    <n v="33"/>
    <n v="13"/>
    <n v="53"/>
    <n v="24.5"/>
    <n v="7"/>
    <n v="33"/>
    <n v="15.6"/>
    <n v="3"/>
    <n v="3"/>
    <n v="75"/>
    <n v="10"/>
    <n v="33"/>
    <n v="43"/>
    <n v="7"/>
    <n v="13"/>
    <n v="10"/>
    <n v="7"/>
    <n v="17"/>
    <n v="129"/>
    <n v="0"/>
    <n v="0"/>
    <n v="-0.4"/>
    <n v="106.6"/>
    <n v="108.9"/>
    <n v="-2.2999999999999998"/>
    <n v="4.3"/>
    <n v="0.5"/>
    <n v="9.3000000000000007"/>
    <n v="4.0999999999999996"/>
    <n v="14.6"/>
    <n v="9.1"/>
    <n v="18.7"/>
    <n v="29.2"/>
    <n v="31"/>
    <n v="12.5"/>
    <n v="97.6"/>
    <n v="2.2000000000000002"/>
    <n v="469"/>
  </r>
  <r>
    <x v="494"/>
    <x v="23"/>
    <n v="21"/>
    <n v="22"/>
    <n v="11"/>
    <n v="11"/>
    <n v="5.2"/>
    <n v="33"/>
    <n v="13"/>
    <n v="31"/>
    <n v="43.3"/>
    <n v="2"/>
    <n v="13"/>
    <n v="23.1"/>
    <n v="2"/>
    <n v="9"/>
    <n v="33.299999999999997"/>
    <n v="9"/>
    <n v="13"/>
    <n v="22"/>
    <n v="15"/>
    <n v="11"/>
    <n v="2"/>
    <n v="0"/>
    <n v="11"/>
    <n v="77"/>
    <n v="0"/>
    <n v="0"/>
    <n v="0.4"/>
    <n v="91.2"/>
    <n v="89"/>
    <n v="2.1"/>
    <n v="19.7"/>
    <n v="1.36"/>
    <n v="25.4"/>
    <n v="6.8"/>
    <n v="10"/>
    <n v="8.5"/>
    <n v="18.600000000000001"/>
    <n v="48.3"/>
    <n v="47.1"/>
    <n v="15.6"/>
    <n v="103.79"/>
    <n v="5.7"/>
    <n v="249"/>
  </r>
  <r>
    <x v="495"/>
    <x v="2"/>
    <n v="23"/>
    <n v="19"/>
    <n v="12"/>
    <n v="7"/>
    <n v="3.5"/>
    <n v="32"/>
    <n v="13"/>
    <n v="25"/>
    <n v="58.3"/>
    <n v="2"/>
    <n v="8"/>
    <n v="25"/>
    <n v="4"/>
    <n v="4"/>
    <n v="75"/>
    <n v="6"/>
    <n v="15"/>
    <n v="23"/>
    <n v="4"/>
    <n v="2"/>
    <n v="0"/>
    <n v="4"/>
    <n v="11"/>
    <n v="76"/>
    <n v="0"/>
    <n v="0"/>
    <n v="-0.1"/>
    <n v="91.9"/>
    <n v="91.3"/>
    <n v="0.5"/>
    <n v="11.8"/>
    <n v="2"/>
    <n v="12.5"/>
    <n v="7.9"/>
    <n v="21.9"/>
    <n v="14.8"/>
    <n v="6.3"/>
    <n v="62.5"/>
    <n v="64.099999999999994"/>
    <n v="17.600000000000001"/>
    <n v="99"/>
    <n v="16.8"/>
    <n v="135"/>
  </r>
  <r>
    <x v="496"/>
    <x v="6"/>
    <n v="31"/>
    <n v="8"/>
    <n v="4"/>
    <n v="4"/>
    <n v="18.7"/>
    <n v="32"/>
    <n v="11"/>
    <n v="38"/>
    <n v="28.9"/>
    <n v="6"/>
    <n v="22"/>
    <n v="27.3"/>
    <n v="4"/>
    <n v="4"/>
    <n v="100"/>
    <n v="6"/>
    <n v="6"/>
    <n v="12"/>
    <n v="12"/>
    <n v="8"/>
    <n v="8"/>
    <n v="1"/>
    <n v="17"/>
    <n v="83"/>
    <n v="0"/>
    <n v="0"/>
    <n v="-3.9"/>
    <n v="104.1"/>
    <n v="114.7"/>
    <n v="-10.6"/>
    <n v="11.7"/>
    <n v="1.5"/>
    <n v="20"/>
    <n v="3.8"/>
    <n v="4.8"/>
    <n v="4.2"/>
    <n v="13.3"/>
    <n v="36.799999999999997"/>
    <n v="40.200000000000003"/>
    <n v="13.4"/>
    <n v="100.82"/>
    <n v="1.5"/>
    <n v="315"/>
  </r>
  <r>
    <x v="497"/>
    <x v="28"/>
    <n v="25"/>
    <n v="10"/>
    <n v="1"/>
    <n v="9"/>
    <n v="13.8"/>
    <n v="32"/>
    <n v="11"/>
    <n v="35"/>
    <n v="31.4"/>
    <n v="7"/>
    <n v="25"/>
    <n v="28"/>
    <n v="3"/>
    <n v="6"/>
    <n v="50"/>
    <n v="9"/>
    <n v="12"/>
    <n v="21"/>
    <n v="8"/>
    <n v="3"/>
    <n v="10"/>
    <n v="1"/>
    <n v="18"/>
    <n v="99"/>
    <n v="0"/>
    <n v="0"/>
    <n v="3.1"/>
    <n v="113.2"/>
    <n v="103.5"/>
    <n v="9.6999999999999993"/>
    <n v="7.3"/>
    <n v="2.67"/>
    <n v="16.3"/>
    <n v="5.8"/>
    <n v="9.1999999999999993"/>
    <n v="7.4"/>
    <n v="6.1"/>
    <n v="41.4"/>
    <n v="42.5"/>
    <n v="12"/>
    <n v="99.3"/>
    <n v="3.7"/>
    <n v="287"/>
  </r>
  <r>
    <x v="498"/>
    <x v="2"/>
    <n v="22"/>
    <n v="24"/>
    <n v="14"/>
    <n v="10"/>
    <n v="4.9000000000000004"/>
    <n v="31"/>
    <n v="12"/>
    <n v="41"/>
    <n v="31.7"/>
    <n v="2"/>
    <n v="17"/>
    <n v="17.600000000000001"/>
    <n v="2"/>
    <n v="5"/>
    <n v="75"/>
    <n v="0"/>
    <n v="12"/>
    <n v="12"/>
    <n v="12"/>
    <n v="5"/>
    <n v="2"/>
    <n v="0"/>
    <n v="10"/>
    <n v="67"/>
    <n v="0"/>
    <n v="0"/>
    <n v="-1"/>
    <n v="94.2"/>
    <n v="105.1"/>
    <n v="-10.9"/>
    <n v="13.6"/>
    <n v="2.2000000000000002"/>
    <n v="18.600000000000001"/>
    <n v="0.8"/>
    <n v="8.6999999999999993"/>
    <n v="4.7"/>
    <n v="8.5"/>
    <n v="35.4"/>
    <n v="37.4"/>
    <n v="16.5"/>
    <n v="105.44"/>
    <n v="2.9"/>
    <n v="259"/>
  </r>
  <r>
    <x v="499"/>
    <x v="10"/>
    <n v="19"/>
    <n v="18"/>
    <n v="14"/>
    <n v="4"/>
    <n v="6.2"/>
    <n v="31"/>
    <n v="11"/>
    <n v="31"/>
    <n v="32.299999999999997"/>
    <n v="5"/>
    <n v="20"/>
    <n v="31.6"/>
    <n v="4"/>
    <n v="5"/>
    <n v="66.7"/>
    <n v="4"/>
    <n v="14"/>
    <n v="18"/>
    <n v="5"/>
    <n v="4"/>
    <n v="4"/>
    <n v="2"/>
    <n v="7"/>
    <n v="70"/>
    <n v="0"/>
    <n v="0"/>
    <n v="-0.9"/>
    <n v="103.8"/>
    <n v="113"/>
    <n v="-9.1999999999999993"/>
    <n v="6.3"/>
    <n v="1.25"/>
    <n v="11.9"/>
    <n v="2.8"/>
    <n v="12.8"/>
    <n v="8"/>
    <n v="9.5"/>
    <n v="41.9"/>
    <n v="44.6"/>
    <n v="14.2"/>
    <n v="100.38"/>
    <n v="4.7"/>
    <n v="235"/>
  </r>
  <r>
    <x v="500"/>
    <x v="17"/>
    <n v="24"/>
    <n v="11"/>
    <n v="7"/>
    <n v="4"/>
    <n v="6.4"/>
    <n v="30"/>
    <n v="11"/>
    <n v="33"/>
    <n v="33.299999999999997"/>
    <n v="6"/>
    <n v="21"/>
    <n v="28.6"/>
    <n v="2"/>
    <n v="2"/>
    <n v="100"/>
    <n v="2"/>
    <n v="10"/>
    <n v="12"/>
    <n v="14"/>
    <n v="6"/>
    <n v="7"/>
    <n v="2"/>
    <n v="7"/>
    <n v="87"/>
    <n v="0"/>
    <n v="0"/>
    <n v="4"/>
    <n v="113.5"/>
    <n v="86.3"/>
    <n v="27.3"/>
    <n v="25.5"/>
    <n v="2.8"/>
    <n v="26.4"/>
    <n v="2.5"/>
    <n v="11.6"/>
    <n v="7.3"/>
    <n v="9.4"/>
    <n v="42.4"/>
    <n v="44.3"/>
    <n v="21.2"/>
    <n v="105.02"/>
    <n v="11"/>
    <n v="155"/>
  </r>
  <r>
    <x v="501"/>
    <x v="3"/>
    <n v="21"/>
    <n v="21"/>
    <n v="15"/>
    <n v="6"/>
    <n v="5"/>
    <n v="29"/>
    <n v="8"/>
    <n v="27"/>
    <n v="33.299999999999997"/>
    <n v="0"/>
    <n v="8"/>
    <n v="0"/>
    <n v="13"/>
    <n v="17"/>
    <n v="75"/>
    <n v="11"/>
    <n v="25"/>
    <n v="36"/>
    <n v="4"/>
    <n v="6"/>
    <n v="4"/>
    <n v="0"/>
    <n v="8"/>
    <n v="88"/>
    <n v="0"/>
    <n v="0"/>
    <n v="-1.4"/>
    <n v="89.6"/>
    <n v="102.2"/>
    <n v="-12.6"/>
    <n v="7.8"/>
    <n v="0.83"/>
    <n v="11.1"/>
    <n v="9.1"/>
    <n v="19.8"/>
    <n v="14.8"/>
    <n v="13.3"/>
    <n v="33.299999999999997"/>
    <n v="44.1"/>
    <n v="15"/>
    <n v="104.34"/>
    <n v="9.9"/>
    <n v="230"/>
  </r>
  <r>
    <x v="502"/>
    <x v="10"/>
    <n v="28"/>
    <n v="19"/>
    <n v="14"/>
    <n v="5"/>
    <n v="3.6"/>
    <n v="29"/>
    <n v="10"/>
    <n v="30"/>
    <n v="32.299999999999997"/>
    <n v="6"/>
    <n v="19"/>
    <n v="31.6"/>
    <n v="2"/>
    <n v="2"/>
    <n v="100"/>
    <n v="0"/>
    <n v="8"/>
    <n v="8"/>
    <n v="4"/>
    <n v="4"/>
    <n v="2"/>
    <n v="0"/>
    <n v="2"/>
    <n v="46"/>
    <n v="0"/>
    <n v="0"/>
    <n v="-2.1"/>
    <n v="80.5"/>
    <n v="108.8"/>
    <n v="-28.3"/>
    <n v="8.3000000000000007"/>
    <n v="1"/>
    <n v="7.9"/>
    <n v="0"/>
    <n v="11.3"/>
    <n v="5.6"/>
    <n v="7.9"/>
    <n v="41.9"/>
    <n v="43.9"/>
    <n v="20.8"/>
    <n v="104.75"/>
    <n v="6.2"/>
    <n v="149"/>
  </r>
  <r>
    <x v="503"/>
    <x v="24"/>
    <n v="26"/>
    <n v="4"/>
    <n v="1"/>
    <n v="3"/>
    <n v="19.8"/>
    <n v="28"/>
    <n v="11"/>
    <n v="27"/>
    <n v="40.700000000000003"/>
    <n v="3"/>
    <n v="8"/>
    <n v="37.5"/>
    <n v="3"/>
    <n v="4"/>
    <n v="75"/>
    <n v="1"/>
    <n v="5"/>
    <n v="6"/>
    <n v="13"/>
    <n v="6"/>
    <n v="3"/>
    <n v="2"/>
    <n v="10"/>
    <n v="64"/>
    <n v="0"/>
    <n v="0"/>
    <n v="-9.8000000000000007"/>
    <n v="95.6"/>
    <n v="119.3"/>
    <n v="-23.6"/>
    <n v="25.5"/>
    <n v="2.17"/>
    <n v="27.1"/>
    <n v="1.3"/>
    <n v="5.7"/>
    <n v="3.6"/>
    <n v="12.5"/>
    <n v="46.3"/>
    <n v="48.7"/>
    <n v="19.3"/>
    <n v="97.05"/>
    <n v="5.7"/>
    <n v="160"/>
  </r>
  <r>
    <x v="504"/>
    <x v="6"/>
    <n v="23"/>
    <n v="14"/>
    <n v="9"/>
    <n v="5"/>
    <n v="5"/>
    <n v="28"/>
    <n v="11"/>
    <n v="31"/>
    <n v="35.5"/>
    <n v="1"/>
    <n v="11"/>
    <n v="18.2"/>
    <n v="4"/>
    <n v="6"/>
    <n v="66.7"/>
    <n v="0"/>
    <n v="8"/>
    <n v="8"/>
    <n v="8"/>
    <n v="6"/>
    <n v="6"/>
    <n v="3"/>
    <n v="1"/>
    <n v="69"/>
    <n v="0"/>
    <n v="0"/>
    <n v="-0.4"/>
    <n v="105.7"/>
    <n v="108.2"/>
    <n v="-2.5"/>
    <n v="14.5"/>
    <n v="1.33"/>
    <n v="16.7"/>
    <n v="0"/>
    <n v="11.5"/>
    <n v="6.3"/>
    <n v="12.5"/>
    <n v="38.700000000000003"/>
    <n v="41.6"/>
    <n v="23.5"/>
    <n v="109.7"/>
    <n v="6.3"/>
    <n v="158"/>
  </r>
  <r>
    <x v="505"/>
    <x v="2"/>
    <n v="23"/>
    <n v="20"/>
    <n v="13"/>
    <n v="7"/>
    <n v="6.2"/>
    <n v="26"/>
    <n v="12"/>
    <n v="34"/>
    <n v="32.4"/>
    <n v="2"/>
    <n v="18"/>
    <n v="5.9"/>
    <n v="4"/>
    <n v="4"/>
    <n v="100"/>
    <n v="8"/>
    <n v="10"/>
    <n v="18"/>
    <n v="6"/>
    <n v="6"/>
    <n v="6"/>
    <n v="6"/>
    <n v="18"/>
    <n v="78"/>
    <n v="0"/>
    <n v="0"/>
    <n v="-2.2999999999999998"/>
    <n v="89.4"/>
    <n v="107.4"/>
    <n v="-18"/>
    <n v="6"/>
    <n v="1"/>
    <n v="11.1"/>
    <n v="5.7"/>
    <n v="6.7"/>
    <n v="6.2"/>
    <n v="11.1"/>
    <n v="33.799999999999997"/>
    <n v="36.799999999999997"/>
    <n v="12.8"/>
    <n v="104.76"/>
    <n v="1.3"/>
    <n v="274"/>
  </r>
  <r>
    <x v="506"/>
    <x v="7"/>
    <n v="25"/>
    <n v="17"/>
    <n v="13"/>
    <n v="4"/>
    <n v="4.4000000000000004"/>
    <n v="24"/>
    <n v="9"/>
    <n v="22"/>
    <n v="40.9"/>
    <n v="5"/>
    <n v="10"/>
    <n v="50"/>
    <n v="0"/>
    <n v="0"/>
    <n v="0"/>
    <n v="3"/>
    <n v="12"/>
    <n v="15"/>
    <n v="7"/>
    <n v="3"/>
    <n v="2"/>
    <n v="0"/>
    <n v="3"/>
    <n v="53"/>
    <n v="0"/>
    <n v="0"/>
    <n v="-1.5"/>
    <n v="89.9"/>
    <n v="104.4"/>
    <n v="-14.5"/>
    <n v="13.3"/>
    <n v="2"/>
    <n v="19.399999999999999"/>
    <n v="4.0999999999999996"/>
    <n v="14.8"/>
    <n v="9.6999999999999993"/>
    <n v="9.6999999999999993"/>
    <n v="52.3"/>
    <n v="52.3"/>
    <n v="14"/>
    <n v="101.56"/>
    <n v="9"/>
    <n v="158"/>
  </r>
  <r>
    <x v="507"/>
    <x v="25"/>
    <n v="22"/>
    <n v="16"/>
    <n v="8"/>
    <n v="8"/>
    <n v="3.5"/>
    <n v="24"/>
    <n v="10"/>
    <n v="22"/>
    <n v="39.1"/>
    <n v="5"/>
    <n v="11"/>
    <n v="36.4"/>
    <n v="2"/>
    <n v="5"/>
    <n v="50"/>
    <n v="2"/>
    <n v="5"/>
    <n v="5"/>
    <n v="6"/>
    <n v="5"/>
    <n v="2"/>
    <n v="2"/>
    <n v="10"/>
    <n v="43"/>
    <n v="0"/>
    <n v="0"/>
    <n v="0.7"/>
    <n v="103.8"/>
    <n v="99.2"/>
    <n v="4.5999999999999996"/>
    <n v="15.4"/>
    <n v="1.2"/>
    <n v="17.100000000000001"/>
    <n v="1.6"/>
    <n v="6.5"/>
    <n v="4"/>
    <n v="14.3"/>
    <n v="47.8"/>
    <n v="48.5"/>
    <n v="19.5"/>
    <n v="109.79"/>
    <n v="3.1"/>
    <n v="132"/>
  </r>
  <r>
    <x v="508"/>
    <x v="12"/>
    <n v="23"/>
    <n v="4"/>
    <n v="0"/>
    <n v="4"/>
    <n v="12.7"/>
    <n v="24"/>
    <n v="10"/>
    <n v="13"/>
    <n v="76.900000000000006"/>
    <n v="0"/>
    <n v="0"/>
    <n v="0"/>
    <n v="4"/>
    <n v="5"/>
    <n v="80"/>
    <n v="6"/>
    <n v="15"/>
    <n v="21"/>
    <n v="2"/>
    <n v="2"/>
    <n v="1"/>
    <n v="5"/>
    <n v="9"/>
    <n v="68"/>
    <n v="0"/>
    <n v="0"/>
    <n v="-2.8"/>
    <n v="114.9"/>
    <n v="123.5"/>
    <n v="-8.6"/>
    <n v="5"/>
    <n v="1"/>
    <n v="10.5"/>
    <n v="12.2"/>
    <n v="26.8"/>
    <n v="20"/>
    <n v="10.5"/>
    <n v="76.900000000000006"/>
    <n v="78.900000000000006"/>
    <n v="13.3"/>
    <n v="108.58"/>
    <n v="12.5"/>
    <n v="114"/>
  </r>
  <r>
    <x v="509"/>
    <x v="2"/>
    <n v="28"/>
    <n v="13"/>
    <n v="2"/>
    <n v="11"/>
    <n v="10.4"/>
    <n v="23"/>
    <n v="10"/>
    <n v="26"/>
    <n v="38.5"/>
    <n v="4"/>
    <n v="16"/>
    <n v="26.7"/>
    <n v="0"/>
    <n v="0"/>
    <n v="0"/>
    <n v="7"/>
    <n v="26"/>
    <n v="33"/>
    <n v="9"/>
    <n v="10"/>
    <n v="3"/>
    <n v="3"/>
    <n v="10"/>
    <n v="79"/>
    <n v="0"/>
    <n v="0"/>
    <n v="-1.4"/>
    <n v="93.5"/>
    <n v="100.3"/>
    <n v="-6.9"/>
    <n v="9.5"/>
    <n v="0.82"/>
    <n v="19.600000000000001"/>
    <n v="3.8"/>
    <n v="17"/>
    <n v="10.199999999999999"/>
    <n v="23.9"/>
    <n v="46.2"/>
    <n v="46.2"/>
    <n v="10.9"/>
    <n v="102.84"/>
    <n v="6.2"/>
    <n v="292"/>
  </r>
  <r>
    <x v="510"/>
    <x v="11"/>
    <n v="34"/>
    <n v="9"/>
    <n v="3"/>
    <n v="6"/>
    <n v="11.4"/>
    <n v="23"/>
    <n v="7"/>
    <n v="22"/>
    <n v="31.8"/>
    <n v="4"/>
    <n v="15"/>
    <n v="26.7"/>
    <n v="5"/>
    <n v="6"/>
    <n v="83.3"/>
    <n v="6"/>
    <n v="14"/>
    <n v="20"/>
    <n v="6"/>
    <n v="4"/>
    <n v="3"/>
    <n v="0"/>
    <n v="10"/>
    <n v="61"/>
    <n v="0"/>
    <n v="0"/>
    <n v="-2"/>
    <n v="101.9"/>
    <n v="109.2"/>
    <n v="-7.4"/>
    <n v="7.7"/>
    <n v="1.5"/>
    <n v="17.600000000000001"/>
    <n v="5.5"/>
    <n v="13.3"/>
    <n v="9.3000000000000007"/>
    <n v="11.8"/>
    <n v="40.9"/>
    <n v="46.7"/>
    <n v="11.3"/>
    <n v="100.89"/>
    <n v="4.8"/>
    <n v="215"/>
  </r>
  <r>
    <x v="511"/>
    <x v="11"/>
    <n v="26"/>
    <n v="10"/>
    <n v="4"/>
    <n v="6"/>
    <n v="4.5"/>
    <n v="23"/>
    <n v="9"/>
    <n v="18"/>
    <n v="50"/>
    <n v="1"/>
    <n v="8"/>
    <n v="12.5"/>
    <n v="4"/>
    <n v="5"/>
    <n v="80"/>
    <n v="2"/>
    <n v="7"/>
    <n v="9"/>
    <n v="11"/>
    <n v="1"/>
    <n v="0"/>
    <n v="1"/>
    <n v="3"/>
    <n v="52"/>
    <n v="0"/>
    <n v="0"/>
    <n v="0.1"/>
    <n v="107.4"/>
    <n v="105.3"/>
    <n v="2.2000000000000002"/>
    <n v="37.9"/>
    <n v="11"/>
    <n v="34.4"/>
    <n v="4.5"/>
    <n v="14.9"/>
    <n v="9.9"/>
    <n v="3.1"/>
    <n v="52.8"/>
    <n v="56.9"/>
    <n v="19.3"/>
    <n v="99.93"/>
    <n v="15.9"/>
    <n v="94"/>
  </r>
  <r>
    <x v="512"/>
    <x v="18"/>
    <n v="24"/>
    <n v="12"/>
    <n v="6"/>
    <n v="6"/>
    <n v="4.4000000000000004"/>
    <n v="22"/>
    <n v="8"/>
    <n v="16"/>
    <n v="53.3"/>
    <n v="4"/>
    <n v="10"/>
    <n v="30"/>
    <n v="2"/>
    <n v="2"/>
    <n v="100"/>
    <n v="4"/>
    <n v="6"/>
    <n v="10"/>
    <n v="4"/>
    <n v="2"/>
    <n v="1"/>
    <n v="1"/>
    <n v="11"/>
    <n v="41"/>
    <n v="0"/>
    <n v="0"/>
    <n v="-0.7"/>
    <n v="117.9"/>
    <n v="126.4"/>
    <n v="-8.6"/>
    <n v="6.4"/>
    <n v="1.5"/>
    <n v="14.3"/>
    <n v="6.5"/>
    <n v="10.199999999999999"/>
    <n v="8.6"/>
    <n v="9.5"/>
    <n v="63.3"/>
    <n v="66.099999999999994"/>
    <n v="13"/>
    <n v="110.79"/>
    <n v="4.7"/>
    <n v="123"/>
  </r>
  <r>
    <x v="513"/>
    <x v="13"/>
    <n v="28"/>
    <n v="6"/>
    <n v="4"/>
    <n v="2"/>
    <n v="8.6"/>
    <n v="22"/>
    <n v="8"/>
    <n v="17"/>
    <n v="47.1"/>
    <n v="3"/>
    <n v="10"/>
    <n v="30"/>
    <n v="3"/>
    <n v="6"/>
    <n v="50"/>
    <n v="3"/>
    <n v="8"/>
    <n v="11"/>
    <n v="4"/>
    <n v="1"/>
    <n v="4"/>
    <n v="0"/>
    <n v="4"/>
    <n v="52"/>
    <n v="0"/>
    <n v="0"/>
    <n v="3.8"/>
    <n v="116.4"/>
    <n v="103.5"/>
    <n v="12.9"/>
    <n v="10"/>
    <n v="4"/>
    <n v="16"/>
    <n v="4.5999999999999996"/>
    <n v="16.7"/>
    <n v="9.6999999999999993"/>
    <n v="4"/>
    <n v="55.9"/>
    <n v="56"/>
    <n v="14.2"/>
    <n v="109.95"/>
    <n v="10.1"/>
    <n v="122"/>
  </r>
  <r>
    <x v="514"/>
    <x v="1"/>
    <n v="21"/>
    <n v="13"/>
    <n v="11"/>
    <n v="2"/>
    <n v="2.4"/>
    <n v="20"/>
    <n v="7"/>
    <n v="16"/>
    <n v="40"/>
    <n v="0"/>
    <n v="5"/>
    <n v="0"/>
    <n v="8"/>
    <n v="8"/>
    <n v="100"/>
    <n v="3"/>
    <n v="8"/>
    <n v="10"/>
    <n v="0"/>
    <n v="3"/>
    <n v="3"/>
    <n v="1"/>
    <n v="3"/>
    <n v="40"/>
    <n v="0"/>
    <n v="0"/>
    <n v="-0.9"/>
    <n v="79.2"/>
    <n v="98.6"/>
    <n v="-19.399999999999999"/>
    <n v="0"/>
    <n v="0"/>
    <n v="0"/>
    <n v="7.3"/>
    <n v="22.9"/>
    <n v="14.5"/>
    <n v="9.5"/>
    <n v="40"/>
    <n v="54"/>
    <n v="23.9"/>
    <n v="107.87"/>
    <n v="20.2"/>
    <n v="72"/>
  </r>
  <r>
    <x v="515"/>
    <x v="9"/>
    <n v="19"/>
    <n v="13"/>
    <n v="10"/>
    <n v="3"/>
    <n v="4.5"/>
    <n v="18"/>
    <n v="7"/>
    <n v="23"/>
    <n v="29.2"/>
    <n v="3"/>
    <n v="13"/>
    <n v="15.4"/>
    <n v="3"/>
    <n v="4"/>
    <n v="50"/>
    <n v="3"/>
    <n v="9"/>
    <n v="12"/>
    <n v="7"/>
    <n v="3"/>
    <n v="5"/>
    <n v="1"/>
    <n v="4"/>
    <n v="57"/>
    <n v="0"/>
    <n v="0"/>
    <n v="-0.8"/>
    <n v="97.6"/>
    <n v="105.6"/>
    <n v="-7.9"/>
    <n v="16.7"/>
    <n v="3"/>
    <n v="17.600000000000001"/>
    <n v="5.0999999999999996"/>
    <n v="14.1"/>
    <n v="9.8000000000000007"/>
    <n v="5.9"/>
    <n v="33.299999999999997"/>
    <n v="34.9"/>
    <n v="19.2"/>
    <n v="103.12"/>
    <n v="7"/>
    <n v="126"/>
  </r>
  <r>
    <x v="516"/>
    <x v="3"/>
    <n v="25"/>
    <n v="5"/>
    <n v="4"/>
    <n v="1"/>
    <n v="12.3"/>
    <n v="17"/>
    <n v="6"/>
    <n v="12"/>
    <n v="50"/>
    <n v="1"/>
    <n v="5"/>
    <n v="20"/>
    <n v="4"/>
    <n v="6"/>
    <n v="66.7"/>
    <n v="1"/>
    <n v="4"/>
    <n v="5"/>
    <n v="10"/>
    <n v="8"/>
    <n v="4"/>
    <n v="2"/>
    <n v="2"/>
    <n v="48"/>
    <n v="0"/>
    <n v="0"/>
    <n v="0.4"/>
    <n v="118.5"/>
    <n v="117.8"/>
    <n v="0.6"/>
    <n v="21.3"/>
    <n v="1.25"/>
    <n v="30.3"/>
    <n v="1.9"/>
    <n v="5.8"/>
    <n v="4.0999999999999996"/>
    <n v="24.2"/>
    <n v="54.2"/>
    <n v="58.1"/>
    <n v="16.3"/>
    <n v="100.75"/>
    <n v="6.7"/>
    <n v="130"/>
  </r>
  <r>
    <x v="517"/>
    <x v="23"/>
    <n v="26"/>
    <n v="19"/>
    <n v="8"/>
    <n v="11"/>
    <n v="5.3"/>
    <n v="17"/>
    <n v="8"/>
    <n v="21"/>
    <n v="38.1"/>
    <n v="2"/>
    <n v="10"/>
    <n v="20"/>
    <n v="0"/>
    <n v="2"/>
    <n v="0"/>
    <n v="6"/>
    <n v="6"/>
    <n v="10"/>
    <n v="8"/>
    <n v="6"/>
    <n v="6"/>
    <n v="2"/>
    <n v="11"/>
    <n v="57"/>
    <n v="0"/>
    <n v="0"/>
    <n v="-0.6"/>
    <n v="95"/>
    <n v="101.9"/>
    <n v="-6.9"/>
    <n v="10.8"/>
    <n v="1.4"/>
    <n v="20.6"/>
    <n v="4.7"/>
    <n v="5.5"/>
    <n v="5.0999999999999996"/>
    <n v="14.7"/>
    <n v="42.9"/>
    <n v="41.1"/>
    <n v="10.7"/>
    <n v="103.22"/>
    <n v="2"/>
    <n v="218"/>
  </r>
  <r>
    <x v="518"/>
    <x v="24"/>
    <n v="27"/>
    <n v="4"/>
    <n v="2"/>
    <n v="2"/>
    <n v="10.9"/>
    <n v="16"/>
    <n v="5"/>
    <n v="13"/>
    <n v="38.5"/>
    <n v="1"/>
    <n v="4"/>
    <n v="25"/>
    <n v="5"/>
    <n v="6"/>
    <n v="83.3"/>
    <n v="3"/>
    <n v="4"/>
    <n v="7"/>
    <n v="7"/>
    <n v="4"/>
    <n v="3"/>
    <n v="0"/>
    <n v="4"/>
    <n v="40"/>
    <n v="0"/>
    <n v="0"/>
    <n v="0.3"/>
    <n v="112.8"/>
    <n v="109.1"/>
    <n v="3.7"/>
    <n v="23.3"/>
    <n v="1.75"/>
    <n v="26.9"/>
    <n v="7.7"/>
    <n v="8"/>
    <n v="7.9"/>
    <n v="15.4"/>
    <n v="42.3"/>
    <n v="51.2"/>
    <n v="19.600000000000001"/>
    <n v="95.6"/>
    <n v="8.4"/>
    <n v="86"/>
  </r>
  <r>
    <x v="519"/>
    <x v="19"/>
    <n v="25"/>
    <n v="6"/>
    <n v="0"/>
    <n v="6"/>
    <n v="5.6"/>
    <n v="16"/>
    <n v="6"/>
    <n v="14"/>
    <n v="42.9"/>
    <n v="3"/>
    <n v="6"/>
    <n v="50"/>
    <n v="1"/>
    <n v="2"/>
    <n v="50"/>
    <n v="1"/>
    <n v="4"/>
    <n v="5"/>
    <n v="4"/>
    <n v="2"/>
    <n v="1"/>
    <n v="0"/>
    <n v="1"/>
    <n v="29"/>
    <n v="0"/>
    <n v="0"/>
    <n v="4.7"/>
    <n v="128.4"/>
    <n v="91.8"/>
    <n v="36.6"/>
    <n v="13.3"/>
    <n v="2"/>
    <n v="19"/>
    <n v="3.2"/>
    <n v="10"/>
    <n v="7"/>
    <n v="9.5"/>
    <n v="53.6"/>
    <n v="53.8"/>
    <n v="20.7"/>
    <n v="104.64"/>
    <n v="8.6999999999999993"/>
    <n v="74"/>
  </r>
  <r>
    <x v="520"/>
    <x v="8"/>
    <n v="22"/>
    <n v="8"/>
    <n v="4"/>
    <n v="4"/>
    <n v="5.3"/>
    <n v="15"/>
    <n v="6"/>
    <n v="10"/>
    <n v="60"/>
    <n v="2"/>
    <n v="5"/>
    <n v="40"/>
    <n v="1"/>
    <n v="2"/>
    <n v="50"/>
    <n v="1"/>
    <n v="6"/>
    <n v="7"/>
    <n v="7"/>
    <n v="1"/>
    <n v="2"/>
    <n v="1"/>
    <n v="8"/>
    <n v="42"/>
    <n v="0"/>
    <n v="0"/>
    <n v="0"/>
    <n v="121.4"/>
    <n v="117.2"/>
    <n v="4.2"/>
    <n v="21.2"/>
    <n v="7"/>
    <n v="36.799999999999997"/>
    <n v="2.4"/>
    <n v="18.2"/>
    <n v="9.5"/>
    <n v="5.3"/>
    <n v="70"/>
    <n v="68.900000000000006"/>
    <n v="12.1"/>
    <n v="96.83"/>
    <n v="9.5"/>
    <n v="84"/>
  </r>
  <r>
    <x v="521"/>
    <x v="3"/>
    <n v="26"/>
    <n v="22"/>
    <n v="15"/>
    <n v="7"/>
    <n v="3.9"/>
    <n v="15"/>
    <n v="4"/>
    <n v="26"/>
    <n v="19.2"/>
    <n v="2"/>
    <n v="15"/>
    <n v="20"/>
    <n v="2"/>
    <n v="4"/>
    <n v="50"/>
    <n v="4"/>
    <n v="13"/>
    <n v="18"/>
    <n v="4"/>
    <n v="2"/>
    <n v="2"/>
    <n v="7"/>
    <n v="9"/>
    <n v="66"/>
    <n v="0"/>
    <n v="0"/>
    <n v="-0.7"/>
    <n v="85.6"/>
    <n v="95.8"/>
    <n v="-10.1"/>
    <n v="7.1"/>
    <n v="1.33"/>
    <n v="11.4"/>
    <n v="4.3"/>
    <n v="13.1"/>
    <n v="8.9"/>
    <n v="8.6"/>
    <n v="25"/>
    <n v="27"/>
    <n v="13.7"/>
    <n v="107.72"/>
    <n v="2.2000000000000002"/>
    <n v="195"/>
  </r>
  <r>
    <x v="522"/>
    <x v="1"/>
    <n v="37"/>
    <n v="19"/>
    <n v="12"/>
    <n v="7"/>
    <n v="6"/>
    <n v="15"/>
    <n v="6"/>
    <n v="23"/>
    <n v="26.1"/>
    <n v="4"/>
    <n v="15"/>
    <n v="20"/>
    <n v="0"/>
    <n v="0"/>
    <n v="0"/>
    <n v="2"/>
    <n v="10"/>
    <n v="11"/>
    <n v="23"/>
    <n v="10"/>
    <n v="2"/>
    <n v="0"/>
    <n v="11"/>
    <n v="59"/>
    <n v="0"/>
    <n v="0"/>
    <n v="0.1"/>
    <n v="108.9"/>
    <n v="113.1"/>
    <n v="-4.2"/>
    <n v="26.1"/>
    <n v="2.56"/>
    <n v="41.8"/>
    <n v="1.7"/>
    <n v="8"/>
    <n v="4.8"/>
    <n v="16.399999999999999"/>
    <n v="32.6"/>
    <n v="32.6"/>
    <n v="11.3"/>
    <n v="102.03"/>
    <n v="2.5"/>
    <n v="248"/>
  </r>
  <r>
    <x v="523"/>
    <x v="8"/>
    <n v="24"/>
    <n v="1"/>
    <n v="0"/>
    <n v="1"/>
    <n v="22.4"/>
    <n v="14"/>
    <n v="6"/>
    <n v="9"/>
    <n v="66.7"/>
    <n v="0"/>
    <n v="0"/>
    <n v="0"/>
    <n v="2"/>
    <n v="3"/>
    <n v="66.7"/>
    <n v="4"/>
    <n v="4"/>
    <n v="8"/>
    <n v="0"/>
    <n v="2"/>
    <n v="0"/>
    <n v="0"/>
    <n v="3"/>
    <n v="22"/>
    <n v="0"/>
    <n v="0"/>
    <n v="7"/>
    <n v="117.4"/>
    <n v="104.4"/>
    <n v="12.9"/>
    <n v="0"/>
    <n v="0"/>
    <n v="0"/>
    <n v="12.9"/>
    <n v="20"/>
    <n v="15.7"/>
    <n v="16.7"/>
    <n v="66.7"/>
    <n v="67.8"/>
    <n v="20"/>
    <n v="97.72"/>
    <n v="14.9"/>
    <n v="46"/>
  </r>
  <r>
    <x v="524"/>
    <x v="12"/>
    <n v="28"/>
    <n v="9"/>
    <n v="5"/>
    <n v="4"/>
    <n v="4.8"/>
    <n v="14"/>
    <n v="5"/>
    <n v="17"/>
    <n v="29.4"/>
    <n v="4"/>
    <n v="13"/>
    <n v="30.8"/>
    <n v="0"/>
    <n v="0"/>
    <n v="0"/>
    <n v="2"/>
    <n v="3"/>
    <n v="5"/>
    <n v="1"/>
    <n v="2"/>
    <n v="0"/>
    <n v="2"/>
    <n v="3"/>
    <n v="25"/>
    <n v="0"/>
    <n v="0"/>
    <n v="-1.1000000000000001"/>
    <n v="84.7"/>
    <n v="93.9"/>
    <n v="-9.1999999999999993"/>
    <n v="3.8"/>
    <n v="0.5"/>
    <n v="5"/>
    <n v="3.9"/>
    <n v="5.6"/>
    <n v="4.8"/>
    <n v="10"/>
    <n v="41.2"/>
    <n v="41.2"/>
    <n v="17.600000000000001"/>
    <n v="109.32"/>
    <n v="2"/>
    <n v="98"/>
  </r>
  <r>
    <x v="525"/>
    <x v="14"/>
    <n v="22"/>
    <n v="9"/>
    <n v="5"/>
    <n v="4"/>
    <n v="7.4"/>
    <n v="14"/>
    <n v="6"/>
    <n v="19"/>
    <n v="31.6"/>
    <n v="0"/>
    <n v="7"/>
    <n v="0"/>
    <n v="2"/>
    <n v="7"/>
    <n v="28.6"/>
    <n v="2"/>
    <n v="13"/>
    <n v="15"/>
    <n v="1"/>
    <n v="3"/>
    <n v="4"/>
    <n v="2"/>
    <n v="6"/>
    <n v="49"/>
    <n v="0"/>
    <n v="0"/>
    <n v="-5.4"/>
    <n v="81.900000000000006"/>
    <n v="119.3"/>
    <n v="-37.299999999999997"/>
    <n v="2.6"/>
    <n v="0.33"/>
    <n v="3.8"/>
    <n v="2.6"/>
    <n v="22.8"/>
    <n v="11.1"/>
    <n v="11.5"/>
    <n v="31.6"/>
    <n v="31.7"/>
    <n v="15.3"/>
    <n v="102.24"/>
    <n v="2.7"/>
    <n v="144"/>
  </r>
  <r>
    <x v="526"/>
    <x v="11"/>
    <n v="23"/>
    <n v="15"/>
    <n v="7"/>
    <n v="8"/>
    <n v="3"/>
    <n v="14"/>
    <n v="5"/>
    <n v="11"/>
    <n v="45.5"/>
    <n v="2"/>
    <n v="5"/>
    <n v="20"/>
    <n v="2"/>
    <n v="5"/>
    <n v="50"/>
    <n v="2"/>
    <n v="8"/>
    <n v="8"/>
    <n v="2"/>
    <n v="2"/>
    <n v="2"/>
    <n v="2"/>
    <n v="2"/>
    <n v="32"/>
    <n v="0"/>
    <n v="0"/>
    <n v="1.5"/>
    <n v="112"/>
    <n v="92.7"/>
    <n v="19.3"/>
    <n v="2.9"/>
    <n v="1"/>
    <n v="6.7"/>
    <n v="2.2999999999999998"/>
    <n v="14.9"/>
    <n v="8.8000000000000007"/>
    <n v="6.7"/>
    <n v="50"/>
    <n v="50.9"/>
    <n v="12.2"/>
    <n v="103.01"/>
    <n v="7"/>
    <n v="100"/>
  </r>
  <r>
    <x v="527"/>
    <x v="28"/>
    <n v="21"/>
    <n v="3"/>
    <n v="0"/>
    <n v="3"/>
    <n v="24.8"/>
    <n v="14"/>
    <n v="4"/>
    <n v="18"/>
    <n v="22.2"/>
    <n v="3"/>
    <n v="12"/>
    <n v="25"/>
    <n v="3"/>
    <n v="4"/>
    <n v="75"/>
    <n v="5"/>
    <n v="10"/>
    <n v="15"/>
    <n v="2"/>
    <n v="2"/>
    <n v="5"/>
    <n v="4"/>
    <n v="8"/>
    <n v="60"/>
    <n v="0"/>
    <n v="0"/>
    <n v="-7.3"/>
    <n v="95.7"/>
    <n v="109.2"/>
    <n v="-13.5"/>
    <n v="4"/>
    <n v="1"/>
    <n v="8.3000000000000007"/>
    <n v="5.4"/>
    <n v="11.5"/>
    <n v="8.3000000000000007"/>
    <n v="8.3000000000000007"/>
    <n v="30.6"/>
    <n v="35.4"/>
    <n v="11.3"/>
    <n v="105"/>
    <n v="3.6"/>
    <n v="163"/>
  </r>
  <r>
    <x v="528"/>
    <x v="23"/>
    <n v="22"/>
    <n v="13"/>
    <n v="8"/>
    <n v="5"/>
    <n v="2.5"/>
    <n v="13"/>
    <n v="4"/>
    <n v="14"/>
    <n v="28.6"/>
    <n v="0"/>
    <n v="4"/>
    <n v="0"/>
    <n v="5"/>
    <n v="7"/>
    <n v="83.3"/>
    <n v="3"/>
    <n v="1"/>
    <n v="3"/>
    <n v="3"/>
    <n v="4"/>
    <n v="1"/>
    <n v="0"/>
    <n v="3"/>
    <n v="18"/>
    <n v="0"/>
    <n v="0"/>
    <n v="-0.3"/>
    <n v="89.9"/>
    <n v="97.1"/>
    <n v="-7.2"/>
    <n v="10.5"/>
    <n v="0.5"/>
    <n v="9.1"/>
    <n v="5.6"/>
    <n v="3.4"/>
    <n v="4.5999999999999996"/>
    <n v="18.2"/>
    <n v="28.6"/>
    <n v="39.1"/>
    <n v="24.4"/>
    <n v="102.7"/>
    <n v="0"/>
    <n v="69"/>
  </r>
  <r>
    <x v="529"/>
    <x v="15"/>
    <n v="23"/>
    <n v="12"/>
    <n v="10"/>
    <n v="2"/>
    <n v="7.3"/>
    <n v="12"/>
    <n v="5"/>
    <n v="20"/>
    <n v="25"/>
    <n v="0"/>
    <n v="10"/>
    <n v="0"/>
    <n v="2"/>
    <n v="2"/>
    <n v="100"/>
    <n v="8"/>
    <n v="12"/>
    <n v="20"/>
    <n v="8"/>
    <n v="8"/>
    <n v="1"/>
    <n v="1"/>
    <n v="6"/>
    <n v="46"/>
    <n v="0"/>
    <n v="0"/>
    <n v="-0.1"/>
    <n v="109.1"/>
    <n v="109.7"/>
    <n v="-0.5"/>
    <n v="11.3"/>
    <n v="1"/>
    <n v="21.6"/>
    <n v="8.4"/>
    <n v="10.8"/>
    <n v="9.6999999999999993"/>
    <n v="21.6"/>
    <n v="25"/>
    <n v="28.7"/>
    <n v="13.2"/>
    <n v="101.62"/>
    <n v="2.2000000000000002"/>
    <n v="186"/>
  </r>
  <r>
    <x v="530"/>
    <x v="18"/>
    <n v="24"/>
    <n v="6"/>
    <n v="4"/>
    <n v="2"/>
    <n v="4.9000000000000004"/>
    <n v="11"/>
    <n v="4"/>
    <n v="5"/>
    <n v="80"/>
    <n v="1"/>
    <n v="2"/>
    <n v="50"/>
    <n v="2"/>
    <n v="2"/>
    <n v="100"/>
    <n v="1"/>
    <n v="2"/>
    <n v="3"/>
    <n v="6"/>
    <n v="1"/>
    <n v="0"/>
    <n v="0"/>
    <n v="2"/>
    <n v="23"/>
    <n v="0"/>
    <n v="0"/>
    <n v="-1.2"/>
    <n v="110"/>
    <n v="123.5"/>
    <n v="-13.5"/>
    <n v="23.1"/>
    <n v="6"/>
    <n v="46.2"/>
    <n v="4.2"/>
    <n v="5.9"/>
    <n v="5.2"/>
    <n v="7.7"/>
    <n v="90"/>
    <n v="93.5"/>
    <n v="9.1999999999999993"/>
    <n v="111.64"/>
    <n v="10"/>
    <n v="70"/>
  </r>
  <r>
    <x v="531"/>
    <x v="9"/>
    <n v="20"/>
    <n v="6"/>
    <n v="4"/>
    <n v="2"/>
    <n v="4.4000000000000004"/>
    <n v="11"/>
    <n v="4"/>
    <n v="11"/>
    <n v="36.4"/>
    <n v="0"/>
    <n v="2"/>
    <n v="0"/>
    <n v="3"/>
    <n v="3"/>
    <n v="100"/>
    <n v="1"/>
    <n v="3"/>
    <n v="4"/>
    <n v="0"/>
    <n v="1"/>
    <n v="0"/>
    <n v="0"/>
    <n v="4"/>
    <n v="15"/>
    <n v="0"/>
    <n v="0"/>
    <n v="-1"/>
    <n v="88.5"/>
    <n v="101.7"/>
    <n v="-13.2"/>
    <n v="0"/>
    <n v="0"/>
    <n v="0"/>
    <n v="4.2"/>
    <n v="9.6999999999999993"/>
    <n v="7.3"/>
    <n v="7.7"/>
    <n v="36.4"/>
    <n v="44.6"/>
    <n v="19.399999999999999"/>
    <n v="108.62"/>
    <n v="2.9"/>
    <n v="61"/>
  </r>
  <r>
    <x v="532"/>
    <x v="18"/>
    <n v="24"/>
    <n v="6"/>
    <n v="4"/>
    <n v="2"/>
    <n v="4.0999999999999996"/>
    <n v="10"/>
    <n v="4"/>
    <n v="8"/>
    <n v="50"/>
    <n v="0"/>
    <n v="1"/>
    <n v="0"/>
    <n v="2"/>
    <n v="2"/>
    <n v="100"/>
    <n v="4"/>
    <n v="4"/>
    <n v="8"/>
    <n v="2"/>
    <n v="0"/>
    <n v="1"/>
    <n v="0"/>
    <n v="3"/>
    <n v="26"/>
    <n v="0"/>
    <n v="0"/>
    <n v="-1.3"/>
    <n v="120.4"/>
    <n v="130.4"/>
    <n v="-10"/>
    <n v="10.5"/>
    <n v="0"/>
    <n v="18.2"/>
    <n v="16.7"/>
    <n v="13.8"/>
    <n v="15.1"/>
    <n v="0"/>
    <n v="50"/>
    <n v="56.3"/>
    <n v="14.3"/>
    <n v="106.74"/>
    <n v="9.1999999999999993"/>
    <n v="54"/>
  </r>
  <r>
    <x v="533"/>
    <x v="3"/>
    <n v="25"/>
    <n v="13"/>
    <n v="8"/>
    <n v="5"/>
    <n v="4.4000000000000004"/>
    <n v="9"/>
    <n v="3"/>
    <n v="8"/>
    <n v="25"/>
    <n v="0"/>
    <n v="3"/>
    <n v="0"/>
    <n v="5"/>
    <n v="10"/>
    <n v="50"/>
    <n v="7"/>
    <n v="5"/>
    <n v="12"/>
    <n v="3"/>
    <n v="7"/>
    <n v="3"/>
    <n v="3"/>
    <n v="9"/>
    <n v="33"/>
    <n v="0"/>
    <n v="0"/>
    <n v="-0.4"/>
    <n v="80.3"/>
    <n v="85.6"/>
    <n v="-5.3"/>
    <n v="5.6"/>
    <n v="0.33"/>
    <n v="9.5"/>
    <n v="11.1"/>
    <n v="8.5"/>
    <n v="9.8000000000000007"/>
    <n v="28.6"/>
    <n v="25"/>
    <n v="36.299999999999997"/>
    <n v="12.8"/>
    <n v="106.17"/>
    <n v="-2.5"/>
    <n v="127"/>
  </r>
  <r>
    <x v="534"/>
    <x v="10"/>
    <n v="40"/>
    <n v="3"/>
    <n v="1"/>
    <n v="2"/>
    <n v="19.3"/>
    <n v="9"/>
    <n v="3"/>
    <n v="7"/>
    <n v="42.9"/>
    <n v="3"/>
    <n v="6"/>
    <n v="50"/>
    <n v="0"/>
    <n v="0"/>
    <n v="0"/>
    <n v="4"/>
    <n v="4"/>
    <n v="8"/>
    <n v="0"/>
    <n v="1"/>
    <n v="1"/>
    <n v="1"/>
    <n v="8"/>
    <n v="24"/>
    <n v="0"/>
    <n v="0"/>
    <n v="-7.3"/>
    <n v="106.1"/>
    <n v="127.4"/>
    <n v="-21.3"/>
    <n v="0"/>
    <n v="0"/>
    <n v="0"/>
    <n v="6.2"/>
    <n v="10.3"/>
    <n v="7.7"/>
    <n v="12.5"/>
    <n v="64.3"/>
    <n v="64.3"/>
    <n v="5.9"/>
    <n v="94.56"/>
    <n v="1.5"/>
    <n v="115"/>
  </r>
  <r>
    <x v="535"/>
    <x v="5"/>
    <n v="24"/>
    <n v="8"/>
    <n v="1"/>
    <n v="7"/>
    <n v="3.8"/>
    <n v="9"/>
    <n v="2"/>
    <n v="7"/>
    <n v="28.6"/>
    <n v="2"/>
    <n v="7"/>
    <n v="28.6"/>
    <n v="3"/>
    <n v="4"/>
    <n v="75"/>
    <n v="0"/>
    <n v="4"/>
    <n v="4"/>
    <n v="0"/>
    <n v="4"/>
    <n v="0"/>
    <n v="0"/>
    <n v="0"/>
    <n v="10"/>
    <n v="0"/>
    <n v="0"/>
    <n v="0.9"/>
    <n v="98.4"/>
    <n v="88.7"/>
    <n v="9.6999999999999993"/>
    <n v="0"/>
    <n v="0"/>
    <n v="0"/>
    <n v="0"/>
    <n v="12.1"/>
    <n v="6.2"/>
    <n v="30.8"/>
    <n v="42.9"/>
    <n v="51.4"/>
    <n v="19.7"/>
    <n v="98.77"/>
    <n v="2.6"/>
    <n v="63"/>
  </r>
  <r>
    <x v="536"/>
    <x v="18"/>
    <n v="23"/>
    <n v="4"/>
    <n v="2"/>
    <n v="2"/>
    <n v="5.4"/>
    <n v="8"/>
    <n v="4"/>
    <n v="7"/>
    <n v="57.1"/>
    <n v="0"/>
    <n v="0"/>
    <n v="0"/>
    <n v="0"/>
    <n v="0"/>
    <n v="0"/>
    <n v="5"/>
    <n v="1"/>
    <n v="6"/>
    <n v="1"/>
    <n v="1"/>
    <n v="0"/>
    <n v="0"/>
    <n v="1"/>
    <n v="16"/>
    <n v="0"/>
    <n v="0"/>
    <n v="-1.3"/>
    <n v="104.2"/>
    <n v="122.2"/>
    <n v="-18.100000000000001"/>
    <n v="6.7"/>
    <n v="1"/>
    <n v="11.1"/>
    <n v="21.7"/>
    <n v="5.3"/>
    <n v="14.3"/>
    <n v="11.1"/>
    <n v="57.1"/>
    <n v="57.1"/>
    <n v="14.5"/>
    <n v="103.82"/>
    <n v="7.8"/>
    <n v="48"/>
  </r>
  <r>
    <x v="537"/>
    <x v="17"/>
    <n v="38"/>
    <n v="12"/>
    <n v="5"/>
    <n v="7"/>
    <n v="3.1"/>
    <n v="8"/>
    <n v="4"/>
    <n v="11"/>
    <n v="36.4"/>
    <n v="0"/>
    <n v="4"/>
    <n v="0"/>
    <n v="0"/>
    <n v="1"/>
    <n v="0"/>
    <n v="0"/>
    <n v="6"/>
    <n v="6"/>
    <n v="4"/>
    <n v="4"/>
    <n v="0"/>
    <n v="2"/>
    <n v="5"/>
    <n v="23"/>
    <n v="0"/>
    <n v="0"/>
    <n v="-0.8"/>
    <n v="97.4"/>
    <n v="110.5"/>
    <n v="-13.1"/>
    <n v="16"/>
    <n v="1"/>
    <n v="21.1"/>
    <n v="0"/>
    <n v="17.600000000000001"/>
    <n v="8.6999999999999993"/>
    <n v="21.1"/>
    <n v="36.4"/>
    <n v="35"/>
    <n v="16.5"/>
    <n v="100.28"/>
    <n v="1.5"/>
    <n v="77"/>
  </r>
  <r>
    <x v="538"/>
    <x v="10"/>
    <n v="24"/>
    <n v="9"/>
    <n v="5"/>
    <n v="4"/>
    <n v="2.5"/>
    <n v="8"/>
    <n v="4"/>
    <n v="9"/>
    <n v="44.4"/>
    <n v="0"/>
    <n v="1"/>
    <n v="0"/>
    <n v="0"/>
    <n v="0"/>
    <n v="0"/>
    <n v="1"/>
    <n v="2"/>
    <n v="3"/>
    <n v="2"/>
    <n v="2"/>
    <n v="1"/>
    <n v="0"/>
    <n v="3"/>
    <n v="15"/>
    <n v="0"/>
    <n v="0"/>
    <n v="-1"/>
    <n v="103.9"/>
    <n v="119.2"/>
    <n v="-15.3"/>
    <n v="12.5"/>
    <n v="1"/>
    <n v="15.4"/>
    <n v="5"/>
    <n v="11.8"/>
    <n v="8.1"/>
    <n v="15.4"/>
    <n v="44.4"/>
    <n v="44.4"/>
    <n v="19.3"/>
    <n v="111.52"/>
    <n v="3.3"/>
    <n v="51"/>
  </r>
  <r>
    <x v="539"/>
    <x v="22"/>
    <n v="23"/>
    <n v="5"/>
    <n v="0"/>
    <n v="5"/>
    <n v="8.9"/>
    <n v="8"/>
    <n v="3"/>
    <n v="21"/>
    <n v="14.3"/>
    <n v="0"/>
    <n v="10"/>
    <n v="0"/>
    <n v="2"/>
    <n v="2"/>
    <n v="100"/>
    <n v="2"/>
    <n v="6"/>
    <n v="8"/>
    <n v="2"/>
    <n v="1"/>
    <n v="1"/>
    <n v="2"/>
    <n v="1"/>
    <n v="29"/>
    <n v="0"/>
    <n v="0"/>
    <n v="2.6"/>
    <n v="110"/>
    <n v="96.6"/>
    <n v="13.4"/>
    <n v="6.5"/>
    <n v="2"/>
    <n v="8"/>
    <n v="3.6"/>
    <n v="12.5"/>
    <n v="7.7"/>
    <n v="4"/>
    <n v="14.3"/>
    <n v="18.3"/>
    <n v="22.1"/>
    <n v="96.76"/>
    <n v="-0.5"/>
    <n v="90"/>
  </r>
  <r>
    <x v="540"/>
    <x v="4"/>
    <n v="25"/>
    <n v="3"/>
    <n v="2"/>
    <n v="1"/>
    <n v="11.6"/>
    <n v="7"/>
    <n v="2"/>
    <n v="9"/>
    <n v="22.2"/>
    <n v="2"/>
    <n v="7"/>
    <n v="28.6"/>
    <n v="1"/>
    <n v="2"/>
    <n v="50"/>
    <n v="2"/>
    <n v="7"/>
    <n v="9"/>
    <n v="0"/>
    <n v="0"/>
    <n v="2"/>
    <n v="1"/>
    <n v="0"/>
    <n v="27"/>
    <n v="0"/>
    <n v="0"/>
    <n v="-4.7"/>
    <n v="87.7"/>
    <n v="110.9"/>
    <n v="-23.2"/>
    <n v="0"/>
    <n v="0"/>
    <n v="0"/>
    <n v="4.8"/>
    <n v="17.100000000000001"/>
    <n v="10.8"/>
    <n v="0"/>
    <n v="33.299999999999997"/>
    <n v="35.4"/>
    <n v="12.7"/>
    <n v="88.67"/>
    <n v="8.8000000000000007"/>
    <n v="65"/>
  </r>
  <r>
    <x v="541"/>
    <x v="8"/>
    <n v="23"/>
    <n v="7"/>
    <n v="3"/>
    <n v="4"/>
    <n v="3.2"/>
    <n v="7"/>
    <n v="3"/>
    <n v="10"/>
    <n v="30"/>
    <n v="1"/>
    <n v="7"/>
    <n v="14.3"/>
    <n v="0"/>
    <n v="2"/>
    <n v="0"/>
    <n v="0"/>
    <n v="2"/>
    <n v="2"/>
    <n v="3"/>
    <n v="1"/>
    <n v="0"/>
    <n v="0"/>
    <n v="2"/>
    <n v="13"/>
    <n v="0"/>
    <n v="0"/>
    <n v="-1.3"/>
    <n v="102.3"/>
    <n v="108.2"/>
    <n v="-5.8"/>
    <n v="20"/>
    <n v="3"/>
    <n v="20"/>
    <n v="0"/>
    <n v="18.2"/>
    <n v="5.4"/>
    <n v="6.7"/>
    <n v="35"/>
    <n v="32.200000000000003"/>
    <n v="23.1"/>
    <n v="97.06"/>
    <n v="0"/>
    <n v="43"/>
  </r>
  <r>
    <x v="542"/>
    <x v="1"/>
    <n v="28"/>
    <n v="9"/>
    <n v="7"/>
    <n v="2"/>
    <n v="3.9"/>
    <n v="7"/>
    <n v="2"/>
    <n v="3"/>
    <n v="66.7"/>
    <n v="2"/>
    <n v="3"/>
    <n v="66.7"/>
    <n v="1"/>
    <n v="6"/>
    <n v="16.7"/>
    <n v="1"/>
    <n v="4"/>
    <n v="5"/>
    <n v="5"/>
    <n v="1"/>
    <n v="1"/>
    <n v="0"/>
    <n v="3"/>
    <n v="23"/>
    <n v="0"/>
    <n v="0"/>
    <n v="-0.4"/>
    <n v="98.8"/>
    <n v="107.8"/>
    <n v="-9"/>
    <n v="16.7"/>
    <n v="5"/>
    <n v="41.7"/>
    <n v="4"/>
    <n v="12.5"/>
    <n v="8.8000000000000007"/>
    <n v="8.3000000000000007"/>
    <n v="100"/>
    <n v="62.1"/>
    <n v="8.1999999999999993"/>
    <n v="107.91"/>
    <n v="5.4"/>
    <n v="80"/>
  </r>
  <r>
    <x v="543"/>
    <x v="17"/>
    <n v="24"/>
    <n v="1"/>
    <n v="1"/>
    <n v="0"/>
    <n v="4.5999999999999996"/>
    <n v="6"/>
    <n v="2"/>
    <n v="4"/>
    <n v="50"/>
    <n v="0"/>
    <n v="1"/>
    <n v="0"/>
    <n v="2"/>
    <n v="2"/>
    <n v="100"/>
    <n v="0"/>
    <n v="1"/>
    <n v="1"/>
    <n v="0"/>
    <n v="0"/>
    <n v="0"/>
    <n v="0"/>
    <n v="0"/>
    <n v="7"/>
    <n v="0"/>
    <n v="0"/>
    <n v="-4"/>
    <n v="118.2"/>
    <n v="141.69999999999999"/>
    <n v="-23.5"/>
    <n v="0"/>
    <n v="0"/>
    <n v="0"/>
    <n v="0"/>
    <n v="25"/>
    <n v="12.5"/>
    <n v="0"/>
    <n v="50"/>
    <n v="61.5"/>
    <n v="45.5"/>
    <n v="119.14"/>
    <n v="15.6"/>
    <n v="11"/>
  </r>
  <r>
    <x v="544"/>
    <x v="10"/>
    <n v="24"/>
    <n v="4"/>
    <n v="4"/>
    <n v="0"/>
    <n v="7.3"/>
    <n v="6"/>
    <n v="2"/>
    <n v="7"/>
    <n v="28.6"/>
    <n v="0"/>
    <n v="1"/>
    <n v="0"/>
    <n v="2"/>
    <n v="2"/>
    <n v="100"/>
    <n v="0"/>
    <n v="8"/>
    <n v="8"/>
    <n v="2"/>
    <n v="0"/>
    <n v="1"/>
    <n v="1"/>
    <n v="6"/>
    <n v="25"/>
    <n v="0"/>
    <n v="0"/>
    <n v="-0.5"/>
    <n v="93.8"/>
    <n v="96.9"/>
    <n v="-3.1"/>
    <n v="11.1"/>
    <n v="0"/>
    <n v="20"/>
    <n v="0"/>
    <n v="28.6"/>
    <n v="15.1"/>
    <n v="0"/>
    <n v="28.6"/>
    <n v="38.1"/>
    <n v="11.8"/>
    <n v="105.33"/>
    <n v="6.6"/>
    <n v="64"/>
  </r>
  <r>
    <x v="545"/>
    <x v="22"/>
    <n v="25"/>
    <n v="1"/>
    <n v="0"/>
    <n v="1"/>
    <n v="17.399999999999999"/>
    <n v="6"/>
    <n v="2"/>
    <n v="7"/>
    <n v="28.6"/>
    <n v="1"/>
    <n v="3"/>
    <n v="33.299999999999997"/>
    <n v="1"/>
    <n v="2"/>
    <n v="50"/>
    <n v="1"/>
    <n v="3"/>
    <n v="4"/>
    <n v="5"/>
    <n v="0"/>
    <n v="1"/>
    <n v="1"/>
    <n v="3"/>
    <n v="24"/>
    <n v="0"/>
    <n v="0"/>
    <n v="-6"/>
    <n v="92.7"/>
    <n v="110"/>
    <n v="-17.3"/>
    <n v="55.6"/>
    <n v="0"/>
    <n v="38.5"/>
    <n v="4"/>
    <n v="15.8"/>
    <n v="9.1"/>
    <n v="0"/>
    <n v="35.700000000000003"/>
    <n v="38.1"/>
    <n v="17"/>
    <n v="111.94"/>
    <n v="9.9"/>
    <n v="41"/>
  </r>
  <r>
    <x v="546"/>
    <x v="23"/>
    <n v="26"/>
    <n v="2"/>
    <n v="0"/>
    <n v="2"/>
    <n v="9.9"/>
    <n v="6"/>
    <n v="2"/>
    <n v="10"/>
    <n v="20"/>
    <n v="1"/>
    <n v="4"/>
    <n v="25"/>
    <n v="1"/>
    <n v="2"/>
    <n v="50"/>
    <n v="4"/>
    <n v="4"/>
    <n v="8"/>
    <n v="1"/>
    <n v="2"/>
    <n v="2"/>
    <n v="0"/>
    <n v="0"/>
    <n v="21"/>
    <n v="0"/>
    <n v="0"/>
    <n v="-3.5"/>
    <n v="58.7"/>
    <n v="77.3"/>
    <n v="-18.600000000000001"/>
    <n v="12.5"/>
    <n v="0.5"/>
    <n v="7.1"/>
    <n v="12.1"/>
    <n v="16"/>
    <n v="13.8"/>
    <n v="14.3"/>
    <n v="25"/>
    <n v="27.6"/>
    <n v="22.4"/>
    <n v="108.82"/>
    <n v="10.5"/>
    <n v="46"/>
  </r>
  <r>
    <x v="547"/>
    <x v="8"/>
    <n v="25"/>
    <n v="1"/>
    <n v="0"/>
    <n v="1"/>
    <n v="3.7"/>
    <n v="5"/>
    <n v="2"/>
    <n v="2"/>
    <n v="100"/>
    <n v="1"/>
    <n v="1"/>
    <n v="100"/>
    <n v="0"/>
    <n v="0"/>
    <n v="0"/>
    <n v="0"/>
    <n v="0"/>
    <n v="0"/>
    <n v="1"/>
    <n v="0"/>
    <n v="0"/>
    <n v="0"/>
    <n v="0"/>
    <n v="7"/>
    <n v="0"/>
    <n v="0"/>
    <n v="6"/>
    <n v="171.4"/>
    <n v="85.7"/>
    <n v="85.7"/>
    <n v="33.299999999999997"/>
    <n v="0"/>
    <n v="33.299999999999997"/>
    <n v="0"/>
    <n v="0"/>
    <n v="0"/>
    <n v="0"/>
    <n v="125"/>
    <n v="125"/>
    <n v="28.6"/>
    <n v="90.4"/>
    <n v="40"/>
    <n v="7"/>
  </r>
  <r>
    <x v="548"/>
    <x v="11"/>
    <n v="29"/>
    <n v="4"/>
    <n v="2"/>
    <n v="2"/>
    <n v="3"/>
    <n v="5"/>
    <n v="2"/>
    <n v="4"/>
    <n v="50"/>
    <n v="1"/>
    <n v="1"/>
    <n v="100"/>
    <n v="0"/>
    <n v="0"/>
    <n v="0"/>
    <n v="1"/>
    <n v="2"/>
    <n v="3"/>
    <n v="1"/>
    <n v="0"/>
    <n v="0"/>
    <n v="0"/>
    <n v="1"/>
    <n v="10"/>
    <n v="0"/>
    <n v="0"/>
    <n v="-0.3"/>
    <n v="114.8"/>
    <n v="128"/>
    <n v="-13.2"/>
    <n v="12.5"/>
    <n v="0"/>
    <n v="20"/>
    <n v="8.3000000000000007"/>
    <n v="22.2"/>
    <n v="14.3"/>
    <n v="0"/>
    <n v="62.5"/>
    <n v="62.5"/>
    <n v="12.9"/>
    <n v="104.35"/>
    <n v="9.1999999999999993"/>
    <n v="27"/>
  </r>
  <r>
    <x v="549"/>
    <x v="26"/>
    <n v="19"/>
    <n v="7"/>
    <n v="3"/>
    <n v="4"/>
    <n v="4.5999999999999996"/>
    <n v="5"/>
    <n v="2"/>
    <n v="5"/>
    <n v="40"/>
    <n v="0"/>
    <n v="0"/>
    <n v="0"/>
    <n v="1"/>
    <n v="2"/>
    <n v="50"/>
    <n v="4"/>
    <n v="4"/>
    <n v="8"/>
    <n v="2"/>
    <n v="2"/>
    <n v="0"/>
    <n v="1"/>
    <n v="5"/>
    <n v="19"/>
    <n v="0"/>
    <n v="0"/>
    <n v="-3.4"/>
    <n v="96.9"/>
    <n v="140.30000000000001"/>
    <n v="-43.4"/>
    <n v="11.1"/>
    <n v="1"/>
    <n v="20"/>
    <n v="12.9"/>
    <n v="18.2"/>
    <n v="15.1"/>
    <n v="20"/>
    <n v="40"/>
    <n v="42.5"/>
    <n v="10.8"/>
    <n v="94.73"/>
    <n v="2"/>
    <n v="65"/>
  </r>
  <r>
    <x v="550"/>
    <x v="8"/>
    <n v="25"/>
    <n v="1"/>
    <n v="0"/>
    <n v="1"/>
    <n v="17"/>
    <n v="4"/>
    <n v="1"/>
    <n v="8"/>
    <n v="12.5"/>
    <n v="0"/>
    <n v="6"/>
    <n v="0"/>
    <n v="2"/>
    <n v="2"/>
    <n v="100"/>
    <n v="4"/>
    <n v="3"/>
    <n v="7"/>
    <n v="2"/>
    <n v="0"/>
    <n v="0"/>
    <n v="0"/>
    <n v="0"/>
    <n v="15"/>
    <n v="0"/>
    <n v="0"/>
    <n v="-1"/>
    <n v="120.6"/>
    <n v="116.7"/>
    <n v="3.9"/>
    <n v="14.3"/>
    <n v="0"/>
    <n v="18.2"/>
    <n v="18.2"/>
    <n v="20"/>
    <n v="18.899999999999999"/>
    <n v="0"/>
    <n v="12.5"/>
    <n v="22.5"/>
    <n v="20.5"/>
    <n v="98.82"/>
    <n v="7.1"/>
    <n v="34"/>
  </r>
  <r>
    <x v="551"/>
    <x v="19"/>
    <n v="22"/>
    <n v="5"/>
    <n v="0"/>
    <n v="5"/>
    <n v="7"/>
    <n v="4"/>
    <n v="2"/>
    <n v="4"/>
    <n v="50"/>
    <n v="0"/>
    <n v="1"/>
    <n v="0"/>
    <n v="0"/>
    <n v="0"/>
    <n v="0"/>
    <n v="2"/>
    <n v="7"/>
    <n v="9"/>
    <n v="3"/>
    <n v="1"/>
    <n v="3"/>
    <n v="0"/>
    <n v="2"/>
    <n v="28"/>
    <n v="0"/>
    <n v="0"/>
    <n v="6"/>
    <n v="132"/>
    <n v="92"/>
    <n v="40"/>
    <n v="8.6"/>
    <n v="3"/>
    <n v="37.5"/>
    <n v="6.7"/>
    <n v="17.5"/>
    <n v="12.9"/>
    <n v="12.5"/>
    <n v="50"/>
    <n v="50"/>
    <n v="6"/>
    <n v="103.6"/>
    <n v="8"/>
    <n v="75"/>
  </r>
  <r>
    <x v="552"/>
    <x v="29"/>
    <n v="22"/>
    <n v="5"/>
    <n v="2"/>
    <n v="3"/>
    <n v="2.1"/>
    <n v="3"/>
    <n v="1"/>
    <n v="7"/>
    <n v="14.3"/>
    <n v="0"/>
    <n v="3"/>
    <n v="0"/>
    <n v="1"/>
    <n v="2"/>
    <n v="50"/>
    <n v="0"/>
    <n v="2"/>
    <n v="2"/>
    <n v="0"/>
    <n v="0"/>
    <n v="0"/>
    <n v="0"/>
    <n v="0"/>
    <n v="6"/>
    <n v="0"/>
    <n v="0"/>
    <n v="0.4"/>
    <n v="80.8"/>
    <n v="76"/>
    <n v="4.8"/>
    <n v="0"/>
    <n v="0"/>
    <n v="0"/>
    <n v="0"/>
    <n v="20"/>
    <n v="9.5"/>
    <n v="0"/>
    <n v="14.3"/>
    <n v="19"/>
    <n v="29.6"/>
    <n v="118.62"/>
    <n v="-5.6"/>
    <n v="26"/>
  </r>
  <r>
    <x v="553"/>
    <x v="13"/>
    <n v="28"/>
    <n v="3"/>
    <n v="3"/>
    <n v="0"/>
    <n v="3.6"/>
    <n v="3"/>
    <n v="0"/>
    <n v="4"/>
    <n v="0"/>
    <n v="0"/>
    <n v="1"/>
    <n v="0"/>
    <n v="3"/>
    <n v="6"/>
    <n v="50"/>
    <n v="1"/>
    <n v="1"/>
    <n v="2"/>
    <n v="0"/>
    <n v="1"/>
    <n v="2"/>
    <n v="0"/>
    <n v="0"/>
    <n v="11"/>
    <n v="0"/>
    <n v="0"/>
    <n v="-2.7"/>
    <n v="90"/>
    <n v="120.7"/>
    <n v="-30.7"/>
    <n v="0"/>
    <n v="0"/>
    <n v="0"/>
    <n v="7.7"/>
    <n v="16.7"/>
    <n v="10.5"/>
    <n v="12.5"/>
    <n v="0"/>
    <n v="22.6"/>
    <n v="22.2"/>
    <n v="130.81"/>
    <n v="-2.6"/>
    <n v="30"/>
  </r>
  <r>
    <x v="554"/>
    <x v="14"/>
    <n v="24"/>
    <n v="2"/>
    <n v="1"/>
    <n v="1"/>
    <n v="5.2"/>
    <n v="3"/>
    <n v="1"/>
    <n v="5"/>
    <n v="20"/>
    <n v="1"/>
    <n v="5"/>
    <n v="20"/>
    <n v="0"/>
    <n v="0"/>
    <n v="0"/>
    <n v="0"/>
    <n v="0"/>
    <n v="0"/>
    <n v="1"/>
    <n v="1"/>
    <n v="0"/>
    <n v="0"/>
    <n v="0"/>
    <n v="4"/>
    <n v="0"/>
    <n v="0"/>
    <n v="-9"/>
    <n v="68.2"/>
    <n v="150"/>
    <n v="-81.8"/>
    <n v="20"/>
    <n v="1"/>
    <n v="14.3"/>
    <n v="0"/>
    <n v="0"/>
    <n v="0"/>
    <n v="14.3"/>
    <n v="30"/>
    <n v="30"/>
    <n v="23.1"/>
    <n v="102.52"/>
    <n v="-2.2000000000000002"/>
    <n v="22"/>
  </r>
  <r>
    <x v="555"/>
    <x v="1"/>
    <n v="24"/>
    <n v="8"/>
    <n v="2"/>
    <n v="6"/>
    <n v="2"/>
    <n v="3"/>
    <n v="1"/>
    <n v="8"/>
    <n v="12.5"/>
    <n v="0"/>
    <n v="3"/>
    <n v="0"/>
    <n v="1"/>
    <n v="1"/>
    <n v="100"/>
    <n v="2"/>
    <n v="2"/>
    <n v="4"/>
    <n v="2"/>
    <n v="2"/>
    <n v="1"/>
    <n v="0"/>
    <n v="4"/>
    <n v="12"/>
    <n v="0"/>
    <n v="0"/>
    <n v="-0.6"/>
    <n v="83.3"/>
    <n v="97.6"/>
    <n v="-14.2"/>
    <n v="18.2"/>
    <n v="1"/>
    <n v="16.7"/>
    <n v="7.1"/>
    <n v="11.1"/>
    <n v="8.6999999999999993"/>
    <n v="16.7"/>
    <n v="12.5"/>
    <n v="17.8"/>
    <n v="18.5"/>
    <n v="123.38"/>
    <n v="-6.8"/>
    <n v="42"/>
  </r>
  <r>
    <x v="556"/>
    <x v="26"/>
    <n v="24"/>
    <n v="4"/>
    <n v="1"/>
    <n v="3"/>
    <n v="8.3000000000000007"/>
    <n v="3"/>
    <n v="1"/>
    <n v="7"/>
    <n v="14.3"/>
    <n v="0"/>
    <n v="3"/>
    <n v="0"/>
    <n v="1"/>
    <n v="1"/>
    <n v="100"/>
    <n v="0"/>
    <n v="4"/>
    <n v="4"/>
    <n v="3"/>
    <n v="4"/>
    <n v="2"/>
    <n v="0"/>
    <n v="1"/>
    <n v="14"/>
    <n v="0"/>
    <n v="0"/>
    <n v="3"/>
    <n v="109"/>
    <n v="96.1"/>
    <n v="12.9"/>
    <n v="10"/>
    <n v="0.75"/>
    <n v="21.4"/>
    <n v="0"/>
    <n v="9.8000000000000007"/>
    <n v="5.5"/>
    <n v="28.6"/>
    <n v="14.3"/>
    <n v="20.2"/>
    <n v="12.2"/>
    <n v="110.7"/>
    <n v="0.7"/>
    <n v="78"/>
  </r>
  <r>
    <x v="557"/>
    <x v="13"/>
    <n v="24"/>
    <n v="2"/>
    <n v="2"/>
    <n v="0"/>
    <n v="8.1999999999999993"/>
    <n v="2"/>
    <n v="1"/>
    <n v="3"/>
    <n v="33.299999999999997"/>
    <n v="0"/>
    <n v="0"/>
    <n v="0"/>
    <n v="0"/>
    <n v="0"/>
    <n v="0"/>
    <n v="2"/>
    <n v="1"/>
    <n v="3"/>
    <n v="4"/>
    <n v="0"/>
    <n v="2"/>
    <n v="0"/>
    <n v="5"/>
    <n v="18"/>
    <n v="0"/>
    <n v="0"/>
    <n v="-2.5"/>
    <n v="94.4"/>
    <n v="111.4"/>
    <n v="-17"/>
    <n v="33.299999999999997"/>
    <n v="0"/>
    <n v="57.1"/>
    <n v="8.3000000000000007"/>
    <n v="7.1"/>
    <n v="7.9"/>
    <n v="0"/>
    <n v="33.299999999999997"/>
    <n v="33.299999999999997"/>
    <n v="6.8"/>
    <n v="104.54"/>
    <n v="4.8"/>
    <n v="36"/>
  </r>
  <r>
    <x v="558"/>
    <x v="0"/>
    <n v="25"/>
    <n v="6"/>
    <n v="6"/>
    <n v="0"/>
    <n v="3.5"/>
    <n v="2"/>
    <n v="0"/>
    <n v="2"/>
    <n v="0"/>
    <n v="0"/>
    <n v="1"/>
    <n v="0"/>
    <n v="2"/>
    <n v="4"/>
    <n v="50"/>
    <n v="1"/>
    <n v="2"/>
    <n v="3"/>
    <n v="1"/>
    <n v="1"/>
    <n v="0"/>
    <n v="0"/>
    <n v="4"/>
    <n v="6"/>
    <n v="0"/>
    <n v="0"/>
    <n v="-3"/>
    <n v="61.4"/>
    <n v="104.7"/>
    <n v="-43.3"/>
    <n v="11.1"/>
    <n v="1"/>
    <n v="16.7"/>
    <n v="4"/>
    <n v="9.5"/>
    <n v="6.5"/>
    <n v="16.7"/>
    <n v="0"/>
    <n v="26.6"/>
    <n v="10.199999999999999"/>
    <n v="99.59"/>
    <n v="-6.9"/>
    <n v="44"/>
  </r>
  <r>
    <x v="559"/>
    <x v="1"/>
    <n v="23"/>
    <n v="3"/>
    <n v="3"/>
    <n v="0"/>
    <n v="4.4000000000000004"/>
    <n v="1"/>
    <n v="0"/>
    <n v="1"/>
    <n v="0"/>
    <n v="0"/>
    <n v="1"/>
    <n v="0"/>
    <n v="1"/>
    <n v="2"/>
    <n v="50"/>
    <n v="0"/>
    <n v="4"/>
    <n v="4"/>
    <n v="3"/>
    <n v="4"/>
    <n v="0"/>
    <n v="0"/>
    <n v="1"/>
    <n v="6"/>
    <n v="0"/>
    <n v="0"/>
    <n v="3"/>
    <n v="103.2"/>
    <n v="79.3"/>
    <n v="23.9"/>
    <n v="23.1"/>
    <n v="0.75"/>
    <n v="33.299999999999997"/>
    <n v="0"/>
    <n v="44.4"/>
    <n v="21.1"/>
    <n v="44.4"/>
    <n v="0"/>
    <n v="26.6"/>
    <n v="17.600000000000001"/>
    <n v="108.82"/>
    <n v="2.4"/>
    <n v="31"/>
  </r>
  <r>
    <x v="560"/>
    <x v="17"/>
    <n v="29"/>
    <n v="1"/>
    <n v="0"/>
    <n v="1"/>
    <n v="3.4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3"/>
    <n v="0"/>
    <n v="0"/>
    <n v="5"/>
    <n v="125"/>
    <n v="62.5"/>
    <n v="62.5"/>
    <n v="25"/>
    <n v="0"/>
    <n v="100"/>
    <n v="0"/>
    <n v="25"/>
    <n v="11.1"/>
    <n v="0"/>
    <n v="0"/>
    <n v="0"/>
    <n v="0"/>
    <n v="114.06"/>
    <n v="13.3"/>
    <n v="8"/>
  </r>
  <r>
    <x v="561"/>
    <x v="16"/>
    <n v="24"/>
    <n v="3"/>
    <n v="1"/>
    <n v="2"/>
    <n v="0.9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"/>
    <n v="83.3"/>
    <n v="66.7"/>
    <n v="16.7"/>
    <n v="0"/>
    <n v="0"/>
    <n v="0"/>
    <n v="0"/>
    <n v="0"/>
    <n v="0"/>
    <n v="0"/>
    <n v="0"/>
    <n v="0"/>
    <n v="16.7"/>
    <n v="110.7"/>
    <n v="-8.6999999999999993"/>
    <n v="6"/>
  </r>
  <r>
    <x v="562"/>
    <x v="6"/>
    <n v="24"/>
    <n v="3"/>
    <n v="3"/>
    <n v="0"/>
    <n v="1.9"/>
    <n v="0"/>
    <n v="0"/>
    <n v="2"/>
    <n v="0"/>
    <n v="0"/>
    <n v="1"/>
    <n v="0"/>
    <n v="0"/>
    <n v="0"/>
    <n v="0"/>
    <n v="0"/>
    <n v="2"/>
    <n v="2"/>
    <n v="0"/>
    <n v="0"/>
    <n v="1"/>
    <n v="0"/>
    <n v="0"/>
    <n v="5"/>
    <n v="0"/>
    <n v="0"/>
    <n v="1.3"/>
    <n v="61.5"/>
    <n v="30.8"/>
    <n v="30.8"/>
    <n v="0"/>
    <n v="0"/>
    <n v="0"/>
    <n v="0"/>
    <n v="22.2"/>
    <n v="12.5"/>
    <n v="0"/>
    <n v="0"/>
    <n v="0"/>
    <n v="14.3"/>
    <n v="112.43"/>
    <n v="12.5"/>
    <n v="13"/>
  </r>
  <r>
    <x v="563"/>
    <x v="1"/>
    <n v="25"/>
    <n v="2"/>
    <n v="2"/>
    <n v="0"/>
    <n v="2.2999999999999998"/>
    <n v="0"/>
    <n v="0"/>
    <n v="0"/>
    <n v="0"/>
    <n v="0"/>
    <n v="0"/>
    <n v="0"/>
    <n v="0"/>
    <n v="0"/>
    <n v="0"/>
    <n v="0"/>
    <n v="0"/>
    <n v="0"/>
    <n v="1"/>
    <n v="0"/>
    <n v="0"/>
    <n v="0"/>
    <n v="2"/>
    <n v="2"/>
    <n v="0"/>
    <n v="0"/>
    <n v="-5"/>
    <n v="72.7"/>
    <n v="150"/>
    <n v="-77.3"/>
    <n v="25"/>
    <n v="0"/>
    <n v="100"/>
    <n v="0"/>
    <n v="0"/>
    <n v="0"/>
    <n v="0"/>
    <n v="0"/>
    <n v="0"/>
    <n v="0"/>
    <n v="118.29"/>
    <n v="-4.3"/>
    <n v="11"/>
  </r>
  <r>
    <x v="564"/>
    <x v="20"/>
    <n v="26"/>
    <n v="2"/>
    <n v="1"/>
    <n v="1"/>
    <n v="5.0999999999999996"/>
    <n v="0"/>
    <n v="0"/>
    <n v="2"/>
    <n v="0"/>
    <n v="0"/>
    <n v="1"/>
    <n v="0"/>
    <n v="0"/>
    <n v="0"/>
    <n v="0"/>
    <n v="0"/>
    <n v="1"/>
    <n v="1"/>
    <n v="3"/>
    <n v="0"/>
    <n v="0"/>
    <n v="0"/>
    <n v="2"/>
    <n v="6"/>
    <n v="0"/>
    <n v="0"/>
    <n v="-1"/>
    <n v="119"/>
    <n v="128.6"/>
    <n v="-9.5"/>
    <n v="33.299999999999997"/>
    <n v="0"/>
    <n v="60"/>
    <n v="0"/>
    <n v="10"/>
    <n v="5"/>
    <n v="0"/>
    <n v="0"/>
    <n v="0"/>
    <n v="8.6999999999999993"/>
    <n v="98.5"/>
    <n v="0"/>
    <n v="21"/>
  </r>
  <r>
    <x v="565"/>
    <x v="11"/>
    <n v="28"/>
    <n v="1"/>
    <n v="1"/>
    <n v="0"/>
    <n v="7.9"/>
    <n v="0"/>
    <n v="0"/>
    <n v="2"/>
    <n v="0"/>
    <n v="0"/>
    <n v="1"/>
    <n v="0"/>
    <n v="0"/>
    <n v="0"/>
    <n v="0"/>
    <n v="0"/>
    <n v="1"/>
    <n v="1"/>
    <n v="1"/>
    <n v="0"/>
    <n v="0"/>
    <n v="0"/>
    <n v="0"/>
    <n v="3"/>
    <n v="0"/>
    <n v="0"/>
    <n v="-3"/>
    <n v="86.7"/>
    <n v="106.7"/>
    <n v="-20"/>
    <n v="16.7"/>
    <n v="0"/>
    <n v="33.299999999999997"/>
    <n v="0"/>
    <n v="11.1"/>
    <n v="5.9"/>
    <n v="0"/>
    <n v="0"/>
    <n v="0"/>
    <n v="11.1"/>
    <n v="91.33"/>
    <n v="0"/>
    <n v="15"/>
  </r>
  <r>
    <x v="566"/>
    <x v="11"/>
    <n v="25"/>
    <n v="3"/>
    <n v="1"/>
    <n v="2"/>
    <n v="2.1"/>
    <n v="0"/>
    <n v="0"/>
    <n v="1"/>
    <n v="0"/>
    <n v="0"/>
    <n v="0"/>
    <n v="0"/>
    <n v="0"/>
    <n v="0"/>
    <n v="0"/>
    <n v="1"/>
    <n v="0"/>
    <n v="1"/>
    <n v="2"/>
    <n v="0"/>
    <n v="0"/>
    <n v="0"/>
    <n v="0"/>
    <n v="4"/>
    <n v="0"/>
    <n v="0"/>
    <n v="3"/>
    <n v="135.69999999999999"/>
    <n v="71.400000000000006"/>
    <n v="64.3"/>
    <n v="28.6"/>
    <n v="0"/>
    <n v="66.7"/>
    <n v="25"/>
    <n v="0"/>
    <n v="8.3000000000000007"/>
    <n v="0"/>
    <n v="0"/>
    <n v="0"/>
    <n v="6.7"/>
    <n v="106.11"/>
    <n v="4.3"/>
    <n v="14"/>
  </r>
  <r>
    <x v="567"/>
    <x v="19"/>
    <n v="24"/>
    <n v="1"/>
    <n v="0"/>
    <n v="1"/>
    <n v="6.8"/>
    <n v="0"/>
    <n v="0"/>
    <n v="1"/>
    <n v="0"/>
    <n v="0"/>
    <n v="1"/>
    <n v="0"/>
    <n v="0"/>
    <n v="0"/>
    <n v="0"/>
    <n v="0"/>
    <n v="2"/>
    <n v="2"/>
    <n v="0"/>
    <n v="0"/>
    <n v="0"/>
    <n v="0"/>
    <n v="0"/>
    <n v="2"/>
    <n v="0"/>
    <n v="0"/>
    <n v="0"/>
    <n v="93.3"/>
    <n v="93.3"/>
    <n v="0"/>
    <n v="0"/>
    <n v="0"/>
    <n v="0"/>
    <n v="0"/>
    <n v="20"/>
    <n v="11.8"/>
    <n v="0"/>
    <n v="0"/>
    <n v="0"/>
    <n v="6.3"/>
    <n v="106.67"/>
    <n v="3.9"/>
    <n v="15"/>
  </r>
  <r>
    <x v="568"/>
    <x v="21"/>
    <n v="27"/>
    <n v="4"/>
    <n v="2"/>
    <n v="2"/>
    <n v="1.8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4"/>
    <n v="0"/>
    <n v="0"/>
    <n v="-0.3"/>
    <n v="81.3"/>
    <n v="77.8"/>
    <n v="3.5"/>
    <n v="25"/>
    <n v="0"/>
    <n v="100"/>
    <n v="0"/>
    <n v="0"/>
    <n v="0"/>
    <n v="0"/>
    <n v="0"/>
    <n v="0"/>
    <n v="0"/>
    <n v="111.25"/>
    <n v="11.4"/>
    <n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Analyse" cacheId="29" applyNumberFormats="0" applyBorderFormats="0" applyFontFormats="0" applyPatternFormats="0" applyAlignmentFormats="0" applyWidthHeightFormats="0" dataCaption="" updatedVersion="8" rowGrandTotals="0" compact="0" compactData="0">
  <location ref="A42:G63" firstHeaderRow="1" firstDataRow="2" firstDataCol="1" rowPageCount="1" colPageCount="1"/>
  <pivotFields count="45">
    <pivotField name="Player" axis="axisRow" compact="0" outline="0" multipleItemSelectionAllowed="1" showAll="0" sortType="ascending">
      <items count="570">
        <item x="336"/>
        <item x="137"/>
        <item x="291"/>
        <item x="214"/>
        <item x="96"/>
        <item x="458"/>
        <item x="536"/>
        <item x="295"/>
        <item x="215"/>
        <item x="347"/>
        <item x="338"/>
        <item x="213"/>
        <item x="283"/>
        <item x="274"/>
        <item x="487"/>
        <item x="453"/>
        <item x="449"/>
        <item x="104"/>
        <item x="547"/>
        <item x="26"/>
        <item x="90"/>
        <item x="154"/>
        <item x="314"/>
        <item x="344"/>
        <item x="174"/>
        <item x="74"/>
        <item x="39"/>
        <item x="141"/>
        <item x="50"/>
        <item x="1"/>
        <item x="406"/>
        <item x="538"/>
        <item x="312"/>
        <item x="477"/>
        <item x="525"/>
        <item x="189"/>
        <item x="24"/>
        <item x="206"/>
        <item x="31"/>
        <item x="419"/>
        <item x="296"/>
        <item x="331"/>
        <item x="62"/>
        <item x="143"/>
        <item x="393"/>
        <item x="349"/>
        <item x="162"/>
        <item x="520"/>
        <item x="195"/>
        <item x="334"/>
        <item x="388"/>
        <item x="100"/>
        <item x="409"/>
        <item x="139"/>
        <item x="247"/>
        <item x="220"/>
        <item x="268"/>
        <item x="203"/>
        <item x="323"/>
        <item x="553"/>
        <item x="129"/>
        <item x="463"/>
        <item x="80"/>
        <item x="293"/>
        <item x="466"/>
        <item x="528"/>
        <item x="122"/>
        <item x="98"/>
        <item x="8"/>
        <item x="335"/>
        <item x="284"/>
        <item x="515"/>
        <item x="428"/>
        <item x="431"/>
        <item x="187"/>
        <item x="238"/>
        <item x="76"/>
        <item x="232"/>
        <item x="128"/>
        <item x="200"/>
        <item x="380"/>
        <item x="237"/>
        <item x="231"/>
        <item x="485"/>
        <item x="501"/>
        <item x="146"/>
        <item x="55"/>
        <item x="438"/>
        <item x="473"/>
        <item x="60"/>
        <item x="235"/>
        <item x="22"/>
        <item x="282"/>
        <item x="341"/>
        <item x="382"/>
        <item x="178"/>
        <item x="465"/>
        <item x="410"/>
        <item x="360"/>
        <item x="63"/>
        <item x="152"/>
        <item x="368"/>
        <item x="362"/>
        <item x="552"/>
        <item x="556"/>
        <item x="142"/>
        <item x="480"/>
        <item x="559"/>
        <item x="208"/>
        <item x="300"/>
        <item x="151"/>
        <item x="28"/>
        <item x="420"/>
        <item x="444"/>
        <item x="153"/>
        <item x="376"/>
        <item x="541"/>
        <item x="369"/>
        <item x="304"/>
        <item x="467"/>
        <item x="417"/>
        <item x="21"/>
        <item x="519"/>
        <item x="384"/>
        <item x="194"/>
        <item x="269"/>
        <item x="25"/>
        <item x="73"/>
        <item x="461"/>
        <item x="303"/>
        <item x="199"/>
        <item x="351"/>
        <item x="212"/>
        <item x="407"/>
        <item x="14"/>
        <item x="56"/>
        <item x="88"/>
        <item x="306"/>
        <item x="126"/>
        <item x="52"/>
        <item x="45"/>
        <item x="5"/>
        <item x="400"/>
        <item x="79"/>
        <item x="77"/>
        <item x="404"/>
        <item x="42"/>
        <item x="390"/>
        <item x="256"/>
        <item x="16"/>
        <item x="145"/>
        <item x="210"/>
        <item x="391"/>
        <item x="182"/>
        <item x="320"/>
        <item x="470"/>
        <item x="423"/>
        <item x="439"/>
        <item x="119"/>
        <item x="361"/>
        <item x="414"/>
        <item x="75"/>
        <item x="512"/>
        <item x="442"/>
        <item x="497"/>
        <item x="532"/>
        <item x="484"/>
        <item x="479"/>
        <item x="328"/>
        <item x="46"/>
        <item x="27"/>
        <item x="108"/>
        <item x="241"/>
        <item x="475"/>
        <item x="286"/>
        <item x="392"/>
        <item x="267"/>
        <item x="117"/>
        <item x="124"/>
        <item x="350"/>
        <item x="3"/>
        <item x="229"/>
        <item x="127"/>
        <item x="374"/>
        <item x="165"/>
        <item x="133"/>
        <item x="340"/>
        <item x="82"/>
        <item x="551"/>
        <item x="236"/>
        <item x="352"/>
        <item x="405"/>
        <item x="207"/>
        <item x="403"/>
        <item x="294"/>
        <item x="180"/>
        <item x="526"/>
        <item x="176"/>
        <item x="488"/>
        <item x="135"/>
        <item x="545"/>
        <item x="562"/>
        <item x="258"/>
        <item x="411"/>
        <item x="40"/>
        <item x="61"/>
        <item x="249"/>
        <item x="155"/>
        <item x="308"/>
        <item x="524"/>
        <item x="513"/>
        <item x="506"/>
        <item x="233"/>
        <item x="222"/>
        <item x="85"/>
        <item x="425"/>
        <item x="510"/>
        <item x="363"/>
        <item x="560"/>
        <item x="530"/>
        <item x="202"/>
        <item x="243"/>
        <item x="114"/>
        <item x="535"/>
        <item x="17"/>
        <item x="95"/>
        <item x="12"/>
        <item x="427"/>
        <item x="163"/>
        <item x="568"/>
        <item x="356"/>
        <item x="223"/>
        <item x="205"/>
        <item x="23"/>
        <item x="136"/>
        <item x="359"/>
        <item x="30"/>
        <item x="219"/>
        <item x="516"/>
        <item x="9"/>
        <item x="537"/>
        <item x="543"/>
        <item x="261"/>
        <item x="242"/>
        <item x="216"/>
        <item x="287"/>
        <item x="413"/>
        <item x="19"/>
        <item x="389"/>
        <item x="71"/>
        <item x="288"/>
        <item x="276"/>
        <item x="253"/>
        <item x="34"/>
        <item x="375"/>
        <item x="448"/>
        <item x="457"/>
        <item x="482"/>
        <item x="116"/>
        <item x="321"/>
        <item x="371"/>
        <item x="4"/>
        <item x="507"/>
        <item x="491"/>
        <item x="316"/>
        <item x="370"/>
        <item x="166"/>
        <item x="262"/>
        <item x="181"/>
        <item x="436"/>
        <item x="563"/>
        <item x="325"/>
        <item x="383"/>
        <item x="91"/>
        <item x="355"/>
        <item x="522"/>
        <item x="245"/>
        <item x="134"/>
        <item x="422"/>
        <item x="446"/>
        <item x="430"/>
        <item x="201"/>
        <item x="109"/>
        <item x="275"/>
        <item x="148"/>
        <item x="270"/>
        <item x="188"/>
        <item x="379"/>
        <item x="185"/>
        <item x="434"/>
        <item x="385"/>
        <item x="35"/>
        <item x="443"/>
        <item x="198"/>
        <item x="504"/>
        <item x="81"/>
        <item x="230"/>
        <item x="78"/>
        <item x="412"/>
        <item x="318"/>
        <item x="496"/>
        <item x="157"/>
        <item x="454"/>
        <item x="121"/>
        <item x="280"/>
        <item x="193"/>
        <item x="49"/>
        <item x="211"/>
        <item x="250"/>
        <item x="517"/>
        <item x="244"/>
        <item x="357"/>
        <item x="10"/>
        <item x="302"/>
        <item x="123"/>
        <item x="373"/>
        <item x="94"/>
        <item x="394"/>
        <item x="190"/>
        <item x="89"/>
        <item x="273"/>
        <item x="99"/>
        <item x="257"/>
        <item x="168"/>
        <item x="172"/>
        <item x="112"/>
        <item x="481"/>
        <item x="372"/>
        <item x="18"/>
        <item x="160"/>
        <item x="478"/>
        <item x="408"/>
        <item x="544"/>
        <item x="131"/>
        <item x="290"/>
        <item x="66"/>
        <item x="254"/>
        <item x="471"/>
        <item x="322"/>
        <item x="319"/>
        <item x="83"/>
        <item x="450"/>
        <item x="472"/>
        <item x="239"/>
        <item x="315"/>
        <item x="118"/>
        <item x="281"/>
        <item x="156"/>
        <item x="92"/>
        <item x="399"/>
        <item x="492"/>
        <item x="53"/>
        <item x="192"/>
        <item x="452"/>
        <item x="59"/>
        <item x="317"/>
        <item x="353"/>
        <item x="101"/>
        <item x="15"/>
        <item x="514"/>
        <item x="441"/>
        <item x="533"/>
        <item x="330"/>
        <item x="333"/>
        <item x="327"/>
        <item x="150"/>
        <item x="32"/>
        <item x="398"/>
        <item x="197"/>
        <item x="255"/>
        <item x="529"/>
        <item x="564"/>
        <item x="518"/>
        <item x="337"/>
        <item x="311"/>
        <item x="558"/>
        <item x="41"/>
        <item x="69"/>
        <item x="459"/>
        <item x="503"/>
        <item x="278"/>
        <item x="310"/>
        <item x="447"/>
        <item x="167"/>
        <item x="464"/>
        <item x="468"/>
        <item x="401"/>
        <item x="511"/>
        <item x="298"/>
        <item x="158"/>
        <item x="418"/>
        <item x="502"/>
        <item x="138"/>
        <item x="240"/>
        <item x="432"/>
        <item x="416"/>
        <item x="377"/>
        <item x="33"/>
        <item x="29"/>
        <item x="196"/>
        <item x="48"/>
        <item x="183"/>
        <item x="540"/>
        <item x="440"/>
        <item x="397"/>
        <item x="339"/>
        <item x="271"/>
        <item x="451"/>
        <item x="144"/>
        <item x="358"/>
        <item x="266"/>
        <item x="68"/>
        <item x="508"/>
        <item x="486"/>
        <item x="97"/>
        <item x="460"/>
        <item x="65"/>
        <item x="309"/>
        <item x="147"/>
        <item x="221"/>
        <item x="191"/>
        <item x="132"/>
        <item x="307"/>
        <item x="2"/>
        <item x="234"/>
        <item x="38"/>
        <item x="260"/>
        <item x="47"/>
        <item x="113"/>
        <item x="169"/>
        <item x="43"/>
        <item x="354"/>
        <item x="87"/>
        <item x="313"/>
        <item x="429"/>
        <item x="476"/>
        <item x="329"/>
        <item x="395"/>
        <item x="534"/>
        <item x="110"/>
        <item x="499"/>
        <item x="57"/>
        <item x="20"/>
        <item x="348"/>
        <item x="433"/>
        <item x="474"/>
        <item x="204"/>
        <item x="421"/>
        <item x="171"/>
        <item x="364"/>
        <item x="64"/>
        <item x="332"/>
        <item x="483"/>
        <item x="209"/>
        <item x="539"/>
        <item x="542"/>
        <item x="495"/>
        <item x="279"/>
        <item x="72"/>
        <item x="378"/>
        <item x="554"/>
        <item x="292"/>
        <item x="381"/>
        <item x="500"/>
        <item x="437"/>
        <item x="342"/>
        <item x="402"/>
        <item x="343"/>
        <item x="218"/>
        <item x="567"/>
        <item x="54"/>
        <item x="346"/>
        <item x="415"/>
        <item x="550"/>
        <item x="225"/>
        <item x="161"/>
        <item x="106"/>
        <item x="130"/>
        <item x="86"/>
        <item x="228"/>
        <item x="289"/>
        <item x="186"/>
        <item x="227"/>
        <item x="272"/>
        <item x="120"/>
        <item x="111"/>
        <item x="51"/>
        <item x="125"/>
        <item x="252"/>
        <item x="44"/>
        <item x="0"/>
        <item x="305"/>
        <item x="494"/>
        <item x="251"/>
        <item x="548"/>
        <item x="105"/>
        <item x="505"/>
        <item x="521"/>
        <item x="13"/>
        <item x="58"/>
        <item x="345"/>
        <item x="297"/>
        <item x="149"/>
        <item x="426"/>
        <item x="277"/>
        <item x="159"/>
        <item x="173"/>
        <item x="527"/>
        <item x="546"/>
        <item x="226"/>
        <item x="565"/>
        <item x="396"/>
        <item x="164"/>
        <item x="566"/>
        <item x="259"/>
        <item x="285"/>
        <item x="107"/>
        <item x="84"/>
        <item x="523"/>
        <item x="462"/>
        <item x="424"/>
        <item x="326"/>
        <item x="102"/>
        <item x="7"/>
        <item x="265"/>
        <item x="299"/>
        <item x="365"/>
        <item x="246"/>
        <item x="531"/>
        <item x="386"/>
        <item x="498"/>
        <item x="435"/>
        <item x="248"/>
        <item x="67"/>
        <item x="217"/>
        <item x="455"/>
        <item x="301"/>
        <item x="555"/>
        <item x="103"/>
        <item x="6"/>
        <item x="445"/>
        <item x="456"/>
        <item x="37"/>
        <item x="224"/>
        <item x="36"/>
        <item x="469"/>
        <item x="490"/>
        <item x="115"/>
        <item x="549"/>
        <item x="324"/>
        <item x="70"/>
        <item x="367"/>
        <item x="263"/>
        <item x="509"/>
        <item x="175"/>
        <item x="179"/>
        <item x="387"/>
        <item x="493"/>
        <item x="489"/>
        <item x="557"/>
        <item x="170"/>
        <item x="93"/>
        <item x="264"/>
        <item x="184"/>
        <item x="11"/>
        <item x="366"/>
        <item x="177"/>
        <item x="140"/>
        <item x="561"/>
        <item t="default"/>
      </items>
    </pivotField>
    <pivotField name="Team" axis="axisPage" compact="0" outline="0" multipleItemSelectionAllowed="1" showAll="0">
      <items count="3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t="default"/>
      </items>
    </pivotField>
    <pivotField name="Age" compact="0" outline="0" multipleItemSelectionAllowed="1" showAll="0"/>
    <pivotField name="GP" compact="0" outline="0" multipleItemSelectionAllowed="1" showAll="0"/>
    <pivotField name="W" compact="0" outline="0" multipleItemSelectionAllowed="1" showAll="0"/>
    <pivotField name="L" compact="0" outline="0" multipleItemSelectionAllowed="1" showAll="0"/>
    <pivotField name="Min" compact="0" outline="0" multipleItemSelectionAllowed="1" showAll="0"/>
    <pivotField name="PTS" compact="0" outline="0" multipleItemSelectionAllowed="1" showAll="0"/>
    <pivotField name="FGM" compact="0" outline="0" multipleItemSelectionAllowed="1" showAll="0"/>
    <pivotField name="FGA" compact="0" outline="0" multipleItemSelectionAllowed="1" showAll="0"/>
    <pivotField name="FG%" compact="0" outline="0" multipleItemSelectionAllowed="1" showAll="0"/>
    <pivotField name="15:00" compact="0" outline="0" multipleItemSelectionAllowed="1" showAll="0"/>
    <pivotField name="3PA" compact="0" outline="0" multipleItemSelectionAllowed="1" showAll="0"/>
    <pivotField name="3P%" compact="0" outline="0" multipleItemSelectionAllowed="1" showAll="0"/>
    <pivotField name="FTM" compact="0" outline="0" multipleItemSelectionAllowed="1" showAll="0"/>
    <pivotField name="FTA" compact="0" outline="0" multipleItemSelectionAllowed="1" showAll="0"/>
    <pivotField name="FT%" compact="0" outline="0" multipleItemSelectionAllowed="1" showAll="0"/>
    <pivotField name="OREB" dataField="1" compact="0" outline="0" multipleItemSelectionAllowed="1" showAll="0"/>
    <pivotField name="DREB" dataField="1" compact="0" outline="0" multipleItemSelectionAllowed="1" showAll="0"/>
    <pivotField name="REB" compact="0" outline="0" multipleItemSelectionAllowed="1" showAll="0"/>
    <pivotField name="AST" dataField="1" compact="0" outline="0" multipleItemSelectionAllowed="1" showAll="0"/>
    <pivotField name="TOV" compact="0" outline="0" multipleItemSelectionAllowed="1" showAll="0"/>
    <pivotField name="STL" dataField="1" compact="0" outline="0" multipleItemSelectionAllowed="1" showAll="0"/>
    <pivotField name="BLK" dataField="1" compact="0" outline="0" multipleItemSelectionAllowed="1" showAll="0"/>
    <pivotField name="PF" compact="0" outline="0" multipleItemSelectionAllowed="1" showAll="0"/>
    <pivotField name="FP" compact="0" outline="0" multipleItemSelectionAllowed="1" showAll="0"/>
    <pivotField name="DD2" compact="0" outline="0" multipleItemSelectionAllowed="1" showAll="0"/>
    <pivotField name="TD3" compact="0" outline="0" multipleItemSelectionAllowed="1" showAll="0"/>
    <pivotField name="+/-" compact="0" outline="0" multipleItemSelectionAllowed="1" showAll="0"/>
    <pivotField name="OFFRTG" compact="0" outline="0" multipleItemSelectionAllowed="1" showAll="0"/>
    <pivotField name="DEFRTG" compact="0" outline="0" multipleItemSelectionAllowed="1" showAll="0"/>
    <pivotField name="NETRTG" compact="0" outline="0" multipleItemSelectionAllowed="1" showAll="0"/>
    <pivotField name="AST%" compact="0" outline="0" multipleItemSelectionAllowed="1" showAll="0"/>
    <pivotField name="AST/TO" compact="0" outline="0" multipleItemSelectionAllowed="1" showAll="0"/>
    <pivotField name="AST RATIO" compact="0" outline="0" multipleItemSelectionAllowed="1" showAll="0"/>
    <pivotField name="OREB%" compact="0" outline="0" multipleItemSelectionAllowed="1" showAll="0"/>
    <pivotField name="DREB%" compact="0" outline="0" multipleItemSelectionAllowed="1" showAll="0"/>
    <pivotField name="REB%" compact="0" outline="0" multipleItemSelectionAllowed="1" showAll="0"/>
    <pivotField name="TO RATIO" compact="0" outline="0" multipleItemSelectionAllowed="1" showAll="0"/>
    <pivotField name="EFG%" compact="0" outline="0" multipleItemSelectionAllowed="1" showAll="0"/>
    <pivotField name="TS%" compact="0" outline="0" multipleItemSelectionAllowed="1" showAll="0"/>
    <pivotField name="USG%" compact="0" outline="0" multipleItemSelectionAllowed="1" showAll="0"/>
    <pivotField name="PACE" compact="0" outline="0" multipleItemSelectionAllowed="1" showAll="0"/>
    <pivotField name="PIE" dataField="1" compact="0" outline="0" multipleItemSelectionAllowed="1" showAll="0"/>
    <pivotField name="POSS" compact="0" outline="0" multipleItemSelectionAllowed="1" showAll="0"/>
  </pivotFields>
  <rowFields count="1">
    <field x="0"/>
  </rowFields>
  <rowItems count="20">
    <i>
      <x v="15"/>
    </i>
    <i>
      <x v="34"/>
    </i>
    <i>
      <x v="36"/>
    </i>
    <i>
      <x v="61"/>
    </i>
    <i>
      <x v="72"/>
    </i>
    <i>
      <x v="87"/>
    </i>
    <i>
      <x v="110"/>
    </i>
    <i>
      <x v="151"/>
    </i>
    <i>
      <x v="172"/>
    </i>
    <i>
      <x v="248"/>
    </i>
    <i>
      <x v="251"/>
    </i>
    <i>
      <x v="287"/>
    </i>
    <i>
      <x v="358"/>
    </i>
    <i>
      <x v="366"/>
    </i>
    <i>
      <x v="385"/>
    </i>
    <i>
      <x v="394"/>
    </i>
    <i>
      <x v="460"/>
    </i>
    <i>
      <x v="477"/>
    </i>
    <i>
      <x v="491"/>
    </i>
    <i>
      <x v="531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1" hier="0"/>
  </pageFields>
  <dataFields count="6">
    <dataField name="SUM of OREB" fld="17" baseField="0"/>
    <dataField name="SUM of DREB" fld="18" baseField="0"/>
    <dataField name="SUM of PIE" fld="43" baseField="0"/>
    <dataField name="SUM of AST" fld="20" baseField="0"/>
    <dataField name="SUM of STL" fld="22" baseField="0"/>
    <dataField name="SUM of BLK" fld="2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Analyse Vide" cacheId="29" applyNumberFormats="0" applyBorderFormats="0" applyFontFormats="0" applyPatternFormats="0" applyAlignmentFormats="0" applyWidthHeightFormats="0" dataCaption="" updatedVersion="8" compact="0" compactData="0">
  <location ref="A42:C59" firstHeaderRow="1" firstDataRow="1" firstDataCol="0"/>
  <pivotFields count="45">
    <pivotField name="Player" compact="0" outline="0" multipleItemSelectionAllowed="1" showAll="0"/>
    <pivotField name="Team" compact="0" outline="0" multipleItemSelectionAllowed="1" showAll="0"/>
    <pivotField name="Age" compact="0" outline="0" multipleItemSelectionAllowed="1" showAll="0"/>
    <pivotField name="GP" compact="0" outline="0" multipleItemSelectionAllowed="1" showAll="0"/>
    <pivotField name="W" compact="0" outline="0" multipleItemSelectionAllowed="1" showAll="0"/>
    <pivotField name="L" compact="0" outline="0" multipleItemSelectionAllowed="1" showAll="0"/>
    <pivotField name="Min" compact="0" outline="0" multipleItemSelectionAllowed="1" showAll="0"/>
    <pivotField name="PTS" compact="0" outline="0" multipleItemSelectionAllowed="1" showAll="0"/>
    <pivotField name="FGM" compact="0" outline="0" multipleItemSelectionAllowed="1" showAll="0"/>
    <pivotField name="FGA" compact="0" outline="0" multipleItemSelectionAllowed="1" showAll="0"/>
    <pivotField name="FG%" compact="0" outline="0" multipleItemSelectionAllowed="1" showAll="0"/>
    <pivotField name="15:00" compact="0" outline="0" multipleItemSelectionAllowed="1" showAll="0"/>
    <pivotField name="3PA" compact="0" outline="0" multipleItemSelectionAllowed="1" showAll="0"/>
    <pivotField name="3P%" compact="0" outline="0" multipleItemSelectionAllowed="1" showAll="0"/>
    <pivotField name="FTM" compact="0" outline="0" multipleItemSelectionAllowed="1" showAll="0"/>
    <pivotField name="FTA" compact="0" outline="0" multipleItemSelectionAllowed="1" showAll="0"/>
    <pivotField name="FT%" compact="0" outline="0" multipleItemSelectionAllowed="1" showAll="0"/>
    <pivotField name="OREB" compact="0" outline="0" multipleItemSelectionAllowed="1" showAll="0"/>
    <pivotField name="DREB" compact="0" outline="0" multipleItemSelectionAllowed="1" showAll="0"/>
    <pivotField name="REB" compact="0" outline="0" multipleItemSelectionAllowed="1" showAll="0"/>
    <pivotField name="AST" compact="0" outline="0" multipleItemSelectionAllowed="1" showAll="0"/>
    <pivotField name="TOV" compact="0" outline="0" multipleItemSelectionAllowed="1" showAll="0"/>
    <pivotField name="STL" compact="0" outline="0" multipleItemSelectionAllowed="1" showAll="0"/>
    <pivotField name="BLK" compact="0" outline="0" multipleItemSelectionAllowed="1" showAll="0"/>
    <pivotField name="PF" compact="0" outline="0" multipleItemSelectionAllowed="1" showAll="0"/>
    <pivotField name="FP" compact="0" outline="0" multipleItemSelectionAllowed="1" showAll="0"/>
    <pivotField name="DD2" compact="0" outline="0" multipleItemSelectionAllowed="1" showAll="0"/>
    <pivotField name="TD3" compact="0" outline="0" multipleItemSelectionAllowed="1" showAll="0"/>
    <pivotField name="+/-" compact="0" outline="0" multipleItemSelectionAllowed="1" showAll="0"/>
    <pivotField name="OFFRTG" compact="0" outline="0" multipleItemSelectionAllowed="1" showAll="0"/>
    <pivotField name="DEFRTG" compact="0" outline="0" multipleItemSelectionAllowed="1" showAll="0"/>
    <pivotField name="NETRTG" compact="0" outline="0" multipleItemSelectionAllowed="1" showAll="0"/>
    <pivotField name="AST%" compact="0" outline="0" multipleItemSelectionAllowed="1" showAll="0"/>
    <pivotField name="AST/TO" compact="0" outline="0" multipleItemSelectionAllowed="1" showAll="0"/>
    <pivotField name="AST RATIO" compact="0" outline="0" multipleItemSelectionAllowed="1" showAll="0"/>
    <pivotField name="OREB%" compact="0" outline="0" multipleItemSelectionAllowed="1" showAll="0"/>
    <pivotField name="DREB%" compact="0" outline="0" multipleItemSelectionAllowed="1" showAll="0"/>
    <pivotField name="REB%" compact="0" outline="0" multipleItemSelectionAllowed="1" showAll="0"/>
    <pivotField name="TO RATIO" compact="0" outline="0" multipleItemSelectionAllowed="1" showAll="0"/>
    <pivotField name="EFG%" compact="0" outline="0" multipleItemSelectionAllowed="1" showAll="0"/>
    <pivotField name="TS%" compact="0" outline="0" multipleItemSelectionAllowed="1" showAll="0"/>
    <pivotField name="USG%" compact="0" outline="0" multipleItemSelectionAllowed="1" showAll="0"/>
    <pivotField name="PACE" compact="0" outline="0" multipleItemSelectionAllowed="1" showAll="0"/>
    <pivotField name="PIE" compact="0" outline="0" multipleItemSelectionAllowed="1" showAll="0"/>
    <pivotField name="POSS" compact="0" outline="0" multipleItemSelectionAllowed="1" showAll="0"/>
  </pivot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player/1626157/" TargetMode="External"/><Relationship Id="rId170" Type="http://schemas.openxmlformats.org/officeDocument/2006/relationships/hyperlink" Target="https://www.nba.com/stats/team/1610612765/" TargetMode="External"/><Relationship Id="rId268" Type="http://schemas.openxmlformats.org/officeDocument/2006/relationships/hyperlink" Target="https://www.nba.com/stats/team/1610612755/" TargetMode="External"/><Relationship Id="rId475" Type="http://schemas.openxmlformats.org/officeDocument/2006/relationships/hyperlink" Target="https://www.nba.com/stats/player/1631096/" TargetMode="External"/><Relationship Id="rId682" Type="http://schemas.openxmlformats.org/officeDocument/2006/relationships/hyperlink" Target="https://www.nba.com/stats/team/1610612744/" TargetMode="External"/><Relationship Id="rId128" Type="http://schemas.openxmlformats.org/officeDocument/2006/relationships/hyperlink" Target="https://www.nba.com/stats/team/1610612762/" TargetMode="External"/><Relationship Id="rId335" Type="http://schemas.openxmlformats.org/officeDocument/2006/relationships/hyperlink" Target="https://www.nba.com/stats/player/1631109/" TargetMode="External"/><Relationship Id="rId542" Type="http://schemas.openxmlformats.org/officeDocument/2006/relationships/hyperlink" Target="https://www.nba.com/stats/team/1610612761/" TargetMode="External"/><Relationship Id="rId987" Type="http://schemas.openxmlformats.org/officeDocument/2006/relationships/hyperlink" Target="https://www.nba.com/stats/player/1630214/" TargetMode="External"/><Relationship Id="rId402" Type="http://schemas.openxmlformats.org/officeDocument/2006/relationships/hyperlink" Target="https://www.nba.com/stats/team/1610612760/" TargetMode="External"/><Relationship Id="rId847" Type="http://schemas.openxmlformats.org/officeDocument/2006/relationships/hyperlink" Target="https://www.nba.com/stats/player/1631166/" TargetMode="External"/><Relationship Id="rId1032" Type="http://schemas.openxmlformats.org/officeDocument/2006/relationships/hyperlink" Target="https://www.nba.com/stats/team/1610612746/" TargetMode="External"/><Relationship Id="rId707" Type="http://schemas.openxmlformats.org/officeDocument/2006/relationships/hyperlink" Target="https://www.nba.com/stats/player/1626204/" TargetMode="External"/><Relationship Id="rId914" Type="http://schemas.openxmlformats.org/officeDocument/2006/relationships/hyperlink" Target="https://www.nba.com/stats/team/1610612749/" TargetMode="External"/><Relationship Id="rId43" Type="http://schemas.openxmlformats.org/officeDocument/2006/relationships/hyperlink" Target="https://www.nba.com/stats/player/1629636/" TargetMode="External"/><Relationship Id="rId192" Type="http://schemas.openxmlformats.org/officeDocument/2006/relationships/hyperlink" Target="https://www.nba.com/stats/team/1610612765/" TargetMode="External"/><Relationship Id="rId497" Type="http://schemas.openxmlformats.org/officeDocument/2006/relationships/hyperlink" Target="https://www.nba.com/stats/player/1626168/" TargetMode="External"/><Relationship Id="rId357" Type="http://schemas.openxmlformats.org/officeDocument/2006/relationships/hyperlink" Target="https://www.nba.com/stats/player/1630175/" TargetMode="External"/><Relationship Id="rId217" Type="http://schemas.openxmlformats.org/officeDocument/2006/relationships/hyperlink" Target="https://www.nba.com/stats/player/1627832/" TargetMode="External"/><Relationship Id="rId564" Type="http://schemas.openxmlformats.org/officeDocument/2006/relationships/hyperlink" Target="https://www.nba.com/stats/team/1610612748/" TargetMode="External"/><Relationship Id="rId771" Type="http://schemas.openxmlformats.org/officeDocument/2006/relationships/hyperlink" Target="https://www.nba.com/stats/player/1641757/" TargetMode="External"/><Relationship Id="rId869" Type="http://schemas.openxmlformats.org/officeDocument/2006/relationships/hyperlink" Target="https://www.nba.com/stats/player/1629162/" TargetMode="External"/><Relationship Id="rId424" Type="http://schemas.openxmlformats.org/officeDocument/2006/relationships/hyperlink" Target="https://www.nba.com/stats/team/1610612764/" TargetMode="External"/><Relationship Id="rId631" Type="http://schemas.openxmlformats.org/officeDocument/2006/relationships/hyperlink" Target="https://www.nba.com/stats/player/1631200/" TargetMode="External"/><Relationship Id="rId729" Type="http://schemas.openxmlformats.org/officeDocument/2006/relationships/hyperlink" Target="https://www.nba.com/stats/player/1630194/" TargetMode="External"/><Relationship Id="rId1054" Type="http://schemas.openxmlformats.org/officeDocument/2006/relationships/hyperlink" Target="https://www.nba.com/stats/team/1610612758/" TargetMode="External"/><Relationship Id="rId936" Type="http://schemas.openxmlformats.org/officeDocument/2006/relationships/hyperlink" Target="https://www.nba.com/stats/team/1610612743/" TargetMode="External"/><Relationship Id="rId1121" Type="http://schemas.openxmlformats.org/officeDocument/2006/relationships/hyperlink" Target="https://www.nba.com/stats/player/1626143/" TargetMode="External"/><Relationship Id="rId65" Type="http://schemas.openxmlformats.org/officeDocument/2006/relationships/hyperlink" Target="https://www.nba.com/stats/player/1629029/" TargetMode="External"/><Relationship Id="rId281" Type="http://schemas.openxmlformats.org/officeDocument/2006/relationships/hyperlink" Target="https://www.nba.com/stats/player/1629627/" TargetMode="External"/><Relationship Id="rId141" Type="http://schemas.openxmlformats.org/officeDocument/2006/relationships/hyperlink" Target="https://www.nba.com/stats/player/1641705/" TargetMode="External"/><Relationship Id="rId379" Type="http://schemas.openxmlformats.org/officeDocument/2006/relationships/hyperlink" Target="https://www.nba.com/stats/player/1641709/" TargetMode="External"/><Relationship Id="rId586" Type="http://schemas.openxmlformats.org/officeDocument/2006/relationships/hyperlink" Target="https://www.nba.com/stats/team/1610612744/" TargetMode="External"/><Relationship Id="rId793" Type="http://schemas.openxmlformats.org/officeDocument/2006/relationships/hyperlink" Target="https://www.nba.com/stats/player/1630545/" TargetMode="External"/><Relationship Id="rId7" Type="http://schemas.openxmlformats.org/officeDocument/2006/relationships/hyperlink" Target="https://www.nba.com/stats/player/203507/" TargetMode="External"/><Relationship Id="rId239" Type="http://schemas.openxmlformats.org/officeDocument/2006/relationships/hyperlink" Target="https://www.nba.com/stats/player/1629130/" TargetMode="External"/><Relationship Id="rId446" Type="http://schemas.openxmlformats.org/officeDocument/2006/relationships/hyperlink" Target="https://www.nba.com/stats/team/1610612765/" TargetMode="External"/><Relationship Id="rId653" Type="http://schemas.openxmlformats.org/officeDocument/2006/relationships/hyperlink" Target="https://www.nba.com/stats/player/1641787/" TargetMode="External"/><Relationship Id="rId1076" Type="http://schemas.openxmlformats.org/officeDocument/2006/relationships/hyperlink" Target="https://www.nba.com/stats/team/1610612754/" TargetMode="External"/><Relationship Id="rId306" Type="http://schemas.openxmlformats.org/officeDocument/2006/relationships/hyperlink" Target="https://www.nba.com/stats/team/1610612764/" TargetMode="External"/><Relationship Id="rId860" Type="http://schemas.openxmlformats.org/officeDocument/2006/relationships/hyperlink" Target="https://www.nba.com/stats/team/1610612762/" TargetMode="External"/><Relationship Id="rId958" Type="http://schemas.openxmlformats.org/officeDocument/2006/relationships/hyperlink" Target="https://www.nba.com/stats/team/1610612744/" TargetMode="External"/><Relationship Id="rId87" Type="http://schemas.openxmlformats.org/officeDocument/2006/relationships/hyperlink" Target="https://www.nba.com/stats/player/1628384/" TargetMode="External"/><Relationship Id="rId513" Type="http://schemas.openxmlformats.org/officeDocument/2006/relationships/hyperlink" Target="https://www.nba.com/stats/player/1642270/" TargetMode="External"/><Relationship Id="rId720" Type="http://schemas.openxmlformats.org/officeDocument/2006/relationships/hyperlink" Target="https://www.nba.com/stats/team/1610612740/" TargetMode="External"/><Relationship Id="rId818" Type="http://schemas.openxmlformats.org/officeDocument/2006/relationships/hyperlink" Target="https://www.nba.com/stats/team/1610612748/" TargetMode="External"/><Relationship Id="rId1003" Type="http://schemas.openxmlformats.org/officeDocument/2006/relationships/hyperlink" Target="https://www.nba.com/stats/player/1641753/" TargetMode="External"/><Relationship Id="rId14" Type="http://schemas.openxmlformats.org/officeDocument/2006/relationships/hyperlink" Target="https://www.nba.com/stats/team/1610612748/" TargetMode="External"/><Relationship Id="rId163" Type="http://schemas.openxmlformats.org/officeDocument/2006/relationships/hyperlink" Target="https://www.nba.com/stats/player/1630581/" TargetMode="External"/><Relationship Id="rId370" Type="http://schemas.openxmlformats.org/officeDocument/2006/relationships/hyperlink" Target="https://www.nba.com/stats/team/1610612763/" TargetMode="External"/><Relationship Id="rId230" Type="http://schemas.openxmlformats.org/officeDocument/2006/relationships/hyperlink" Target="https://www.nba.com/stats/team/1610612761/" TargetMode="External"/><Relationship Id="rId468" Type="http://schemas.openxmlformats.org/officeDocument/2006/relationships/hyperlink" Target="https://www.nba.com/stats/team/1610612742/" TargetMode="External"/><Relationship Id="rId675" Type="http://schemas.openxmlformats.org/officeDocument/2006/relationships/hyperlink" Target="https://www.nba.com/stats/player/1631103/" TargetMode="External"/><Relationship Id="rId882" Type="http://schemas.openxmlformats.org/officeDocument/2006/relationships/hyperlink" Target="https://www.nba.com/stats/team/1610612752/" TargetMode="External"/><Relationship Id="rId1098" Type="http://schemas.openxmlformats.org/officeDocument/2006/relationships/hyperlink" Target="https://www.nba.com/stats/team/1610612758/" TargetMode="External"/><Relationship Id="rId328" Type="http://schemas.openxmlformats.org/officeDocument/2006/relationships/hyperlink" Target="https://www.nba.com/stats/team/1610612737/" TargetMode="External"/><Relationship Id="rId535" Type="http://schemas.openxmlformats.org/officeDocument/2006/relationships/hyperlink" Target="https://www.nba.com/stats/player/1627780/" TargetMode="External"/><Relationship Id="rId742" Type="http://schemas.openxmlformats.org/officeDocument/2006/relationships/hyperlink" Target="https://www.nba.com/stats/team/1610612745/" TargetMode="External"/><Relationship Id="rId602" Type="http://schemas.openxmlformats.org/officeDocument/2006/relationships/hyperlink" Target="https://www.nba.com/stats/team/1610612741/" TargetMode="External"/><Relationship Id="rId1025" Type="http://schemas.openxmlformats.org/officeDocument/2006/relationships/hyperlink" Target="https://www.nba.com/stats/player/1630604/" TargetMode="External"/><Relationship Id="rId907" Type="http://schemas.openxmlformats.org/officeDocument/2006/relationships/hyperlink" Target="https://www.nba.com/stats/player/203458/" TargetMode="External"/><Relationship Id="rId36" Type="http://schemas.openxmlformats.org/officeDocument/2006/relationships/hyperlink" Target="https://www.nba.com/stats/team/1610612752/" TargetMode="External"/><Relationship Id="rId339" Type="http://schemas.openxmlformats.org/officeDocument/2006/relationships/hyperlink" Target="https://www.nba.com/stats/player/1630534/" TargetMode="External"/><Relationship Id="rId546" Type="http://schemas.openxmlformats.org/officeDocument/2006/relationships/hyperlink" Target="https://www.nba.com/stats/team/1610612759/" TargetMode="External"/><Relationship Id="rId753" Type="http://schemas.openxmlformats.org/officeDocument/2006/relationships/hyperlink" Target="https://www.nba.com/stats/player/1628464/" TargetMode="External"/><Relationship Id="rId101" Type="http://schemas.openxmlformats.org/officeDocument/2006/relationships/hyperlink" Target="https://www.nba.com/stats/player/203076/" TargetMode="External"/><Relationship Id="rId185" Type="http://schemas.openxmlformats.org/officeDocument/2006/relationships/hyperlink" Target="https://www.nba.com/stats/player/1628398/" TargetMode="External"/><Relationship Id="rId406" Type="http://schemas.openxmlformats.org/officeDocument/2006/relationships/hyperlink" Target="https://www.nba.com/stats/team/1610612748/" TargetMode="External"/><Relationship Id="rId960" Type="http://schemas.openxmlformats.org/officeDocument/2006/relationships/hyperlink" Target="https://www.nba.com/stats/team/1610612754/" TargetMode="External"/><Relationship Id="rId1036" Type="http://schemas.openxmlformats.org/officeDocument/2006/relationships/hyperlink" Target="https://www.nba.com/stats/team/1610612757/" TargetMode="External"/><Relationship Id="rId392" Type="http://schemas.openxmlformats.org/officeDocument/2006/relationships/hyperlink" Target="https://www.nba.com/stats/team/1610612746/" TargetMode="External"/><Relationship Id="rId613" Type="http://schemas.openxmlformats.org/officeDocument/2006/relationships/hyperlink" Target="https://www.nba.com/stats/player/1641726/" TargetMode="External"/><Relationship Id="rId697" Type="http://schemas.openxmlformats.org/officeDocument/2006/relationships/hyperlink" Target="https://www.nba.com/stats/player/1626192/" TargetMode="External"/><Relationship Id="rId820" Type="http://schemas.openxmlformats.org/officeDocument/2006/relationships/hyperlink" Target="https://www.nba.com/stats/team/1610612760/" TargetMode="External"/><Relationship Id="rId918" Type="http://schemas.openxmlformats.org/officeDocument/2006/relationships/hyperlink" Target="https://www.nba.com/stats/team/1610612760/" TargetMode="External"/><Relationship Id="rId252" Type="http://schemas.openxmlformats.org/officeDocument/2006/relationships/hyperlink" Target="https://www.nba.com/stats/team/1610612763/" TargetMode="External"/><Relationship Id="rId1103" Type="http://schemas.openxmlformats.org/officeDocument/2006/relationships/hyperlink" Target="https://www.nba.com/stats/player/1631127/" TargetMode="External"/><Relationship Id="rId47" Type="http://schemas.openxmlformats.org/officeDocument/2006/relationships/hyperlink" Target="https://www.nba.com/stats/player/1631114/" TargetMode="External"/><Relationship Id="rId112" Type="http://schemas.openxmlformats.org/officeDocument/2006/relationships/hyperlink" Target="https://www.nba.com/stats/team/1610612743/" TargetMode="External"/><Relationship Id="rId557" Type="http://schemas.openxmlformats.org/officeDocument/2006/relationships/hyperlink" Target="https://www.nba.com/stats/player/1631204/" TargetMode="External"/><Relationship Id="rId764" Type="http://schemas.openxmlformats.org/officeDocument/2006/relationships/hyperlink" Target="https://www.nba.com/stats/team/1610612757/" TargetMode="External"/><Relationship Id="rId971" Type="http://schemas.openxmlformats.org/officeDocument/2006/relationships/hyperlink" Target="https://www.nba.com/stats/player/1630537/" TargetMode="External"/><Relationship Id="rId196" Type="http://schemas.openxmlformats.org/officeDocument/2006/relationships/hyperlink" Target="https://www.nba.com/stats/team/1610612742/" TargetMode="External"/><Relationship Id="rId417" Type="http://schemas.openxmlformats.org/officeDocument/2006/relationships/hyperlink" Target="https://www.nba.com/stats/player/1630625/" TargetMode="External"/><Relationship Id="rId624" Type="http://schemas.openxmlformats.org/officeDocument/2006/relationships/hyperlink" Target="https://www.nba.com/stats/team/1610612764/" TargetMode="External"/><Relationship Id="rId831" Type="http://schemas.openxmlformats.org/officeDocument/2006/relationships/hyperlink" Target="https://www.nba.com/stats/player/1629057/" TargetMode="External"/><Relationship Id="rId1047" Type="http://schemas.openxmlformats.org/officeDocument/2006/relationships/hyperlink" Target="https://www.nba.com/stats/player/1642449/" TargetMode="External"/><Relationship Id="rId263" Type="http://schemas.openxmlformats.org/officeDocument/2006/relationships/hyperlink" Target="https://www.nba.com/stats/player/1629645/" TargetMode="External"/><Relationship Id="rId470" Type="http://schemas.openxmlformats.org/officeDocument/2006/relationships/hyperlink" Target="https://www.nba.com/stats/team/1610612748/" TargetMode="External"/><Relationship Id="rId929" Type="http://schemas.openxmlformats.org/officeDocument/2006/relationships/hyperlink" Target="https://www.nba.com/stats/player/1628365/" TargetMode="External"/><Relationship Id="rId1114" Type="http://schemas.openxmlformats.org/officeDocument/2006/relationships/hyperlink" Target="https://www.nba.com/stats/team/1610612761/" TargetMode="External"/><Relationship Id="rId58" Type="http://schemas.openxmlformats.org/officeDocument/2006/relationships/hyperlink" Target="https://www.nba.com/stats/team/1610612749/" TargetMode="External"/><Relationship Id="rId123" Type="http://schemas.openxmlformats.org/officeDocument/2006/relationships/hyperlink" Target="https://www.nba.com/stats/player/1629630/" TargetMode="External"/><Relationship Id="rId330" Type="http://schemas.openxmlformats.org/officeDocument/2006/relationships/hyperlink" Target="https://www.nba.com/stats/team/1610612748/" TargetMode="External"/><Relationship Id="rId568" Type="http://schemas.openxmlformats.org/officeDocument/2006/relationships/hyperlink" Target="https://www.nba.com/stats/team/1610612748/" TargetMode="External"/><Relationship Id="rId775" Type="http://schemas.openxmlformats.org/officeDocument/2006/relationships/hyperlink" Target="https://www.nba.com/stats/player/1631111/" TargetMode="External"/><Relationship Id="rId982" Type="http://schemas.openxmlformats.org/officeDocument/2006/relationships/hyperlink" Target="https://www.nba.com/stats/team/1610612756/" TargetMode="External"/><Relationship Id="rId428" Type="http://schemas.openxmlformats.org/officeDocument/2006/relationships/hyperlink" Target="https://www.nba.com/stats/team/1610612738/" TargetMode="External"/><Relationship Id="rId635" Type="http://schemas.openxmlformats.org/officeDocument/2006/relationships/hyperlink" Target="https://www.nba.com/stats/player/1629013/" TargetMode="External"/><Relationship Id="rId842" Type="http://schemas.openxmlformats.org/officeDocument/2006/relationships/hyperlink" Target="https://www.nba.com/stats/team/1610612766/" TargetMode="External"/><Relationship Id="rId1058" Type="http://schemas.openxmlformats.org/officeDocument/2006/relationships/hyperlink" Target="https://www.nba.com/stats/team/1610612757/" TargetMode="External"/><Relationship Id="rId274" Type="http://schemas.openxmlformats.org/officeDocument/2006/relationships/hyperlink" Target="https://www.nba.com/stats/team/1610612751/" TargetMode="External"/><Relationship Id="rId481" Type="http://schemas.openxmlformats.org/officeDocument/2006/relationships/hyperlink" Target="https://www.nba.com/stats/player/1629622/" TargetMode="External"/><Relationship Id="rId702" Type="http://schemas.openxmlformats.org/officeDocument/2006/relationships/hyperlink" Target="https://www.nba.com/stats/team/1610612763/" TargetMode="External"/><Relationship Id="rId1125" Type="http://schemas.openxmlformats.org/officeDocument/2006/relationships/hyperlink" Target="https://www.nba.com/stats/player/1641815/" TargetMode="External"/><Relationship Id="rId69" Type="http://schemas.openxmlformats.org/officeDocument/2006/relationships/hyperlink" Target="https://www.nba.com/stats/player/1627759/" TargetMode="External"/><Relationship Id="rId134" Type="http://schemas.openxmlformats.org/officeDocument/2006/relationships/hyperlink" Target="https://www.nba.com/stats/team/1610612762/" TargetMode="External"/><Relationship Id="rId579" Type="http://schemas.openxmlformats.org/officeDocument/2006/relationships/hyperlink" Target="https://www.nba.com/stats/player/1631157/" TargetMode="External"/><Relationship Id="rId786" Type="http://schemas.openxmlformats.org/officeDocument/2006/relationships/hyperlink" Target="https://www.nba.com/stats/team/1610612753/" TargetMode="External"/><Relationship Id="rId993" Type="http://schemas.openxmlformats.org/officeDocument/2006/relationships/hyperlink" Target="https://www.nba.com/stats/player/1626196/" TargetMode="External"/><Relationship Id="rId341" Type="http://schemas.openxmlformats.org/officeDocument/2006/relationships/hyperlink" Target="https://www.nba.com/stats/player/1642274/" TargetMode="External"/><Relationship Id="rId439" Type="http://schemas.openxmlformats.org/officeDocument/2006/relationships/hyperlink" Target="https://www.nba.com/stats/player/1642347/" TargetMode="External"/><Relationship Id="rId646" Type="http://schemas.openxmlformats.org/officeDocument/2006/relationships/hyperlink" Target="https://www.nba.com/stats/team/1610612762/" TargetMode="External"/><Relationship Id="rId1069" Type="http://schemas.openxmlformats.org/officeDocument/2006/relationships/hyperlink" Target="https://www.nba.com/stats/player/200782/" TargetMode="External"/><Relationship Id="rId201" Type="http://schemas.openxmlformats.org/officeDocument/2006/relationships/hyperlink" Target="https://www.nba.com/stats/player/203078/" TargetMode="External"/><Relationship Id="rId285" Type="http://schemas.openxmlformats.org/officeDocument/2006/relationships/hyperlink" Target="https://www.nba.com/stats/player/1626156/" TargetMode="External"/><Relationship Id="rId506" Type="http://schemas.openxmlformats.org/officeDocument/2006/relationships/hyperlink" Target="https://www.nba.com/stats/team/1610612766/" TargetMode="External"/><Relationship Id="rId853" Type="http://schemas.openxmlformats.org/officeDocument/2006/relationships/hyperlink" Target="https://www.nba.com/stats/player/201959/" TargetMode="External"/><Relationship Id="rId1136" Type="http://schemas.openxmlformats.org/officeDocument/2006/relationships/hyperlink" Target="https://www.nba.com/stats/team/1610612759/" TargetMode="External"/><Relationship Id="rId492" Type="http://schemas.openxmlformats.org/officeDocument/2006/relationships/hyperlink" Target="https://www.nba.com/stats/team/1610612755/" TargetMode="External"/><Relationship Id="rId713" Type="http://schemas.openxmlformats.org/officeDocument/2006/relationships/hyperlink" Target="https://www.nba.com/stats/player/1629618/" TargetMode="External"/><Relationship Id="rId797" Type="http://schemas.openxmlformats.org/officeDocument/2006/relationships/hyperlink" Target="https://www.nba.com/stats/player/1630568/" TargetMode="External"/><Relationship Id="rId920" Type="http://schemas.openxmlformats.org/officeDocument/2006/relationships/hyperlink" Target="https://www.nba.com/stats/team/1610612755/" TargetMode="External"/><Relationship Id="rId145" Type="http://schemas.openxmlformats.org/officeDocument/2006/relationships/hyperlink" Target="https://www.nba.com/stats/player/1629656/" TargetMode="External"/><Relationship Id="rId352" Type="http://schemas.openxmlformats.org/officeDocument/2006/relationships/hyperlink" Target="https://www.nba.com/stats/team/1610612762/" TargetMode="External"/><Relationship Id="rId212" Type="http://schemas.openxmlformats.org/officeDocument/2006/relationships/hyperlink" Target="https://www.nba.com/stats/team/1610612742/" TargetMode="External"/><Relationship Id="rId657" Type="http://schemas.openxmlformats.org/officeDocument/2006/relationships/hyperlink" Target="https://www.nba.com/stats/player/201569/" TargetMode="External"/><Relationship Id="rId864" Type="http://schemas.openxmlformats.org/officeDocument/2006/relationships/hyperlink" Target="https://www.nba.com/stats/team/1610612763/" TargetMode="External"/><Relationship Id="rId296" Type="http://schemas.openxmlformats.org/officeDocument/2006/relationships/hyperlink" Target="https://www.nba.com/stats/team/1610612751/" TargetMode="External"/><Relationship Id="rId517" Type="http://schemas.openxmlformats.org/officeDocument/2006/relationships/hyperlink" Target="https://www.nba.com/stats/player/1630191/" TargetMode="External"/><Relationship Id="rId724" Type="http://schemas.openxmlformats.org/officeDocument/2006/relationships/hyperlink" Target="https://www.nba.com/stats/team/1610612757/" TargetMode="External"/><Relationship Id="rId931" Type="http://schemas.openxmlformats.org/officeDocument/2006/relationships/hyperlink" Target="https://www.nba.com/stats/player/1631306/" TargetMode="External"/><Relationship Id="rId60" Type="http://schemas.openxmlformats.org/officeDocument/2006/relationships/hyperlink" Target="https://www.nba.com/stats/team/1610612752/" TargetMode="External"/><Relationship Id="rId156" Type="http://schemas.openxmlformats.org/officeDocument/2006/relationships/hyperlink" Target="https://www.nba.com/stats/team/1610612745/" TargetMode="External"/><Relationship Id="rId363" Type="http://schemas.openxmlformats.org/officeDocument/2006/relationships/hyperlink" Target="https://www.nba.com/stats/player/1631110/" TargetMode="External"/><Relationship Id="rId570" Type="http://schemas.openxmlformats.org/officeDocument/2006/relationships/hyperlink" Target="https://www.nba.com/stats/team/1610612742/" TargetMode="External"/><Relationship Id="rId1007" Type="http://schemas.openxmlformats.org/officeDocument/2006/relationships/hyperlink" Target="https://www.nba.com/stats/player/1630585/" TargetMode="External"/><Relationship Id="rId223" Type="http://schemas.openxmlformats.org/officeDocument/2006/relationships/hyperlink" Target="https://www.nba.com/stats/player/1630703/" TargetMode="External"/><Relationship Id="rId430" Type="http://schemas.openxmlformats.org/officeDocument/2006/relationships/hyperlink" Target="https://www.nba.com/stats/team/1610612754/" TargetMode="External"/><Relationship Id="rId668" Type="http://schemas.openxmlformats.org/officeDocument/2006/relationships/hyperlink" Target="https://www.nba.com/stats/team/1610612755/" TargetMode="External"/><Relationship Id="rId875" Type="http://schemas.openxmlformats.org/officeDocument/2006/relationships/hyperlink" Target="https://www.nba.com/stats/player/1641736/" TargetMode="External"/><Relationship Id="rId1060" Type="http://schemas.openxmlformats.org/officeDocument/2006/relationships/hyperlink" Target="https://www.nba.com/stats/team/1610612739/" TargetMode="External"/><Relationship Id="rId18" Type="http://schemas.openxmlformats.org/officeDocument/2006/relationships/hyperlink" Target="https://www.nba.com/stats/team/1610612765/" TargetMode="External"/><Relationship Id="rId528" Type="http://schemas.openxmlformats.org/officeDocument/2006/relationships/hyperlink" Target="https://www.nba.com/stats/team/1610612737/" TargetMode="External"/><Relationship Id="rId735" Type="http://schemas.openxmlformats.org/officeDocument/2006/relationships/hyperlink" Target="https://www.nba.com/stats/player/1631246/" TargetMode="External"/><Relationship Id="rId942" Type="http://schemas.openxmlformats.org/officeDocument/2006/relationships/hyperlink" Target="https://www.nba.com/stats/team/1610612738/" TargetMode="External"/><Relationship Id="rId167" Type="http://schemas.openxmlformats.org/officeDocument/2006/relationships/hyperlink" Target="https://www.nba.com/stats/player/202691/" TargetMode="External"/><Relationship Id="rId374" Type="http://schemas.openxmlformats.org/officeDocument/2006/relationships/hyperlink" Target="https://www.nba.com/stats/team/1610612738/" TargetMode="External"/><Relationship Id="rId581" Type="http://schemas.openxmlformats.org/officeDocument/2006/relationships/hyperlink" Target="https://www.nba.com/stats/player/1626172/" TargetMode="External"/><Relationship Id="rId1018" Type="http://schemas.openxmlformats.org/officeDocument/2006/relationships/hyperlink" Target="https://www.nba.com/stats/team/1610612745/" TargetMode="External"/><Relationship Id="rId71" Type="http://schemas.openxmlformats.org/officeDocument/2006/relationships/hyperlink" Target="https://www.nba.com/stats/player/1629673/" TargetMode="External"/><Relationship Id="rId234" Type="http://schemas.openxmlformats.org/officeDocument/2006/relationships/hyperlink" Target="https://www.nba.com/stats/team/1610612763/" TargetMode="External"/><Relationship Id="rId679" Type="http://schemas.openxmlformats.org/officeDocument/2006/relationships/hyperlink" Target="https://www.nba.com/stats/player/1628420/" TargetMode="External"/><Relationship Id="rId802" Type="http://schemas.openxmlformats.org/officeDocument/2006/relationships/hyperlink" Target="https://www.nba.com/stats/team/1610612758/" TargetMode="External"/><Relationship Id="rId886" Type="http://schemas.openxmlformats.org/officeDocument/2006/relationships/hyperlink" Target="https://www.nba.com/stats/team/1610612740/" TargetMode="External"/><Relationship Id="rId2" Type="http://schemas.openxmlformats.org/officeDocument/2006/relationships/hyperlink" Target="https://www.nba.com/stats/team/1610612760/" TargetMode="External"/><Relationship Id="rId29" Type="http://schemas.openxmlformats.org/officeDocument/2006/relationships/hyperlink" Target="https://www.nba.com/stats/player/201942/" TargetMode="External"/><Relationship Id="rId441" Type="http://schemas.openxmlformats.org/officeDocument/2006/relationships/hyperlink" Target="https://www.nba.com/stats/player/1629634/" TargetMode="External"/><Relationship Id="rId539" Type="http://schemas.openxmlformats.org/officeDocument/2006/relationships/hyperlink" Target="https://www.nba.com/stats/player/1630549/" TargetMode="External"/><Relationship Id="rId746" Type="http://schemas.openxmlformats.org/officeDocument/2006/relationships/hyperlink" Target="https://www.nba.com/stats/team/1610612742/" TargetMode="External"/><Relationship Id="rId1071" Type="http://schemas.openxmlformats.org/officeDocument/2006/relationships/hyperlink" Target="https://www.nba.com/stats/player/1641779/" TargetMode="External"/><Relationship Id="rId178" Type="http://schemas.openxmlformats.org/officeDocument/2006/relationships/hyperlink" Target="https://www.nba.com/stats/team/1610612765/" TargetMode="External"/><Relationship Id="rId301" Type="http://schemas.openxmlformats.org/officeDocument/2006/relationships/hyperlink" Target="https://www.nba.com/stats/player/1629652/" TargetMode="External"/><Relationship Id="rId953" Type="http://schemas.openxmlformats.org/officeDocument/2006/relationships/hyperlink" Target="https://www.nba.com/stats/player/1629052/" TargetMode="External"/><Relationship Id="rId1029" Type="http://schemas.openxmlformats.org/officeDocument/2006/relationships/hyperlink" Target="https://www.nba.com/stats/player/1631159/" TargetMode="External"/><Relationship Id="rId82" Type="http://schemas.openxmlformats.org/officeDocument/2006/relationships/hyperlink" Target="https://www.nba.com/stats/team/1610612746/" TargetMode="External"/><Relationship Id="rId385" Type="http://schemas.openxmlformats.org/officeDocument/2006/relationships/hyperlink" Target="https://www.nba.com/stats/player/1642273/" TargetMode="External"/><Relationship Id="rId592" Type="http://schemas.openxmlformats.org/officeDocument/2006/relationships/hyperlink" Target="https://www.nba.com/stats/team/1610612755/" TargetMode="External"/><Relationship Id="rId606" Type="http://schemas.openxmlformats.org/officeDocument/2006/relationships/hyperlink" Target="https://www.nba.com/stats/team/1610612740/" TargetMode="External"/><Relationship Id="rId813" Type="http://schemas.openxmlformats.org/officeDocument/2006/relationships/hyperlink" Target="https://www.nba.com/stats/player/1630264/" TargetMode="External"/><Relationship Id="rId245" Type="http://schemas.openxmlformats.org/officeDocument/2006/relationships/hyperlink" Target="https://www.nba.com/stats/player/1642267/" TargetMode="External"/><Relationship Id="rId452" Type="http://schemas.openxmlformats.org/officeDocument/2006/relationships/hyperlink" Target="https://www.nba.com/stats/team/1610612765/" TargetMode="External"/><Relationship Id="rId897" Type="http://schemas.openxmlformats.org/officeDocument/2006/relationships/hyperlink" Target="https://www.nba.com/stats/player/1641798/" TargetMode="External"/><Relationship Id="rId1082" Type="http://schemas.openxmlformats.org/officeDocument/2006/relationships/hyperlink" Target="https://www.nba.com/stats/team/1610612738/" TargetMode="External"/><Relationship Id="rId105" Type="http://schemas.openxmlformats.org/officeDocument/2006/relationships/hyperlink" Target="https://www.nba.com/stats/player/1628401/" TargetMode="External"/><Relationship Id="rId312" Type="http://schemas.openxmlformats.org/officeDocument/2006/relationships/hyperlink" Target="https://www.nba.com/stats/team/1610612745/" TargetMode="External"/><Relationship Id="rId757" Type="http://schemas.openxmlformats.org/officeDocument/2006/relationships/hyperlink" Target="https://www.nba.com/stats/player/1631245/" TargetMode="External"/><Relationship Id="rId964" Type="http://schemas.openxmlformats.org/officeDocument/2006/relationships/hyperlink" Target="https://www.nba.com/stats/team/1610612748/" TargetMode="External"/><Relationship Id="rId93" Type="http://schemas.openxmlformats.org/officeDocument/2006/relationships/hyperlink" Target="https://www.nba.com/stats/player/1630596/" TargetMode="External"/><Relationship Id="rId189" Type="http://schemas.openxmlformats.org/officeDocument/2006/relationships/hyperlink" Target="https://www.nba.com/stats/player/1631099/" TargetMode="External"/><Relationship Id="rId396" Type="http://schemas.openxmlformats.org/officeDocument/2006/relationships/hyperlink" Target="https://www.nba.com/stats/team/1610612763/" TargetMode="External"/><Relationship Id="rId617" Type="http://schemas.openxmlformats.org/officeDocument/2006/relationships/hyperlink" Target="https://www.nba.com/stats/player/1631133/" TargetMode="External"/><Relationship Id="rId824" Type="http://schemas.openxmlformats.org/officeDocument/2006/relationships/hyperlink" Target="https://www.nba.com/stats/team/1610612766/" TargetMode="External"/><Relationship Id="rId256" Type="http://schemas.openxmlformats.org/officeDocument/2006/relationships/hyperlink" Target="https://www.nba.com/stats/team/1610612761/" TargetMode="External"/><Relationship Id="rId463" Type="http://schemas.openxmlformats.org/officeDocument/2006/relationships/hyperlink" Target="https://www.nba.com/stats/player/1628449/" TargetMode="External"/><Relationship Id="rId670" Type="http://schemas.openxmlformats.org/officeDocument/2006/relationships/hyperlink" Target="https://www.nba.com/stats/team/1610612756/" TargetMode="External"/><Relationship Id="rId1093" Type="http://schemas.openxmlformats.org/officeDocument/2006/relationships/hyperlink" Target="https://www.nba.com/stats/player/1631386/" TargetMode="External"/><Relationship Id="rId1107" Type="http://schemas.openxmlformats.org/officeDocument/2006/relationships/hyperlink" Target="https://www.nba.com/stats/player/1630296/" TargetMode="External"/><Relationship Id="rId116" Type="http://schemas.openxmlformats.org/officeDocument/2006/relationships/hyperlink" Target="https://www.nba.com/stats/team/1610612753/" TargetMode="External"/><Relationship Id="rId323" Type="http://schemas.openxmlformats.org/officeDocument/2006/relationships/hyperlink" Target="https://www.nba.com/stats/player/1626220/" TargetMode="External"/><Relationship Id="rId530" Type="http://schemas.openxmlformats.org/officeDocument/2006/relationships/hyperlink" Target="https://www.nba.com/stats/team/1610612741/" TargetMode="External"/><Relationship Id="rId768" Type="http://schemas.openxmlformats.org/officeDocument/2006/relationships/hyperlink" Target="https://www.nba.com/stats/team/1610612741/" TargetMode="External"/><Relationship Id="rId975" Type="http://schemas.openxmlformats.org/officeDocument/2006/relationships/hyperlink" Target="https://www.nba.com/stats/player/1642505/" TargetMode="External"/><Relationship Id="rId20" Type="http://schemas.openxmlformats.org/officeDocument/2006/relationships/hyperlink" Target="https://www.nba.com/stats/team/1610612746/" TargetMode="External"/><Relationship Id="rId628" Type="http://schemas.openxmlformats.org/officeDocument/2006/relationships/hyperlink" Target="https://www.nba.com/stats/team/1610612761/" TargetMode="External"/><Relationship Id="rId835" Type="http://schemas.openxmlformats.org/officeDocument/2006/relationships/hyperlink" Target="https://www.nba.com/stats/player/1641727/" TargetMode="External"/><Relationship Id="rId267" Type="http://schemas.openxmlformats.org/officeDocument/2006/relationships/hyperlink" Target="https://www.nba.com/stats/player/1627824/" TargetMode="External"/><Relationship Id="rId474" Type="http://schemas.openxmlformats.org/officeDocument/2006/relationships/hyperlink" Target="https://www.nba.com/stats/team/1610612748/" TargetMode="External"/><Relationship Id="rId1020" Type="http://schemas.openxmlformats.org/officeDocument/2006/relationships/hyperlink" Target="https://www.nba.com/stats/team/1610612743/" TargetMode="External"/><Relationship Id="rId1118" Type="http://schemas.openxmlformats.org/officeDocument/2006/relationships/hyperlink" Target="https://www.nba.com/stats/team/1610612760/" TargetMode="External"/><Relationship Id="rId127" Type="http://schemas.openxmlformats.org/officeDocument/2006/relationships/hyperlink" Target="https://www.nba.com/stats/player/1629012/" TargetMode="External"/><Relationship Id="rId681" Type="http://schemas.openxmlformats.org/officeDocument/2006/relationships/hyperlink" Target="https://www.nba.com/stats/player/1630611/" TargetMode="External"/><Relationship Id="rId779" Type="http://schemas.openxmlformats.org/officeDocument/2006/relationships/hyperlink" Target="https://www.nba.com/stats/player/1629020/" TargetMode="External"/><Relationship Id="rId902" Type="http://schemas.openxmlformats.org/officeDocument/2006/relationships/hyperlink" Target="https://www.nba.com/stats/team/1610612746/" TargetMode="External"/><Relationship Id="rId986" Type="http://schemas.openxmlformats.org/officeDocument/2006/relationships/hyperlink" Target="https://www.nba.com/stats/team/1610612740/" TargetMode="External"/><Relationship Id="rId31" Type="http://schemas.openxmlformats.org/officeDocument/2006/relationships/hyperlink" Target="https://www.nba.com/stats/player/2544/" TargetMode="External"/><Relationship Id="rId334" Type="http://schemas.openxmlformats.org/officeDocument/2006/relationships/hyperlink" Target="https://www.nba.com/stats/team/1610612757/" TargetMode="External"/><Relationship Id="rId541" Type="http://schemas.openxmlformats.org/officeDocument/2006/relationships/hyperlink" Target="https://www.nba.com/stats/player/1642367/" TargetMode="External"/><Relationship Id="rId639" Type="http://schemas.openxmlformats.org/officeDocument/2006/relationships/hyperlink" Target="https://www.nba.com/stats/player/1642354/" TargetMode="External"/><Relationship Id="rId180" Type="http://schemas.openxmlformats.org/officeDocument/2006/relationships/hyperlink" Target="https://www.nba.com/stats/team/1610612759/" TargetMode="External"/><Relationship Id="rId278" Type="http://schemas.openxmlformats.org/officeDocument/2006/relationships/hyperlink" Target="https://www.nba.com/stats/team/1610612742/" TargetMode="External"/><Relationship Id="rId401" Type="http://schemas.openxmlformats.org/officeDocument/2006/relationships/hyperlink" Target="https://www.nba.com/stats/player/1641717/" TargetMode="External"/><Relationship Id="rId846" Type="http://schemas.openxmlformats.org/officeDocument/2006/relationships/hyperlink" Target="https://www.nba.com/stats/team/1610612763/" TargetMode="External"/><Relationship Id="rId1031" Type="http://schemas.openxmlformats.org/officeDocument/2006/relationships/hyperlink" Target="https://www.nba.com/stats/player/1642353/" TargetMode="External"/><Relationship Id="rId1129" Type="http://schemas.openxmlformats.org/officeDocument/2006/relationships/hyperlink" Target="https://www.nba.com/stats/player/1630644/" TargetMode="External"/><Relationship Id="rId485" Type="http://schemas.openxmlformats.org/officeDocument/2006/relationships/hyperlink" Target="https://www.nba.com/stats/player/1641716/" TargetMode="External"/><Relationship Id="rId692" Type="http://schemas.openxmlformats.org/officeDocument/2006/relationships/hyperlink" Target="https://www.nba.com/stats/team/1610612745/" TargetMode="External"/><Relationship Id="rId706" Type="http://schemas.openxmlformats.org/officeDocument/2006/relationships/hyperlink" Target="https://www.nba.com/stats/team/1610612740/" TargetMode="External"/><Relationship Id="rId913" Type="http://schemas.openxmlformats.org/officeDocument/2006/relationships/hyperlink" Target="https://www.nba.com/stats/player/1641890/" TargetMode="External"/><Relationship Id="rId42" Type="http://schemas.openxmlformats.org/officeDocument/2006/relationships/hyperlink" Target="https://www.nba.com/stats/team/1610612754/" TargetMode="External"/><Relationship Id="rId138" Type="http://schemas.openxmlformats.org/officeDocument/2006/relationships/hyperlink" Target="https://www.nba.com/stats/team/1610612754/" TargetMode="External"/><Relationship Id="rId345" Type="http://schemas.openxmlformats.org/officeDocument/2006/relationships/hyperlink" Target="https://www.nba.com/stats/player/1631165/" TargetMode="External"/><Relationship Id="rId552" Type="http://schemas.openxmlformats.org/officeDocument/2006/relationships/hyperlink" Target="https://www.nba.com/stats/team/1610612753/" TargetMode="External"/><Relationship Id="rId997" Type="http://schemas.openxmlformats.org/officeDocument/2006/relationships/hyperlink" Target="https://www.nba.com/stats/player/1641725/" TargetMode="External"/><Relationship Id="rId191" Type="http://schemas.openxmlformats.org/officeDocument/2006/relationships/hyperlink" Target="https://www.nba.com/stats/player/1631105/" TargetMode="External"/><Relationship Id="rId205" Type="http://schemas.openxmlformats.org/officeDocument/2006/relationships/hyperlink" Target="https://www.nba.com/stats/player/1641739/" TargetMode="External"/><Relationship Id="rId412" Type="http://schemas.openxmlformats.org/officeDocument/2006/relationships/hyperlink" Target="https://www.nba.com/stats/team/1610612753/" TargetMode="External"/><Relationship Id="rId857" Type="http://schemas.openxmlformats.org/officeDocument/2006/relationships/hyperlink" Target="https://www.nba.com/stats/player/1629629/" TargetMode="External"/><Relationship Id="rId1042" Type="http://schemas.openxmlformats.org/officeDocument/2006/relationships/hyperlink" Target="https://www.nba.com/stats/team/1610612765/" TargetMode="External"/><Relationship Id="rId289" Type="http://schemas.openxmlformats.org/officeDocument/2006/relationships/hyperlink" Target="https://www.nba.com/stats/player/1630541/" TargetMode="External"/><Relationship Id="rId496" Type="http://schemas.openxmlformats.org/officeDocument/2006/relationships/hyperlink" Target="https://www.nba.com/stats/team/1610612740/" TargetMode="External"/><Relationship Id="rId717" Type="http://schemas.openxmlformats.org/officeDocument/2006/relationships/hyperlink" Target="https://www.nba.com/stats/player/1631243/" TargetMode="External"/><Relationship Id="rId924" Type="http://schemas.openxmlformats.org/officeDocument/2006/relationships/hyperlink" Target="https://www.nba.com/stats/team/1610612751/" TargetMode="External"/><Relationship Id="rId53" Type="http://schemas.openxmlformats.org/officeDocument/2006/relationships/hyperlink" Target="https://www.nba.com/stats/player/1630578/" TargetMode="External"/><Relationship Id="rId149" Type="http://schemas.openxmlformats.org/officeDocument/2006/relationships/hyperlink" Target="https://www.nba.com/stats/player/203952/" TargetMode="External"/><Relationship Id="rId356" Type="http://schemas.openxmlformats.org/officeDocument/2006/relationships/hyperlink" Target="https://www.nba.com/stats/team/1610612751/" TargetMode="External"/><Relationship Id="rId563" Type="http://schemas.openxmlformats.org/officeDocument/2006/relationships/hyperlink" Target="https://www.nba.com/stats/player/203937/" TargetMode="External"/><Relationship Id="rId770" Type="http://schemas.openxmlformats.org/officeDocument/2006/relationships/hyperlink" Target="https://www.nba.com/stats/team/1610612745/" TargetMode="External"/><Relationship Id="rId216" Type="http://schemas.openxmlformats.org/officeDocument/2006/relationships/hyperlink" Target="https://www.nba.com/stats/team/1610612765/" TargetMode="External"/><Relationship Id="rId423" Type="http://schemas.openxmlformats.org/officeDocument/2006/relationships/hyperlink" Target="https://www.nba.com/stats/player/1630551/" TargetMode="External"/><Relationship Id="rId868" Type="http://schemas.openxmlformats.org/officeDocument/2006/relationships/hyperlink" Target="https://www.nba.com/stats/team/1610612744/" TargetMode="External"/><Relationship Id="rId1053" Type="http://schemas.openxmlformats.org/officeDocument/2006/relationships/hyperlink" Target="https://www.nba.com/stats/player/1642384/" TargetMode="External"/><Relationship Id="rId630" Type="http://schemas.openxmlformats.org/officeDocument/2006/relationships/hyperlink" Target="https://www.nba.com/stats/team/1610612755/" TargetMode="External"/><Relationship Id="rId728" Type="http://schemas.openxmlformats.org/officeDocument/2006/relationships/hyperlink" Target="https://www.nba.com/stats/team/1610612745/" TargetMode="External"/><Relationship Id="rId935" Type="http://schemas.openxmlformats.org/officeDocument/2006/relationships/hyperlink" Target="https://www.nba.com/stats/player/203967/" TargetMode="External"/><Relationship Id="rId64" Type="http://schemas.openxmlformats.org/officeDocument/2006/relationships/hyperlink" Target="https://www.nba.com/stats/team/1610612748/" TargetMode="External"/><Relationship Id="rId367" Type="http://schemas.openxmlformats.org/officeDocument/2006/relationships/hyperlink" Target="https://www.nba.com/stats/player/1630540/" TargetMode="External"/><Relationship Id="rId574" Type="http://schemas.openxmlformats.org/officeDocument/2006/relationships/hyperlink" Target="https://www.nba.com/stats/team/1610612737/" TargetMode="External"/><Relationship Id="rId1120" Type="http://schemas.openxmlformats.org/officeDocument/2006/relationships/hyperlink" Target="https://www.nba.com/stats/team/1610612750/" TargetMode="External"/><Relationship Id="rId227" Type="http://schemas.openxmlformats.org/officeDocument/2006/relationships/hyperlink" Target="https://www.nba.com/stats/player/1630167/" TargetMode="External"/><Relationship Id="rId781" Type="http://schemas.openxmlformats.org/officeDocument/2006/relationships/hyperlink" Target="https://www.nba.com/stats/player/1631230/" TargetMode="External"/><Relationship Id="rId879" Type="http://schemas.openxmlformats.org/officeDocument/2006/relationships/hyperlink" Target="https://www.nba.com/stats/player/1630696/" TargetMode="External"/><Relationship Id="rId434" Type="http://schemas.openxmlformats.org/officeDocument/2006/relationships/hyperlink" Target="https://www.nba.com/stats/team/1610612755/" TargetMode="External"/><Relationship Id="rId641" Type="http://schemas.openxmlformats.org/officeDocument/2006/relationships/hyperlink" Target="https://www.nba.com/stats/player/1629234/" TargetMode="External"/><Relationship Id="rId739" Type="http://schemas.openxmlformats.org/officeDocument/2006/relationships/hyperlink" Target="https://www.nba.com/stats/player/203957/" TargetMode="External"/><Relationship Id="rId1064" Type="http://schemas.openxmlformats.org/officeDocument/2006/relationships/hyperlink" Target="https://www.nba.com/stats/team/1610612746/" TargetMode="External"/><Relationship Id="rId280" Type="http://schemas.openxmlformats.org/officeDocument/2006/relationships/hyperlink" Target="https://www.nba.com/stats/team/1610612744/" TargetMode="External"/><Relationship Id="rId501" Type="http://schemas.openxmlformats.org/officeDocument/2006/relationships/hyperlink" Target="https://www.nba.com/stats/player/1642348/" TargetMode="External"/><Relationship Id="rId946" Type="http://schemas.openxmlformats.org/officeDocument/2006/relationships/hyperlink" Target="https://www.nba.com/stats/team/1610612737/" TargetMode="External"/><Relationship Id="rId1131" Type="http://schemas.openxmlformats.org/officeDocument/2006/relationships/hyperlink" Target="https://www.nba.com/stats/player/1629056/" TargetMode="External"/><Relationship Id="rId75" Type="http://schemas.openxmlformats.org/officeDocument/2006/relationships/hyperlink" Target="https://www.nba.com/stats/player/1630169/" TargetMode="External"/><Relationship Id="rId140" Type="http://schemas.openxmlformats.org/officeDocument/2006/relationships/hyperlink" Target="https://www.nba.com/stats/team/1610612758/" TargetMode="External"/><Relationship Id="rId378" Type="http://schemas.openxmlformats.org/officeDocument/2006/relationships/hyperlink" Target="https://www.nba.com/stats/team/1610612762/" TargetMode="External"/><Relationship Id="rId585" Type="http://schemas.openxmlformats.org/officeDocument/2006/relationships/hyperlink" Target="https://www.nba.com/stats/player/1642366/" TargetMode="External"/><Relationship Id="rId792" Type="http://schemas.openxmlformats.org/officeDocument/2006/relationships/hyperlink" Target="https://www.nba.com/stats/team/1610612760/" TargetMode="External"/><Relationship Id="rId806" Type="http://schemas.openxmlformats.org/officeDocument/2006/relationships/hyperlink" Target="https://www.nba.com/stats/team/1610612755/" TargetMode="External"/><Relationship Id="rId6" Type="http://schemas.openxmlformats.org/officeDocument/2006/relationships/hyperlink" Target="https://www.nba.com/stats/team/1610612743/" TargetMode="External"/><Relationship Id="rId238" Type="http://schemas.openxmlformats.org/officeDocument/2006/relationships/hyperlink" Target="https://www.nba.com/stats/team/1610612738/" TargetMode="External"/><Relationship Id="rId445" Type="http://schemas.openxmlformats.org/officeDocument/2006/relationships/hyperlink" Target="https://www.nba.com/stats/player/1631093/" TargetMode="External"/><Relationship Id="rId652" Type="http://schemas.openxmlformats.org/officeDocument/2006/relationships/hyperlink" Target="https://www.nba.com/stats/team/1610612753/" TargetMode="External"/><Relationship Id="rId1075" Type="http://schemas.openxmlformats.org/officeDocument/2006/relationships/hyperlink" Target="https://www.nba.com/stats/player/201949/" TargetMode="External"/><Relationship Id="rId291" Type="http://schemas.openxmlformats.org/officeDocument/2006/relationships/hyperlink" Target="https://www.nba.com/stats/player/1628978/" TargetMode="External"/><Relationship Id="rId305" Type="http://schemas.openxmlformats.org/officeDocument/2006/relationships/hyperlink" Target="https://www.nba.com/stats/player/1630557/" TargetMode="External"/><Relationship Id="rId512" Type="http://schemas.openxmlformats.org/officeDocument/2006/relationships/hyperlink" Target="https://www.nba.com/stats/team/1610612738/" TargetMode="External"/><Relationship Id="rId957" Type="http://schemas.openxmlformats.org/officeDocument/2006/relationships/hyperlink" Target="https://www.nba.com/stats/player/1628995/" TargetMode="External"/><Relationship Id="rId86" Type="http://schemas.openxmlformats.org/officeDocument/2006/relationships/hyperlink" Target="https://www.nba.com/stats/team/1610612758/" TargetMode="External"/><Relationship Id="rId151" Type="http://schemas.openxmlformats.org/officeDocument/2006/relationships/hyperlink" Target="https://www.nba.com/stats/player/1630700/" TargetMode="External"/><Relationship Id="rId389" Type="http://schemas.openxmlformats.org/officeDocument/2006/relationships/hyperlink" Target="https://www.nba.com/stats/player/1630558/" TargetMode="External"/><Relationship Id="rId596" Type="http://schemas.openxmlformats.org/officeDocument/2006/relationships/hyperlink" Target="https://www.nba.com/stats/team/1610612762/" TargetMode="External"/><Relationship Id="rId817" Type="http://schemas.openxmlformats.org/officeDocument/2006/relationships/hyperlink" Target="https://www.nba.com/stats/player/201567/" TargetMode="External"/><Relationship Id="rId1002" Type="http://schemas.openxmlformats.org/officeDocument/2006/relationships/hyperlink" Target="https://www.nba.com/stats/team/1610612754/" TargetMode="External"/><Relationship Id="rId249" Type="http://schemas.openxmlformats.org/officeDocument/2006/relationships/hyperlink" Target="https://www.nba.com/stats/player/1627777/" TargetMode="External"/><Relationship Id="rId456" Type="http://schemas.openxmlformats.org/officeDocument/2006/relationships/hyperlink" Target="https://www.nba.com/stats/team/1610612739/" TargetMode="External"/><Relationship Id="rId663" Type="http://schemas.openxmlformats.org/officeDocument/2006/relationships/hyperlink" Target="https://www.nba.com/stats/player/1627732/" TargetMode="External"/><Relationship Id="rId870" Type="http://schemas.openxmlformats.org/officeDocument/2006/relationships/hyperlink" Target="https://www.nba.com/stats/team/1610612759/" TargetMode="External"/><Relationship Id="rId1086" Type="http://schemas.openxmlformats.org/officeDocument/2006/relationships/hyperlink" Target="https://www.nba.com/stats/team/1610612750/" TargetMode="External"/><Relationship Id="rId13" Type="http://schemas.openxmlformats.org/officeDocument/2006/relationships/hyperlink" Target="https://www.nba.com/stats/player/1629639/" TargetMode="External"/><Relationship Id="rId109" Type="http://schemas.openxmlformats.org/officeDocument/2006/relationships/hyperlink" Target="https://www.nba.com/stats/player/1629628/" TargetMode="External"/><Relationship Id="rId316" Type="http://schemas.openxmlformats.org/officeDocument/2006/relationships/hyperlink" Target="https://www.nba.com/stats/team/1610612738/" TargetMode="External"/><Relationship Id="rId523" Type="http://schemas.openxmlformats.org/officeDocument/2006/relationships/hyperlink" Target="https://www.nba.com/stats/player/1642419/" TargetMode="External"/><Relationship Id="rId968" Type="http://schemas.openxmlformats.org/officeDocument/2006/relationships/hyperlink" Target="https://www.nba.com/stats/team/1610612749/" TargetMode="External"/><Relationship Id="rId97" Type="http://schemas.openxmlformats.org/officeDocument/2006/relationships/hyperlink" Target="https://www.nba.com/stats/player/1628970/" TargetMode="External"/><Relationship Id="rId730" Type="http://schemas.openxmlformats.org/officeDocument/2006/relationships/hyperlink" Target="https://www.nba.com/stats/team/1610612765/" TargetMode="External"/><Relationship Id="rId828" Type="http://schemas.openxmlformats.org/officeDocument/2006/relationships/hyperlink" Target="https://www.nba.com/stats/team/1610612761/" TargetMode="External"/><Relationship Id="rId1013" Type="http://schemas.openxmlformats.org/officeDocument/2006/relationships/hyperlink" Target="https://www.nba.com/stats/player/1631210/" TargetMode="External"/><Relationship Id="rId162" Type="http://schemas.openxmlformats.org/officeDocument/2006/relationships/hyperlink" Target="https://www.nba.com/stats/team/1610612749/" TargetMode="External"/><Relationship Id="rId467" Type="http://schemas.openxmlformats.org/officeDocument/2006/relationships/hyperlink" Target="https://www.nba.com/stats/player/1630702/" TargetMode="External"/><Relationship Id="rId1097" Type="http://schemas.openxmlformats.org/officeDocument/2006/relationships/hyperlink" Target="https://www.nba.com/stats/player/1627746/" TargetMode="External"/><Relationship Id="rId674" Type="http://schemas.openxmlformats.org/officeDocument/2006/relationships/hyperlink" Target="https://www.nba.com/stats/team/1610612761/" TargetMode="External"/><Relationship Id="rId881" Type="http://schemas.openxmlformats.org/officeDocument/2006/relationships/hyperlink" Target="https://www.nba.com/stats/player/1629011/" TargetMode="External"/><Relationship Id="rId979" Type="http://schemas.openxmlformats.org/officeDocument/2006/relationships/hyperlink" Target="https://www.nba.com/stats/player/1642530/" TargetMode="External"/><Relationship Id="rId24" Type="http://schemas.openxmlformats.org/officeDocument/2006/relationships/hyperlink" Target="https://www.nba.com/stats/team/1610612758/" TargetMode="External"/><Relationship Id="rId327" Type="http://schemas.openxmlformats.org/officeDocument/2006/relationships/hyperlink" Target="https://www.nba.com/stats/player/1630552/" TargetMode="External"/><Relationship Id="rId534" Type="http://schemas.openxmlformats.org/officeDocument/2006/relationships/hyperlink" Target="https://www.nba.com/stats/team/1610612766/" TargetMode="External"/><Relationship Id="rId741" Type="http://schemas.openxmlformats.org/officeDocument/2006/relationships/hyperlink" Target="https://www.nba.com/stats/player/201145/" TargetMode="External"/><Relationship Id="rId839" Type="http://schemas.openxmlformats.org/officeDocument/2006/relationships/hyperlink" Target="https://www.nba.com/stats/player/1631248/" TargetMode="External"/><Relationship Id="rId173" Type="http://schemas.openxmlformats.org/officeDocument/2006/relationships/hyperlink" Target="https://www.nba.com/stats/player/201566/" TargetMode="External"/><Relationship Id="rId380" Type="http://schemas.openxmlformats.org/officeDocument/2006/relationships/hyperlink" Target="https://www.nba.com/stats/team/1610612765/" TargetMode="External"/><Relationship Id="rId601" Type="http://schemas.openxmlformats.org/officeDocument/2006/relationships/hyperlink" Target="https://www.nba.com/stats/player/1631207/" TargetMode="External"/><Relationship Id="rId1024" Type="http://schemas.openxmlformats.org/officeDocument/2006/relationships/hyperlink" Target="https://www.nba.com/stats/team/1610612758/" TargetMode="External"/><Relationship Id="rId240" Type="http://schemas.openxmlformats.org/officeDocument/2006/relationships/hyperlink" Target="https://www.nba.com/stats/team/1610612748/" TargetMode="External"/><Relationship Id="rId478" Type="http://schemas.openxmlformats.org/officeDocument/2006/relationships/hyperlink" Target="https://www.nba.com/stats/team/1610612745/" TargetMode="External"/><Relationship Id="rId685" Type="http://schemas.openxmlformats.org/officeDocument/2006/relationships/hyperlink" Target="https://www.nba.com/stats/player/1642263/" TargetMode="External"/><Relationship Id="rId892" Type="http://schemas.openxmlformats.org/officeDocument/2006/relationships/hyperlink" Target="https://www.nba.com/stats/team/1610612752/" TargetMode="External"/><Relationship Id="rId906" Type="http://schemas.openxmlformats.org/officeDocument/2006/relationships/hyperlink" Target="https://www.nba.com/stats/team/1610612763/" TargetMode="External"/><Relationship Id="rId35" Type="http://schemas.openxmlformats.org/officeDocument/2006/relationships/hyperlink" Target="https://www.nba.com/stats/player/1628973/" TargetMode="External"/><Relationship Id="rId100" Type="http://schemas.openxmlformats.org/officeDocument/2006/relationships/hyperlink" Target="https://www.nba.com/stats/team/1610612750/" TargetMode="External"/><Relationship Id="rId338" Type="http://schemas.openxmlformats.org/officeDocument/2006/relationships/hyperlink" Target="https://www.nba.com/stats/team/1610612753/" TargetMode="External"/><Relationship Id="rId545" Type="http://schemas.openxmlformats.org/officeDocument/2006/relationships/hyperlink" Target="https://www.nba.com/stats/player/1630572/" TargetMode="External"/><Relationship Id="rId752" Type="http://schemas.openxmlformats.org/officeDocument/2006/relationships/hyperlink" Target="https://www.nba.com/stats/team/1610612750/" TargetMode="External"/><Relationship Id="rId184" Type="http://schemas.openxmlformats.org/officeDocument/2006/relationships/hyperlink" Target="https://www.nba.com/stats/team/1610612744/" TargetMode="External"/><Relationship Id="rId391" Type="http://schemas.openxmlformats.org/officeDocument/2006/relationships/hyperlink" Target="https://www.nba.com/stats/player/203992/" TargetMode="External"/><Relationship Id="rId405" Type="http://schemas.openxmlformats.org/officeDocument/2006/relationships/hyperlink" Target="https://www.nba.com/stats/player/1631170/" TargetMode="External"/><Relationship Id="rId612" Type="http://schemas.openxmlformats.org/officeDocument/2006/relationships/hyperlink" Target="https://www.nba.com/stats/team/1610612747/" TargetMode="External"/><Relationship Id="rId1035" Type="http://schemas.openxmlformats.org/officeDocument/2006/relationships/hyperlink" Target="https://www.nba.com/stats/player/1631303/" TargetMode="External"/><Relationship Id="rId251" Type="http://schemas.openxmlformats.org/officeDocument/2006/relationships/hyperlink" Target="https://www.nba.com/stats/player/1630590/" TargetMode="External"/><Relationship Id="rId489" Type="http://schemas.openxmlformats.org/officeDocument/2006/relationships/hyperlink" Target="https://www.nba.com/stats/player/203994/" TargetMode="External"/><Relationship Id="rId696" Type="http://schemas.openxmlformats.org/officeDocument/2006/relationships/hyperlink" Target="https://www.nba.com/stats/team/1610612764/" TargetMode="External"/><Relationship Id="rId917" Type="http://schemas.openxmlformats.org/officeDocument/2006/relationships/hyperlink" Target="https://www.nba.com/stats/player/1641745/" TargetMode="External"/><Relationship Id="rId1102" Type="http://schemas.openxmlformats.org/officeDocument/2006/relationships/hyperlink" Target="https://www.nba.com/stats/team/1610612765/" TargetMode="External"/><Relationship Id="rId46" Type="http://schemas.openxmlformats.org/officeDocument/2006/relationships/hyperlink" Target="https://www.nba.com/stats/team/1610612741/" TargetMode="External"/><Relationship Id="rId349" Type="http://schemas.openxmlformats.org/officeDocument/2006/relationships/hyperlink" Target="https://www.nba.com/stats/player/1629614/" TargetMode="External"/><Relationship Id="rId556" Type="http://schemas.openxmlformats.org/officeDocument/2006/relationships/hyperlink" Target="https://www.nba.com/stats/team/1610612741/" TargetMode="External"/><Relationship Id="rId763" Type="http://schemas.openxmlformats.org/officeDocument/2006/relationships/hyperlink" Target="https://www.nba.com/stats/player/1641712/" TargetMode="External"/><Relationship Id="rId111" Type="http://schemas.openxmlformats.org/officeDocument/2006/relationships/hyperlink" Target="https://www.nba.com/stats/player/1631128/" TargetMode="External"/><Relationship Id="rId195" Type="http://schemas.openxmlformats.org/officeDocument/2006/relationships/hyperlink" Target="https://www.nba.com/stats/player/1630230/" TargetMode="External"/><Relationship Id="rId209" Type="http://schemas.openxmlformats.org/officeDocument/2006/relationships/hyperlink" Target="https://www.nba.com/stats/player/1642259/" TargetMode="External"/><Relationship Id="rId416" Type="http://schemas.openxmlformats.org/officeDocument/2006/relationships/hyperlink" Target="https://www.nba.com/stats/team/1610612761/" TargetMode="External"/><Relationship Id="rId970" Type="http://schemas.openxmlformats.org/officeDocument/2006/relationships/hyperlink" Target="https://www.nba.com/stats/team/1610612739/" TargetMode="External"/><Relationship Id="rId1046" Type="http://schemas.openxmlformats.org/officeDocument/2006/relationships/hyperlink" Target="https://www.nba.com/stats/team/1610612750/" TargetMode="External"/><Relationship Id="rId623" Type="http://schemas.openxmlformats.org/officeDocument/2006/relationships/hyperlink" Target="https://www.nba.com/stats/player/1627763/" TargetMode="External"/><Relationship Id="rId830" Type="http://schemas.openxmlformats.org/officeDocument/2006/relationships/hyperlink" Target="https://www.nba.com/stats/team/1610612742/" TargetMode="External"/><Relationship Id="rId928" Type="http://schemas.openxmlformats.org/officeDocument/2006/relationships/hyperlink" Target="https://www.nba.com/stats/team/1610612747/" TargetMode="External"/><Relationship Id="rId57" Type="http://schemas.openxmlformats.org/officeDocument/2006/relationships/hyperlink" Target="https://www.nba.com/stats/player/203081/" TargetMode="External"/><Relationship Id="rId262" Type="http://schemas.openxmlformats.org/officeDocument/2006/relationships/hyperlink" Target="https://www.nba.com/stats/team/1610612747/" TargetMode="External"/><Relationship Id="rId567" Type="http://schemas.openxmlformats.org/officeDocument/2006/relationships/hyperlink" Target="https://www.nba.com/stats/player/202692/" TargetMode="External"/><Relationship Id="rId1113" Type="http://schemas.openxmlformats.org/officeDocument/2006/relationships/hyperlink" Target="https://www.nba.com/stats/player/1630618/" TargetMode="External"/><Relationship Id="rId122" Type="http://schemas.openxmlformats.org/officeDocument/2006/relationships/hyperlink" Target="https://www.nba.com/stats/team/1610612740/" TargetMode="External"/><Relationship Id="rId774" Type="http://schemas.openxmlformats.org/officeDocument/2006/relationships/hyperlink" Target="https://www.nba.com/stats/team/1610612753/" TargetMode="External"/><Relationship Id="rId981" Type="http://schemas.openxmlformats.org/officeDocument/2006/relationships/hyperlink" Target="https://www.nba.com/stats/player/1631102/" TargetMode="External"/><Relationship Id="rId1057" Type="http://schemas.openxmlformats.org/officeDocument/2006/relationships/hyperlink" Target="https://www.nba.com/stats/player/1631121/" TargetMode="External"/><Relationship Id="rId427" Type="http://schemas.openxmlformats.org/officeDocument/2006/relationships/hyperlink" Target="https://www.nba.com/stats/player/201143/" TargetMode="External"/><Relationship Id="rId634" Type="http://schemas.openxmlformats.org/officeDocument/2006/relationships/hyperlink" Target="https://www.nba.com/stats/team/1610612755/" TargetMode="External"/><Relationship Id="rId841" Type="http://schemas.openxmlformats.org/officeDocument/2006/relationships/hyperlink" Target="https://www.nba.com/stats/player/1641878/" TargetMode="External"/><Relationship Id="rId273" Type="http://schemas.openxmlformats.org/officeDocument/2006/relationships/hyperlink" Target="https://www.nba.com/stats/player/1630592/" TargetMode="External"/><Relationship Id="rId480" Type="http://schemas.openxmlformats.org/officeDocument/2006/relationships/hyperlink" Target="https://www.nba.com/stats/team/1610612746/" TargetMode="External"/><Relationship Id="rId701" Type="http://schemas.openxmlformats.org/officeDocument/2006/relationships/hyperlink" Target="https://www.nba.com/stats/player/1641713/" TargetMode="External"/><Relationship Id="rId939" Type="http://schemas.openxmlformats.org/officeDocument/2006/relationships/hyperlink" Target="https://www.nba.com/stats/player/1630623/" TargetMode="External"/><Relationship Id="rId1124" Type="http://schemas.openxmlformats.org/officeDocument/2006/relationships/hyperlink" Target="https://www.nba.com/stats/team/1610612763/" TargetMode="External"/><Relationship Id="rId68" Type="http://schemas.openxmlformats.org/officeDocument/2006/relationships/hyperlink" Target="https://www.nba.com/stats/team/1610612743/" TargetMode="External"/><Relationship Id="rId133" Type="http://schemas.openxmlformats.org/officeDocument/2006/relationships/hyperlink" Target="https://www.nba.com/stats/player/1641718/" TargetMode="External"/><Relationship Id="rId340" Type="http://schemas.openxmlformats.org/officeDocument/2006/relationships/hyperlink" Target="https://www.nba.com/stats/team/1610612761/" TargetMode="External"/><Relationship Id="rId578" Type="http://schemas.openxmlformats.org/officeDocument/2006/relationships/hyperlink" Target="https://www.nba.com/stats/team/1610612739/" TargetMode="External"/><Relationship Id="rId785" Type="http://schemas.openxmlformats.org/officeDocument/2006/relationships/hyperlink" Target="https://www.nba.com/stats/player/203914/" TargetMode="External"/><Relationship Id="rId992" Type="http://schemas.openxmlformats.org/officeDocument/2006/relationships/hyperlink" Target="https://www.nba.com/stats/team/1610612743/" TargetMode="External"/><Relationship Id="rId200" Type="http://schemas.openxmlformats.org/officeDocument/2006/relationships/hyperlink" Target="https://www.nba.com/stats/team/1610612755/" TargetMode="External"/><Relationship Id="rId438" Type="http://schemas.openxmlformats.org/officeDocument/2006/relationships/hyperlink" Target="https://www.nba.com/stats/team/1610612755/" TargetMode="External"/><Relationship Id="rId645" Type="http://schemas.openxmlformats.org/officeDocument/2006/relationships/hyperlink" Target="https://www.nba.com/stats/player/1630231/" TargetMode="External"/><Relationship Id="rId852" Type="http://schemas.openxmlformats.org/officeDocument/2006/relationships/hyperlink" Target="https://www.nba.com/stats/team/1610612762/" TargetMode="External"/><Relationship Id="rId1068" Type="http://schemas.openxmlformats.org/officeDocument/2006/relationships/hyperlink" Target="https://www.nba.com/stats/team/1610612749/" TargetMode="External"/><Relationship Id="rId284" Type="http://schemas.openxmlformats.org/officeDocument/2006/relationships/hyperlink" Target="https://www.nba.com/stats/team/1610612753/" TargetMode="External"/><Relationship Id="rId491" Type="http://schemas.openxmlformats.org/officeDocument/2006/relationships/hyperlink" Target="https://www.nba.com/stats/player/203954/" TargetMode="External"/><Relationship Id="rId505" Type="http://schemas.openxmlformats.org/officeDocument/2006/relationships/hyperlink" Target="https://www.nba.com/stats/player/203552/" TargetMode="External"/><Relationship Id="rId712" Type="http://schemas.openxmlformats.org/officeDocument/2006/relationships/hyperlink" Target="https://www.nba.com/stats/team/1610612745/" TargetMode="External"/><Relationship Id="rId1135" Type="http://schemas.openxmlformats.org/officeDocument/2006/relationships/hyperlink" Target="https://www.nba.com/stats/player/1642434/" TargetMode="External"/><Relationship Id="rId79" Type="http://schemas.openxmlformats.org/officeDocument/2006/relationships/hyperlink" Target="https://www.nba.com/stats/player/1629014/" TargetMode="External"/><Relationship Id="rId144" Type="http://schemas.openxmlformats.org/officeDocument/2006/relationships/hyperlink" Target="https://www.nba.com/stats/team/1610612739/" TargetMode="External"/><Relationship Id="rId589" Type="http://schemas.openxmlformats.org/officeDocument/2006/relationships/hyperlink" Target="https://www.nba.com/stats/player/1630171/" TargetMode="External"/><Relationship Id="rId796" Type="http://schemas.openxmlformats.org/officeDocument/2006/relationships/hyperlink" Target="https://www.nba.com/stats/team/1610612740/" TargetMode="External"/><Relationship Id="rId351" Type="http://schemas.openxmlformats.org/officeDocument/2006/relationships/hyperlink" Target="https://www.nba.com/stats/player/1631117/" TargetMode="External"/><Relationship Id="rId449" Type="http://schemas.openxmlformats.org/officeDocument/2006/relationships/hyperlink" Target="https://www.nba.com/stats/player/1631213/" TargetMode="External"/><Relationship Id="rId656" Type="http://schemas.openxmlformats.org/officeDocument/2006/relationships/hyperlink" Target="https://www.nba.com/stats/team/1610612741/" TargetMode="External"/><Relationship Id="rId863" Type="http://schemas.openxmlformats.org/officeDocument/2006/relationships/hyperlink" Target="https://www.nba.com/stats/player/1642285/" TargetMode="External"/><Relationship Id="rId1079" Type="http://schemas.openxmlformats.org/officeDocument/2006/relationships/hyperlink" Target="https://www.nba.com/stats/player/1630762/" TargetMode="External"/><Relationship Id="rId211" Type="http://schemas.openxmlformats.org/officeDocument/2006/relationships/hyperlink" Target="https://www.nba.com/stats/player/203915/" TargetMode="External"/><Relationship Id="rId295" Type="http://schemas.openxmlformats.org/officeDocument/2006/relationships/hyperlink" Target="https://www.nba.com/stats/player/1629651/" TargetMode="External"/><Relationship Id="rId309" Type="http://schemas.openxmlformats.org/officeDocument/2006/relationships/hyperlink" Target="https://www.nba.com/stats/player/1629599/" TargetMode="External"/><Relationship Id="rId516" Type="http://schemas.openxmlformats.org/officeDocument/2006/relationships/hyperlink" Target="https://www.nba.com/stats/team/1610612760/" TargetMode="External"/><Relationship Id="rId723" Type="http://schemas.openxmlformats.org/officeDocument/2006/relationships/hyperlink" Target="https://www.nba.com/stats/player/1641871/" TargetMode="External"/><Relationship Id="rId930" Type="http://schemas.openxmlformats.org/officeDocument/2006/relationships/hyperlink" Target="https://www.nba.com/stats/team/1610612758/" TargetMode="External"/><Relationship Id="rId1006" Type="http://schemas.openxmlformats.org/officeDocument/2006/relationships/hyperlink" Target="https://www.nba.com/stats/team/1610612752/" TargetMode="External"/><Relationship Id="rId155" Type="http://schemas.openxmlformats.org/officeDocument/2006/relationships/hyperlink" Target="https://www.nba.com/stats/player/1628415/" TargetMode="External"/><Relationship Id="rId362" Type="http://schemas.openxmlformats.org/officeDocument/2006/relationships/hyperlink" Target="https://www.nba.com/stats/team/1610612762/" TargetMode="External"/><Relationship Id="rId222" Type="http://schemas.openxmlformats.org/officeDocument/2006/relationships/hyperlink" Target="https://www.nba.com/stats/team/1610612742/" TargetMode="External"/><Relationship Id="rId667" Type="http://schemas.openxmlformats.org/officeDocument/2006/relationships/hyperlink" Target="https://www.nba.com/stats/player/1629022/" TargetMode="External"/><Relationship Id="rId874" Type="http://schemas.openxmlformats.org/officeDocument/2006/relationships/hyperlink" Target="https://www.nba.com/stats/team/1610612749/" TargetMode="External"/><Relationship Id="rId17" Type="http://schemas.openxmlformats.org/officeDocument/2006/relationships/hyperlink" Target="https://www.nba.com/stats/player/1630595/" TargetMode="External"/><Relationship Id="rId527" Type="http://schemas.openxmlformats.org/officeDocument/2006/relationships/hyperlink" Target="https://www.nba.com/stats/player/1630249/" TargetMode="External"/><Relationship Id="rId734" Type="http://schemas.openxmlformats.org/officeDocument/2006/relationships/hyperlink" Target="https://www.nba.com/stats/team/1610612743/" TargetMode="External"/><Relationship Id="rId941" Type="http://schemas.openxmlformats.org/officeDocument/2006/relationships/hyperlink" Target="https://www.nba.com/stats/player/1641809/" TargetMode="External"/><Relationship Id="rId70" Type="http://schemas.openxmlformats.org/officeDocument/2006/relationships/hyperlink" Target="https://www.nba.com/stats/team/1610612738/" TargetMode="External"/><Relationship Id="rId166" Type="http://schemas.openxmlformats.org/officeDocument/2006/relationships/hyperlink" Target="https://www.nba.com/stats/team/1610612759/" TargetMode="External"/><Relationship Id="rId373" Type="http://schemas.openxmlformats.org/officeDocument/2006/relationships/hyperlink" Target="https://www.nba.com/stats/player/1630573/" TargetMode="External"/><Relationship Id="rId580" Type="http://schemas.openxmlformats.org/officeDocument/2006/relationships/hyperlink" Target="https://www.nba.com/stats/team/1610612749/" TargetMode="External"/><Relationship Id="rId801" Type="http://schemas.openxmlformats.org/officeDocument/2006/relationships/hyperlink" Target="https://www.nba.com/stats/player/1642269/" TargetMode="External"/><Relationship Id="rId1017" Type="http://schemas.openxmlformats.org/officeDocument/2006/relationships/hyperlink" Target="https://www.nba.com/stats/player/1642368/" TargetMode="External"/><Relationship Id="rId1" Type="http://schemas.openxmlformats.org/officeDocument/2006/relationships/hyperlink" Target="https://www.nba.com/stats/player/1628983/" TargetMode="External"/><Relationship Id="rId233" Type="http://schemas.openxmlformats.org/officeDocument/2006/relationships/hyperlink" Target="https://www.nba.com/stats/player/1642377/" TargetMode="External"/><Relationship Id="rId440" Type="http://schemas.openxmlformats.org/officeDocument/2006/relationships/hyperlink" Target="https://www.nba.com/stats/team/1610612761/" TargetMode="External"/><Relationship Id="rId678" Type="http://schemas.openxmlformats.org/officeDocument/2006/relationships/hyperlink" Target="https://www.nba.com/stats/team/1610612760/" TargetMode="External"/><Relationship Id="rId885" Type="http://schemas.openxmlformats.org/officeDocument/2006/relationships/hyperlink" Target="https://www.nba.com/stats/player/203901/" TargetMode="External"/><Relationship Id="rId1070" Type="http://schemas.openxmlformats.org/officeDocument/2006/relationships/hyperlink" Target="https://www.nba.com/stats/team/1610612752/" TargetMode="External"/><Relationship Id="rId28" Type="http://schemas.openxmlformats.org/officeDocument/2006/relationships/hyperlink" Target="https://www.nba.com/stats/team/1610612744/" TargetMode="External"/><Relationship Id="rId300" Type="http://schemas.openxmlformats.org/officeDocument/2006/relationships/hyperlink" Target="https://www.nba.com/stats/team/1610612754/" TargetMode="External"/><Relationship Id="rId538" Type="http://schemas.openxmlformats.org/officeDocument/2006/relationships/hyperlink" Target="https://www.nba.com/stats/team/1610612761/" TargetMode="External"/><Relationship Id="rId745" Type="http://schemas.openxmlformats.org/officeDocument/2006/relationships/hyperlink" Target="https://www.nba.com/stats/player/1630556/" TargetMode="External"/><Relationship Id="rId952" Type="http://schemas.openxmlformats.org/officeDocument/2006/relationships/hyperlink" Target="https://www.nba.com/stats/team/1610612761/" TargetMode="External"/><Relationship Id="rId81" Type="http://schemas.openxmlformats.org/officeDocument/2006/relationships/hyperlink" Target="https://www.nba.com/stats/player/1627826/" TargetMode="External"/><Relationship Id="rId177" Type="http://schemas.openxmlformats.org/officeDocument/2006/relationships/hyperlink" Target="https://www.nba.com/stats/player/203471/" TargetMode="External"/><Relationship Id="rId384" Type="http://schemas.openxmlformats.org/officeDocument/2006/relationships/hyperlink" Target="https://www.nba.com/stats/team/1610612766/" TargetMode="External"/><Relationship Id="rId591" Type="http://schemas.openxmlformats.org/officeDocument/2006/relationships/hyperlink" Target="https://www.nba.com/stats/player/1641737/" TargetMode="External"/><Relationship Id="rId605" Type="http://schemas.openxmlformats.org/officeDocument/2006/relationships/hyperlink" Target="https://www.nba.com/stats/player/1631255/" TargetMode="External"/><Relationship Id="rId812" Type="http://schemas.openxmlformats.org/officeDocument/2006/relationships/hyperlink" Target="https://www.nba.com/stats/team/1610612743/" TargetMode="External"/><Relationship Id="rId1028" Type="http://schemas.openxmlformats.org/officeDocument/2006/relationships/hyperlink" Target="https://www.nba.com/stats/team/1610612744/" TargetMode="External"/><Relationship Id="rId244" Type="http://schemas.openxmlformats.org/officeDocument/2006/relationships/hyperlink" Target="https://www.nba.com/stats/team/1610612759/" TargetMode="External"/><Relationship Id="rId689" Type="http://schemas.openxmlformats.org/officeDocument/2006/relationships/hyperlink" Target="https://www.nba.com/stats/player/1641748/" TargetMode="External"/><Relationship Id="rId896" Type="http://schemas.openxmlformats.org/officeDocument/2006/relationships/hyperlink" Target="https://www.nba.com/stats/team/1610612752/" TargetMode="External"/><Relationship Id="rId1081" Type="http://schemas.openxmlformats.org/officeDocument/2006/relationships/hyperlink" Target="https://www.nba.com/stats/player/1641936/" TargetMode="External"/><Relationship Id="rId39" Type="http://schemas.openxmlformats.org/officeDocument/2006/relationships/hyperlink" Target="https://www.nba.com/stats/player/1628991/" TargetMode="External"/><Relationship Id="rId451" Type="http://schemas.openxmlformats.org/officeDocument/2006/relationships/hyperlink" Target="https://www.nba.com/stats/player/1641842/" TargetMode="External"/><Relationship Id="rId549" Type="http://schemas.openxmlformats.org/officeDocument/2006/relationships/hyperlink" Target="https://www.nba.com/stats/player/1627936/" TargetMode="External"/><Relationship Id="rId756" Type="http://schemas.openxmlformats.org/officeDocument/2006/relationships/hyperlink" Target="https://www.nba.com/stats/team/1610612762/" TargetMode="External"/><Relationship Id="rId104" Type="http://schemas.openxmlformats.org/officeDocument/2006/relationships/hyperlink" Target="https://www.nba.com/stats/team/1610612761/" TargetMode="External"/><Relationship Id="rId188" Type="http://schemas.openxmlformats.org/officeDocument/2006/relationships/hyperlink" Target="https://www.nba.com/stats/team/1610612737/" TargetMode="External"/><Relationship Id="rId311" Type="http://schemas.openxmlformats.org/officeDocument/2006/relationships/hyperlink" Target="https://www.nba.com/stats/player/1631095/" TargetMode="External"/><Relationship Id="rId395" Type="http://schemas.openxmlformats.org/officeDocument/2006/relationships/hyperlink" Target="https://www.nba.com/stats/player/1628379/" TargetMode="External"/><Relationship Id="rId409" Type="http://schemas.openxmlformats.org/officeDocument/2006/relationships/hyperlink" Target="https://www.nba.com/stats/player/1630172/" TargetMode="External"/><Relationship Id="rId963" Type="http://schemas.openxmlformats.org/officeDocument/2006/relationships/hyperlink" Target="https://www.nba.com/stats/player/1642352/" TargetMode="External"/><Relationship Id="rId1039" Type="http://schemas.openxmlformats.org/officeDocument/2006/relationships/hyperlink" Target="https://www.nba.com/stats/player/1630561/" TargetMode="External"/><Relationship Id="rId92" Type="http://schemas.openxmlformats.org/officeDocument/2006/relationships/hyperlink" Target="https://www.nba.com/stats/team/1610612763/" TargetMode="External"/><Relationship Id="rId616" Type="http://schemas.openxmlformats.org/officeDocument/2006/relationships/hyperlink" Target="https://www.nba.com/stats/team/1610612746/" TargetMode="External"/><Relationship Id="rId823" Type="http://schemas.openxmlformats.org/officeDocument/2006/relationships/hyperlink" Target="https://www.nba.com/stats/player/1631209/" TargetMode="External"/><Relationship Id="rId255" Type="http://schemas.openxmlformats.org/officeDocument/2006/relationships/hyperlink" Target="https://www.nba.com/stats/player/1641711/" TargetMode="External"/><Relationship Id="rId462" Type="http://schemas.openxmlformats.org/officeDocument/2006/relationships/hyperlink" Target="https://www.nba.com/stats/team/1610612766/" TargetMode="External"/><Relationship Id="rId1092" Type="http://schemas.openxmlformats.org/officeDocument/2006/relationships/hyperlink" Target="https://www.nba.com/stats/team/1610612755/" TargetMode="External"/><Relationship Id="rId1106" Type="http://schemas.openxmlformats.org/officeDocument/2006/relationships/hyperlink" Target="https://www.nba.com/stats/team/1610612751/" TargetMode="External"/><Relationship Id="rId115" Type="http://schemas.openxmlformats.org/officeDocument/2006/relationships/hyperlink" Target="https://www.nba.com/stats/player/1631094/" TargetMode="External"/><Relationship Id="rId322" Type="http://schemas.openxmlformats.org/officeDocument/2006/relationships/hyperlink" Target="https://www.nba.com/stats/team/1610612741/" TargetMode="External"/><Relationship Id="rId767" Type="http://schemas.openxmlformats.org/officeDocument/2006/relationships/hyperlink" Target="https://www.nba.com/stats/player/1628975/" TargetMode="External"/><Relationship Id="rId974" Type="http://schemas.openxmlformats.org/officeDocument/2006/relationships/hyperlink" Target="https://www.nba.com/stats/team/1610612739/" TargetMode="External"/><Relationship Id="rId199" Type="http://schemas.openxmlformats.org/officeDocument/2006/relationships/hyperlink" Target="https://www.nba.com/stats/player/1626162/" TargetMode="External"/><Relationship Id="rId627" Type="http://schemas.openxmlformats.org/officeDocument/2006/relationships/hyperlink" Target="https://www.nba.com/stats/player/1631115/" TargetMode="External"/><Relationship Id="rId834" Type="http://schemas.openxmlformats.org/officeDocument/2006/relationships/hyperlink" Target="https://www.nba.com/stats/team/1610612751/" TargetMode="External"/><Relationship Id="rId266" Type="http://schemas.openxmlformats.org/officeDocument/2006/relationships/hyperlink" Target="https://www.nba.com/stats/team/1610612750/" TargetMode="External"/><Relationship Id="rId473" Type="http://schemas.openxmlformats.org/officeDocument/2006/relationships/hyperlink" Target="https://www.nba.com/stats/player/1629312/" TargetMode="External"/><Relationship Id="rId680" Type="http://schemas.openxmlformats.org/officeDocument/2006/relationships/hyperlink" Target="https://www.nba.com/stats/team/1610612756/" TargetMode="External"/><Relationship Id="rId901" Type="http://schemas.openxmlformats.org/officeDocument/2006/relationships/hyperlink" Target="https://www.nba.com/stats/player/1641738/" TargetMode="External"/><Relationship Id="rId1117" Type="http://schemas.openxmlformats.org/officeDocument/2006/relationships/hyperlink" Target="https://www.nba.com/stats/player/1642502/" TargetMode="External"/><Relationship Id="rId30" Type="http://schemas.openxmlformats.org/officeDocument/2006/relationships/hyperlink" Target="https://www.nba.com/stats/team/1610612758/" TargetMode="External"/><Relationship Id="rId126" Type="http://schemas.openxmlformats.org/officeDocument/2006/relationships/hyperlink" Target="https://www.nba.com/stats/team/1610612754/" TargetMode="External"/><Relationship Id="rId333" Type="http://schemas.openxmlformats.org/officeDocument/2006/relationships/hyperlink" Target="https://www.nba.com/stats/player/203924/" TargetMode="External"/><Relationship Id="rId540" Type="http://schemas.openxmlformats.org/officeDocument/2006/relationships/hyperlink" Target="https://www.nba.com/stats/team/1610612751/" TargetMode="External"/><Relationship Id="rId778" Type="http://schemas.openxmlformats.org/officeDocument/2006/relationships/hyperlink" Target="https://www.nba.com/stats/team/1610612750/" TargetMode="External"/><Relationship Id="rId985" Type="http://schemas.openxmlformats.org/officeDocument/2006/relationships/hyperlink" Target="https://www.nba.com/stats/player/1630283/" TargetMode="External"/><Relationship Id="rId638" Type="http://schemas.openxmlformats.org/officeDocument/2006/relationships/hyperlink" Target="https://www.nba.com/stats/team/1610612766/" TargetMode="External"/><Relationship Id="rId845" Type="http://schemas.openxmlformats.org/officeDocument/2006/relationships/hyperlink" Target="https://www.nba.com/stats/player/1629723/" TargetMode="External"/><Relationship Id="rId1030" Type="http://schemas.openxmlformats.org/officeDocument/2006/relationships/hyperlink" Target="https://www.nba.com/stats/team/1610612750/" TargetMode="External"/><Relationship Id="rId277" Type="http://schemas.openxmlformats.org/officeDocument/2006/relationships/hyperlink" Target="https://www.nba.com/stats/player/1631108/" TargetMode="External"/><Relationship Id="rId400" Type="http://schemas.openxmlformats.org/officeDocument/2006/relationships/hyperlink" Target="https://www.nba.com/stats/team/1610612757/" TargetMode="External"/><Relationship Id="rId484" Type="http://schemas.openxmlformats.org/officeDocument/2006/relationships/hyperlink" Target="https://www.nba.com/stats/team/1610612747/" TargetMode="External"/><Relationship Id="rId705" Type="http://schemas.openxmlformats.org/officeDocument/2006/relationships/hyperlink" Target="https://www.nba.com/stats/player/1630529/" TargetMode="External"/><Relationship Id="rId1128" Type="http://schemas.openxmlformats.org/officeDocument/2006/relationships/hyperlink" Target="https://www.nba.com/stats/team/1610612750/" TargetMode="External"/><Relationship Id="rId137" Type="http://schemas.openxmlformats.org/officeDocument/2006/relationships/hyperlink" Target="https://www.nba.com/stats/player/1626167/" TargetMode="External"/><Relationship Id="rId344" Type="http://schemas.openxmlformats.org/officeDocument/2006/relationships/hyperlink" Target="https://www.nba.com/stats/team/1610612755/" TargetMode="External"/><Relationship Id="rId691" Type="http://schemas.openxmlformats.org/officeDocument/2006/relationships/hyperlink" Target="https://www.nba.com/stats/player/203500/" TargetMode="External"/><Relationship Id="rId789" Type="http://schemas.openxmlformats.org/officeDocument/2006/relationships/hyperlink" Target="https://www.nba.com/stats/player/1631232/" TargetMode="External"/><Relationship Id="rId912" Type="http://schemas.openxmlformats.org/officeDocument/2006/relationships/hyperlink" Target="https://www.nba.com/stats/team/1610612739/" TargetMode="External"/><Relationship Id="rId996" Type="http://schemas.openxmlformats.org/officeDocument/2006/relationships/hyperlink" Target="https://www.nba.com/stats/team/1610612762/" TargetMode="External"/><Relationship Id="rId41" Type="http://schemas.openxmlformats.org/officeDocument/2006/relationships/hyperlink" Target="https://www.nba.com/stats/player/1627783/" TargetMode="External"/><Relationship Id="rId551" Type="http://schemas.openxmlformats.org/officeDocument/2006/relationships/hyperlink" Target="https://www.nba.com/stats/player/1628371/" TargetMode="External"/><Relationship Id="rId649" Type="http://schemas.openxmlformats.org/officeDocument/2006/relationships/hyperlink" Target="https://www.nba.com/stats/player/203995/" TargetMode="External"/><Relationship Id="rId856" Type="http://schemas.openxmlformats.org/officeDocument/2006/relationships/hyperlink" Target="https://www.nba.com/stats/team/1610612755/" TargetMode="External"/><Relationship Id="rId190" Type="http://schemas.openxmlformats.org/officeDocument/2006/relationships/hyperlink" Target="https://www.nba.com/stats/team/1610612758/" TargetMode="External"/><Relationship Id="rId204" Type="http://schemas.openxmlformats.org/officeDocument/2006/relationships/hyperlink" Target="https://www.nba.com/stats/team/1610612762/" TargetMode="External"/><Relationship Id="rId288" Type="http://schemas.openxmlformats.org/officeDocument/2006/relationships/hyperlink" Target="https://www.nba.com/stats/team/1610612764/" TargetMode="External"/><Relationship Id="rId411" Type="http://schemas.openxmlformats.org/officeDocument/2006/relationships/hyperlink" Target="https://www.nba.com/stats/player/1630591/" TargetMode="External"/><Relationship Id="rId509" Type="http://schemas.openxmlformats.org/officeDocument/2006/relationships/hyperlink" Target="https://www.nba.com/stats/player/203114/" TargetMode="External"/><Relationship Id="rId1041" Type="http://schemas.openxmlformats.org/officeDocument/2006/relationships/hyperlink" Target="https://www.nba.com/stats/player/1641752/" TargetMode="External"/><Relationship Id="rId495" Type="http://schemas.openxmlformats.org/officeDocument/2006/relationships/hyperlink" Target="https://www.nba.com/stats/player/1630527/" TargetMode="External"/><Relationship Id="rId716" Type="http://schemas.openxmlformats.org/officeDocument/2006/relationships/hyperlink" Target="https://www.nba.com/stats/team/1610612742/" TargetMode="External"/><Relationship Id="rId923" Type="http://schemas.openxmlformats.org/officeDocument/2006/relationships/hyperlink" Target="https://www.nba.com/stats/player/1629001/" TargetMode="External"/><Relationship Id="rId52" Type="http://schemas.openxmlformats.org/officeDocument/2006/relationships/hyperlink" Target="https://www.nba.com/stats/team/1610612759/" TargetMode="External"/><Relationship Id="rId148" Type="http://schemas.openxmlformats.org/officeDocument/2006/relationships/hyperlink" Target="https://www.nba.com/stats/team/1610612739/" TargetMode="External"/><Relationship Id="rId355" Type="http://schemas.openxmlformats.org/officeDocument/2006/relationships/hyperlink" Target="https://www.nba.com/stats/player/1630533/" TargetMode="External"/><Relationship Id="rId562" Type="http://schemas.openxmlformats.org/officeDocument/2006/relationships/hyperlink" Target="https://www.nba.com/stats/team/1610612741/" TargetMode="External"/><Relationship Id="rId215" Type="http://schemas.openxmlformats.org/officeDocument/2006/relationships/hyperlink" Target="https://www.nba.com/stats/player/203501/" TargetMode="External"/><Relationship Id="rId422" Type="http://schemas.openxmlformats.org/officeDocument/2006/relationships/hyperlink" Target="https://www.nba.com/stats/team/1610612747/" TargetMode="External"/><Relationship Id="rId867" Type="http://schemas.openxmlformats.org/officeDocument/2006/relationships/hyperlink" Target="https://www.nba.com/stats/player/1630311/" TargetMode="External"/><Relationship Id="rId1052" Type="http://schemas.openxmlformats.org/officeDocument/2006/relationships/hyperlink" Target="https://www.nba.com/stats/team/1610612747/" TargetMode="External"/><Relationship Id="rId299" Type="http://schemas.openxmlformats.org/officeDocument/2006/relationships/hyperlink" Target="https://www.nba.com/stats/player/204456/" TargetMode="External"/><Relationship Id="rId727" Type="http://schemas.openxmlformats.org/officeDocument/2006/relationships/hyperlink" Target="https://www.nba.com/stats/player/1630256/" TargetMode="External"/><Relationship Id="rId934" Type="http://schemas.openxmlformats.org/officeDocument/2006/relationships/hyperlink" Target="https://www.nba.com/stats/team/1610612761/" TargetMode="External"/><Relationship Id="rId63" Type="http://schemas.openxmlformats.org/officeDocument/2006/relationships/hyperlink" Target="https://www.nba.com/stats/player/1628389/" TargetMode="External"/><Relationship Id="rId159" Type="http://schemas.openxmlformats.org/officeDocument/2006/relationships/hyperlink" Target="https://www.nba.com/stats/player/1630170/" TargetMode="External"/><Relationship Id="rId366" Type="http://schemas.openxmlformats.org/officeDocument/2006/relationships/hyperlink" Target="https://www.nba.com/stats/team/1610612744/" TargetMode="External"/><Relationship Id="rId573" Type="http://schemas.openxmlformats.org/officeDocument/2006/relationships/hyperlink" Target="https://www.nba.com/stats/player/1629726/" TargetMode="External"/><Relationship Id="rId780" Type="http://schemas.openxmlformats.org/officeDocument/2006/relationships/hyperlink" Target="https://www.nba.com/stats/team/1610612747/" TargetMode="External"/><Relationship Id="rId226" Type="http://schemas.openxmlformats.org/officeDocument/2006/relationships/hyperlink" Target="https://www.nba.com/stats/team/1610612751/" TargetMode="External"/><Relationship Id="rId433" Type="http://schemas.openxmlformats.org/officeDocument/2006/relationships/hyperlink" Target="https://www.nba.com/stats/player/1630215/" TargetMode="External"/><Relationship Id="rId878" Type="http://schemas.openxmlformats.org/officeDocument/2006/relationships/hyperlink" Target="https://www.nba.com/stats/team/1610612747/" TargetMode="External"/><Relationship Id="rId1063" Type="http://schemas.openxmlformats.org/officeDocument/2006/relationships/hyperlink" Target="https://www.nba.com/stats/player/1642280/" TargetMode="External"/><Relationship Id="rId640" Type="http://schemas.openxmlformats.org/officeDocument/2006/relationships/hyperlink" Target="https://www.nba.com/stats/team/1610612766/" TargetMode="External"/><Relationship Id="rId738" Type="http://schemas.openxmlformats.org/officeDocument/2006/relationships/hyperlink" Target="https://www.nba.com/stats/team/1610612753/" TargetMode="External"/><Relationship Id="rId945" Type="http://schemas.openxmlformats.org/officeDocument/2006/relationships/hyperlink" Target="https://www.nba.com/stats/player/1641723/" TargetMode="External"/><Relationship Id="rId74" Type="http://schemas.openxmlformats.org/officeDocument/2006/relationships/hyperlink" Target="https://www.nba.com/stats/team/1610612755/" TargetMode="External"/><Relationship Id="rId377" Type="http://schemas.openxmlformats.org/officeDocument/2006/relationships/hyperlink" Target="https://www.nba.com/stats/player/203903/" TargetMode="External"/><Relationship Id="rId500" Type="http://schemas.openxmlformats.org/officeDocument/2006/relationships/hyperlink" Target="https://www.nba.com/stats/team/1610612761/" TargetMode="External"/><Relationship Id="rId584" Type="http://schemas.openxmlformats.org/officeDocument/2006/relationships/hyperlink" Target="https://www.nba.com/stats/team/1610612745/" TargetMode="External"/><Relationship Id="rId805" Type="http://schemas.openxmlformats.org/officeDocument/2006/relationships/hyperlink" Target="https://www.nba.com/stats/player/202704/" TargetMode="External"/><Relationship Id="rId1130" Type="http://schemas.openxmlformats.org/officeDocument/2006/relationships/hyperlink" Target="https://www.nba.com/stats/team/1610612753/" TargetMode="External"/><Relationship Id="rId5" Type="http://schemas.openxmlformats.org/officeDocument/2006/relationships/hyperlink" Target="https://www.nba.com/stats/player/203999/" TargetMode="External"/><Relationship Id="rId237" Type="http://schemas.openxmlformats.org/officeDocument/2006/relationships/hyperlink" Target="https://www.nba.com/stats/player/204001/" TargetMode="External"/><Relationship Id="rId791" Type="http://schemas.openxmlformats.org/officeDocument/2006/relationships/hyperlink" Target="https://www.nba.com/stats/player/1631172/" TargetMode="External"/><Relationship Id="rId889" Type="http://schemas.openxmlformats.org/officeDocument/2006/relationships/hyperlink" Target="https://www.nba.com/stats/player/1627814/" TargetMode="External"/><Relationship Id="rId1074" Type="http://schemas.openxmlformats.org/officeDocument/2006/relationships/hyperlink" Target="https://www.nba.com/stats/team/1610612741/" TargetMode="External"/><Relationship Id="rId444" Type="http://schemas.openxmlformats.org/officeDocument/2006/relationships/hyperlink" Target="https://www.nba.com/stats/team/1610612756/" TargetMode="External"/><Relationship Id="rId651" Type="http://schemas.openxmlformats.org/officeDocument/2006/relationships/hyperlink" Target="https://www.nba.com/stats/player/1641724/" TargetMode="External"/><Relationship Id="rId749" Type="http://schemas.openxmlformats.org/officeDocument/2006/relationships/hyperlink" Target="https://www.nba.com/stats/player/1629684/" TargetMode="External"/><Relationship Id="rId290" Type="http://schemas.openxmlformats.org/officeDocument/2006/relationships/hyperlink" Target="https://www.nba.com/stats/team/1610612744/" TargetMode="External"/><Relationship Id="rId304" Type="http://schemas.openxmlformats.org/officeDocument/2006/relationships/hyperlink" Target="https://www.nba.com/stats/team/1610612747/" TargetMode="External"/><Relationship Id="rId388" Type="http://schemas.openxmlformats.org/officeDocument/2006/relationships/hyperlink" Target="https://www.nba.com/stats/team/1610612743/" TargetMode="External"/><Relationship Id="rId511" Type="http://schemas.openxmlformats.org/officeDocument/2006/relationships/hyperlink" Target="https://www.nba.com/stats/player/1628436/" TargetMode="External"/><Relationship Id="rId609" Type="http://schemas.openxmlformats.org/officeDocument/2006/relationships/hyperlink" Target="https://www.nba.com/stats/player/1629610/" TargetMode="External"/><Relationship Id="rId956" Type="http://schemas.openxmlformats.org/officeDocument/2006/relationships/hyperlink" Target="https://www.nba.com/stats/team/1610612752/" TargetMode="External"/><Relationship Id="rId85" Type="http://schemas.openxmlformats.org/officeDocument/2006/relationships/hyperlink" Target="https://www.nba.com/stats/player/1627734/" TargetMode="External"/><Relationship Id="rId150" Type="http://schemas.openxmlformats.org/officeDocument/2006/relationships/hyperlink" Target="https://www.nba.com/stats/team/1610612748/" TargetMode="External"/><Relationship Id="rId595" Type="http://schemas.openxmlformats.org/officeDocument/2006/relationships/hyperlink" Target="https://www.nba.com/stats/player/1629004/" TargetMode="External"/><Relationship Id="rId816" Type="http://schemas.openxmlformats.org/officeDocument/2006/relationships/hyperlink" Target="https://www.nba.com/stats/team/1610612752/" TargetMode="External"/><Relationship Id="rId1001" Type="http://schemas.openxmlformats.org/officeDocument/2006/relationships/hyperlink" Target="https://www.nba.com/stats/player/1642484/" TargetMode="External"/><Relationship Id="rId248" Type="http://schemas.openxmlformats.org/officeDocument/2006/relationships/hyperlink" Target="https://www.nba.com/stats/team/1610612746/" TargetMode="External"/><Relationship Id="rId455" Type="http://schemas.openxmlformats.org/officeDocument/2006/relationships/hyperlink" Target="https://www.nba.com/stats/player/1630241/" TargetMode="External"/><Relationship Id="rId662" Type="http://schemas.openxmlformats.org/officeDocument/2006/relationships/hyperlink" Target="https://www.nba.com/stats/team/1610612765/" TargetMode="External"/><Relationship Id="rId1085" Type="http://schemas.openxmlformats.org/officeDocument/2006/relationships/hyperlink" Target="https://www.nba.com/stats/player/1628408/" TargetMode="External"/><Relationship Id="rId12" Type="http://schemas.openxmlformats.org/officeDocument/2006/relationships/hyperlink" Target="https://www.nba.com/stats/team/1610612756/" TargetMode="External"/><Relationship Id="rId108" Type="http://schemas.openxmlformats.org/officeDocument/2006/relationships/hyperlink" Target="https://www.nba.com/stats/team/1610612742/" TargetMode="External"/><Relationship Id="rId315" Type="http://schemas.openxmlformats.org/officeDocument/2006/relationships/hyperlink" Target="https://www.nba.com/stats/player/201950/" TargetMode="External"/><Relationship Id="rId522" Type="http://schemas.openxmlformats.org/officeDocument/2006/relationships/hyperlink" Target="https://www.nba.com/stats/team/1610612751/" TargetMode="External"/><Relationship Id="rId967" Type="http://schemas.openxmlformats.org/officeDocument/2006/relationships/hyperlink" Target="https://www.nba.com/stats/player/1631250/" TargetMode="External"/><Relationship Id="rId96" Type="http://schemas.openxmlformats.org/officeDocument/2006/relationships/hyperlink" Target="https://www.nba.com/stats/team/1610612746/" TargetMode="External"/><Relationship Id="rId161" Type="http://schemas.openxmlformats.org/officeDocument/2006/relationships/hyperlink" Target="https://www.nba.com/stats/player/201572/" TargetMode="External"/><Relationship Id="rId399" Type="http://schemas.openxmlformats.org/officeDocument/2006/relationships/hyperlink" Target="https://www.nba.com/stats/player/1629028/" TargetMode="External"/><Relationship Id="rId827" Type="http://schemas.openxmlformats.org/officeDocument/2006/relationships/hyperlink" Target="https://www.nba.com/stats/player/1631197/" TargetMode="External"/><Relationship Id="rId1012" Type="http://schemas.openxmlformats.org/officeDocument/2006/relationships/hyperlink" Target="https://www.nba.com/stats/team/1610612743/" TargetMode="External"/><Relationship Id="rId259" Type="http://schemas.openxmlformats.org/officeDocument/2006/relationships/hyperlink" Target="https://www.nba.com/stats/player/1641729/" TargetMode="External"/><Relationship Id="rId466" Type="http://schemas.openxmlformats.org/officeDocument/2006/relationships/hyperlink" Target="https://www.nba.com/stats/team/1610612752/" TargetMode="External"/><Relationship Id="rId673" Type="http://schemas.openxmlformats.org/officeDocument/2006/relationships/hyperlink" Target="https://www.nba.com/stats/player/1630639/" TargetMode="External"/><Relationship Id="rId880" Type="http://schemas.openxmlformats.org/officeDocument/2006/relationships/hyperlink" Target="https://www.nba.com/stats/team/1610612748/" TargetMode="External"/><Relationship Id="rId1096" Type="http://schemas.openxmlformats.org/officeDocument/2006/relationships/hyperlink" Target="https://www.nba.com/stats/team/1610612765/" TargetMode="External"/><Relationship Id="rId23" Type="http://schemas.openxmlformats.org/officeDocument/2006/relationships/hyperlink" Target="https://www.nba.com/stats/player/203897/" TargetMode="External"/><Relationship Id="rId119" Type="http://schemas.openxmlformats.org/officeDocument/2006/relationships/hyperlink" Target="https://www.nba.com/stats/player/1630163/" TargetMode="External"/><Relationship Id="rId326" Type="http://schemas.openxmlformats.org/officeDocument/2006/relationships/hyperlink" Target="https://www.nba.com/stats/team/1610612749/" TargetMode="External"/><Relationship Id="rId533" Type="http://schemas.openxmlformats.org/officeDocument/2006/relationships/hyperlink" Target="https://www.nba.com/stats/player/1631217/" TargetMode="External"/><Relationship Id="rId978" Type="http://schemas.openxmlformats.org/officeDocument/2006/relationships/hyperlink" Target="https://www.nba.com/stats/team/1610612754/" TargetMode="External"/><Relationship Id="rId740" Type="http://schemas.openxmlformats.org/officeDocument/2006/relationships/hyperlink" Target="https://www.nba.com/stats/team/1610612742/" TargetMode="External"/><Relationship Id="rId838" Type="http://schemas.openxmlformats.org/officeDocument/2006/relationships/hyperlink" Target="https://www.nba.com/stats/team/1610612757/" TargetMode="External"/><Relationship Id="rId1023" Type="http://schemas.openxmlformats.org/officeDocument/2006/relationships/hyperlink" Target="https://www.nba.com/stats/player/1630222/" TargetMode="External"/><Relationship Id="rId172" Type="http://schemas.openxmlformats.org/officeDocument/2006/relationships/hyperlink" Target="https://www.nba.com/stats/team/1610612750/" TargetMode="External"/><Relationship Id="rId477" Type="http://schemas.openxmlformats.org/officeDocument/2006/relationships/hyperlink" Target="https://www.nba.com/stats/player/1641715/" TargetMode="External"/><Relationship Id="rId600" Type="http://schemas.openxmlformats.org/officeDocument/2006/relationships/hyperlink" Target="https://www.nba.com/stats/team/1610612741/" TargetMode="External"/><Relationship Id="rId684" Type="http://schemas.openxmlformats.org/officeDocument/2006/relationships/hyperlink" Target="https://www.nba.com/stats/team/1610612762/" TargetMode="External"/><Relationship Id="rId337" Type="http://schemas.openxmlformats.org/officeDocument/2006/relationships/hyperlink" Target="https://www.nba.com/stats/player/203484/" TargetMode="External"/><Relationship Id="rId891" Type="http://schemas.openxmlformats.org/officeDocument/2006/relationships/hyperlink" Target="https://www.nba.com/stats/player/1642278/" TargetMode="External"/><Relationship Id="rId905" Type="http://schemas.openxmlformats.org/officeDocument/2006/relationships/hyperlink" Target="https://www.nba.com/stats/player/1630205/" TargetMode="External"/><Relationship Id="rId989" Type="http://schemas.openxmlformats.org/officeDocument/2006/relationships/hyperlink" Target="https://www.nba.com/stats/player/1631321/" TargetMode="External"/><Relationship Id="rId34" Type="http://schemas.openxmlformats.org/officeDocument/2006/relationships/hyperlink" Target="https://www.nba.com/stats/team/1610612739/" TargetMode="External"/><Relationship Id="rId544" Type="http://schemas.openxmlformats.org/officeDocument/2006/relationships/hyperlink" Target="https://www.nba.com/stats/team/1610612753/" TargetMode="External"/><Relationship Id="rId751" Type="http://schemas.openxmlformats.org/officeDocument/2006/relationships/hyperlink" Target="https://www.nba.com/stats/player/1641740/" TargetMode="External"/><Relationship Id="rId849" Type="http://schemas.openxmlformats.org/officeDocument/2006/relationships/hyperlink" Target="https://www.nba.com/stats/player/1628470/" TargetMode="External"/><Relationship Id="rId183" Type="http://schemas.openxmlformats.org/officeDocument/2006/relationships/hyperlink" Target="https://www.nba.com/stats/player/202710/" TargetMode="External"/><Relationship Id="rId390" Type="http://schemas.openxmlformats.org/officeDocument/2006/relationships/hyperlink" Target="https://www.nba.com/stats/team/1610612748/" TargetMode="External"/><Relationship Id="rId404" Type="http://schemas.openxmlformats.org/officeDocument/2006/relationships/hyperlink" Target="https://www.nba.com/stats/team/1610612762/" TargetMode="External"/><Relationship Id="rId611" Type="http://schemas.openxmlformats.org/officeDocument/2006/relationships/hyperlink" Target="https://www.nba.com/stats/player/1629003/" TargetMode="External"/><Relationship Id="rId1034" Type="http://schemas.openxmlformats.org/officeDocument/2006/relationships/hyperlink" Target="https://www.nba.com/stats/team/1610612749/" TargetMode="External"/><Relationship Id="rId250" Type="http://schemas.openxmlformats.org/officeDocument/2006/relationships/hyperlink" Target="https://www.nba.com/stats/team/1610612737/" TargetMode="External"/><Relationship Id="rId488" Type="http://schemas.openxmlformats.org/officeDocument/2006/relationships/hyperlink" Target="https://www.nba.com/stats/team/1610612758/" TargetMode="External"/><Relationship Id="rId695" Type="http://schemas.openxmlformats.org/officeDocument/2006/relationships/hyperlink" Target="https://www.nba.com/stats/player/1642358/" TargetMode="External"/><Relationship Id="rId709" Type="http://schemas.openxmlformats.org/officeDocument/2006/relationships/hyperlink" Target="https://www.nba.com/stats/player/1641765/" TargetMode="External"/><Relationship Id="rId916" Type="http://schemas.openxmlformats.org/officeDocument/2006/relationships/hyperlink" Target="https://www.nba.com/stats/team/1610612740/" TargetMode="External"/><Relationship Id="rId1101" Type="http://schemas.openxmlformats.org/officeDocument/2006/relationships/hyperlink" Target="https://www.nba.com/stats/player/1631199/" TargetMode="External"/><Relationship Id="rId45" Type="http://schemas.openxmlformats.org/officeDocument/2006/relationships/hyperlink" Target="https://www.nba.com/stats/player/1629632/" TargetMode="External"/><Relationship Id="rId110" Type="http://schemas.openxmlformats.org/officeDocument/2006/relationships/hyperlink" Target="https://www.nba.com/stats/team/1610612761/" TargetMode="External"/><Relationship Id="rId348" Type="http://schemas.openxmlformats.org/officeDocument/2006/relationships/hyperlink" Target="https://www.nba.com/stats/team/1610612749/" TargetMode="External"/><Relationship Id="rId555" Type="http://schemas.openxmlformats.org/officeDocument/2006/relationships/hyperlink" Target="https://www.nba.com/stats/player/1629659/" TargetMode="External"/><Relationship Id="rId762" Type="http://schemas.openxmlformats.org/officeDocument/2006/relationships/hyperlink" Target="https://www.nba.com/stats/team/1610612759/" TargetMode="External"/><Relationship Id="rId194" Type="http://schemas.openxmlformats.org/officeDocument/2006/relationships/hyperlink" Target="https://www.nba.com/stats/team/1610612760/" TargetMode="External"/><Relationship Id="rId208" Type="http://schemas.openxmlformats.org/officeDocument/2006/relationships/hyperlink" Target="https://www.nba.com/stats/team/1610612739/" TargetMode="External"/><Relationship Id="rId415" Type="http://schemas.openxmlformats.org/officeDocument/2006/relationships/hyperlink" Target="https://www.nba.com/stats/player/1630193/" TargetMode="External"/><Relationship Id="rId622" Type="http://schemas.openxmlformats.org/officeDocument/2006/relationships/hyperlink" Target="https://www.nba.com/stats/team/1610612764/" TargetMode="External"/><Relationship Id="rId1045" Type="http://schemas.openxmlformats.org/officeDocument/2006/relationships/hyperlink" Target="https://www.nba.com/stats/player/204060/" TargetMode="External"/><Relationship Id="rId261" Type="http://schemas.openxmlformats.org/officeDocument/2006/relationships/hyperlink" Target="https://www.nba.com/stats/player/1629060/" TargetMode="External"/><Relationship Id="rId499" Type="http://schemas.openxmlformats.org/officeDocument/2006/relationships/hyperlink" Target="https://www.nba.com/stats/player/1642266/" TargetMode="External"/><Relationship Id="rId927" Type="http://schemas.openxmlformats.org/officeDocument/2006/relationships/hyperlink" Target="https://www.nba.com/stats/player/1642355/" TargetMode="External"/><Relationship Id="rId1112" Type="http://schemas.openxmlformats.org/officeDocument/2006/relationships/hyperlink" Target="https://www.nba.com/stats/team/1610612750/" TargetMode="External"/><Relationship Id="rId56" Type="http://schemas.openxmlformats.org/officeDocument/2006/relationships/hyperlink" Target="https://www.nba.com/stats/team/1610612753/" TargetMode="External"/><Relationship Id="rId359" Type="http://schemas.openxmlformats.org/officeDocument/2006/relationships/hyperlink" Target="https://www.nba.com/stats/player/1628976/" TargetMode="External"/><Relationship Id="rId566" Type="http://schemas.openxmlformats.org/officeDocument/2006/relationships/hyperlink" Target="https://www.nba.com/stats/team/1610612756/" TargetMode="External"/><Relationship Id="rId773" Type="http://schemas.openxmlformats.org/officeDocument/2006/relationships/hyperlink" Target="https://www.nba.com/stats/player/1630243/" TargetMode="External"/><Relationship Id="rId121" Type="http://schemas.openxmlformats.org/officeDocument/2006/relationships/hyperlink" Target="https://www.nba.com/stats/player/203468/" TargetMode="External"/><Relationship Id="rId219" Type="http://schemas.openxmlformats.org/officeDocument/2006/relationships/hyperlink" Target="https://www.nba.com/stats/player/202685/" TargetMode="External"/><Relationship Id="rId426" Type="http://schemas.openxmlformats.org/officeDocument/2006/relationships/hyperlink" Target="https://www.nba.com/stats/team/1610612740/" TargetMode="External"/><Relationship Id="rId633" Type="http://schemas.openxmlformats.org/officeDocument/2006/relationships/hyperlink" Target="https://www.nba.com/stats/player/1630288/" TargetMode="External"/><Relationship Id="rId980" Type="http://schemas.openxmlformats.org/officeDocument/2006/relationships/hyperlink" Target="https://www.nba.com/stats/team/1610612763/" TargetMode="External"/><Relationship Id="rId1056" Type="http://schemas.openxmlformats.org/officeDocument/2006/relationships/hyperlink" Target="https://www.nba.com/stats/team/1610612762/" TargetMode="External"/><Relationship Id="rId840" Type="http://schemas.openxmlformats.org/officeDocument/2006/relationships/hyperlink" Target="https://www.nba.com/stats/team/1610612738/" TargetMode="External"/><Relationship Id="rId938" Type="http://schemas.openxmlformats.org/officeDocument/2006/relationships/hyperlink" Target="https://www.nba.com/stats/team/1610612747/" TargetMode="External"/><Relationship Id="rId67" Type="http://schemas.openxmlformats.org/officeDocument/2006/relationships/hyperlink" Target="https://www.nba.com/stats/player/1629008/" TargetMode="External"/><Relationship Id="rId272" Type="http://schemas.openxmlformats.org/officeDocument/2006/relationships/hyperlink" Target="https://www.nba.com/stats/team/1610612760/" TargetMode="External"/><Relationship Id="rId577" Type="http://schemas.openxmlformats.org/officeDocument/2006/relationships/hyperlink" Target="https://www.nba.com/stats/player/1629750/" TargetMode="External"/><Relationship Id="rId700" Type="http://schemas.openxmlformats.org/officeDocument/2006/relationships/hyperlink" Target="https://www.nba.com/stats/team/1610612759/" TargetMode="External"/><Relationship Id="rId1123" Type="http://schemas.openxmlformats.org/officeDocument/2006/relationships/hyperlink" Target="https://www.nba.com/stats/player/1642389/" TargetMode="External"/><Relationship Id="rId132" Type="http://schemas.openxmlformats.org/officeDocument/2006/relationships/hyperlink" Target="https://www.nba.com/stats/team/1610612750/" TargetMode="External"/><Relationship Id="rId784" Type="http://schemas.openxmlformats.org/officeDocument/2006/relationships/hyperlink" Target="https://www.nba.com/stats/team/1610612758/" TargetMode="External"/><Relationship Id="rId991" Type="http://schemas.openxmlformats.org/officeDocument/2006/relationships/hyperlink" Target="https://www.nba.com/stats/player/1641790/" TargetMode="External"/><Relationship Id="rId1067" Type="http://schemas.openxmlformats.org/officeDocument/2006/relationships/hyperlink" Target="https://www.nba.com/stats/player/1641857/" TargetMode="External"/><Relationship Id="rId437" Type="http://schemas.openxmlformats.org/officeDocument/2006/relationships/hyperlink" Target="https://www.nba.com/stats/player/1641741/" TargetMode="External"/><Relationship Id="rId644" Type="http://schemas.openxmlformats.org/officeDocument/2006/relationships/hyperlink" Target="https://www.nba.com/stats/team/1610612760/" TargetMode="External"/><Relationship Id="rId851" Type="http://schemas.openxmlformats.org/officeDocument/2006/relationships/hyperlink" Target="https://www.nba.com/stats/player/1630531/" TargetMode="External"/><Relationship Id="rId283" Type="http://schemas.openxmlformats.org/officeDocument/2006/relationships/hyperlink" Target="https://www.nba.com/stats/player/1641710/" TargetMode="External"/><Relationship Id="rId490" Type="http://schemas.openxmlformats.org/officeDocument/2006/relationships/hyperlink" Target="https://www.nba.com/stats/team/1610612766/" TargetMode="External"/><Relationship Id="rId504" Type="http://schemas.openxmlformats.org/officeDocument/2006/relationships/hyperlink" Target="https://www.nba.com/stats/team/1610612765/" TargetMode="External"/><Relationship Id="rId711" Type="http://schemas.openxmlformats.org/officeDocument/2006/relationships/hyperlink" Target="https://www.nba.com/stats/player/1629111/" TargetMode="External"/><Relationship Id="rId949" Type="http://schemas.openxmlformats.org/officeDocument/2006/relationships/hyperlink" Target="https://www.nba.com/stats/player/1631116/" TargetMode="External"/><Relationship Id="rId1134" Type="http://schemas.openxmlformats.org/officeDocument/2006/relationships/hyperlink" Target="https://www.nba.com/stats/team/1610612758/" TargetMode="External"/><Relationship Id="rId78" Type="http://schemas.openxmlformats.org/officeDocument/2006/relationships/hyperlink" Target="https://www.nba.com/stats/team/1610612741/" TargetMode="External"/><Relationship Id="rId143" Type="http://schemas.openxmlformats.org/officeDocument/2006/relationships/hyperlink" Target="https://www.nba.com/stats/player/1628386/" TargetMode="External"/><Relationship Id="rId350" Type="http://schemas.openxmlformats.org/officeDocument/2006/relationships/hyperlink" Target="https://www.nba.com/stats/team/1610612754/" TargetMode="External"/><Relationship Id="rId588" Type="http://schemas.openxmlformats.org/officeDocument/2006/relationships/hyperlink" Target="https://www.nba.com/stats/team/1610612740/" TargetMode="External"/><Relationship Id="rId795" Type="http://schemas.openxmlformats.org/officeDocument/2006/relationships/hyperlink" Target="https://www.nba.com/stats/player/1628964/" TargetMode="External"/><Relationship Id="rId809" Type="http://schemas.openxmlformats.org/officeDocument/2006/relationships/hyperlink" Target="https://www.nba.com/stats/player/1641794/" TargetMode="External"/><Relationship Id="rId9" Type="http://schemas.openxmlformats.org/officeDocument/2006/relationships/hyperlink" Target="https://www.nba.com/stats/player/1628369/" TargetMode="External"/><Relationship Id="rId210" Type="http://schemas.openxmlformats.org/officeDocument/2006/relationships/hyperlink" Target="https://www.nba.com/stats/team/1610612764/" TargetMode="External"/><Relationship Id="rId448" Type="http://schemas.openxmlformats.org/officeDocument/2006/relationships/hyperlink" Target="https://www.nba.com/stats/team/1610612741/" TargetMode="External"/><Relationship Id="rId655" Type="http://schemas.openxmlformats.org/officeDocument/2006/relationships/hyperlink" Target="https://www.nba.com/stats/player/1628366/" TargetMode="External"/><Relationship Id="rId862" Type="http://schemas.openxmlformats.org/officeDocument/2006/relationships/hyperlink" Target="https://www.nba.com/stats/team/1610612754/" TargetMode="External"/><Relationship Id="rId1078" Type="http://schemas.openxmlformats.org/officeDocument/2006/relationships/hyperlink" Target="https://www.nba.com/stats/team/1610612752/" TargetMode="External"/><Relationship Id="rId294" Type="http://schemas.openxmlformats.org/officeDocument/2006/relationships/hyperlink" Target="https://www.nba.com/stats/team/1610612759/" TargetMode="External"/><Relationship Id="rId308" Type="http://schemas.openxmlformats.org/officeDocument/2006/relationships/hyperlink" Target="https://www.nba.com/stats/team/1610612742/" TargetMode="External"/><Relationship Id="rId515" Type="http://schemas.openxmlformats.org/officeDocument/2006/relationships/hyperlink" Target="https://www.nba.com/stats/player/1629026/" TargetMode="External"/><Relationship Id="rId722" Type="http://schemas.openxmlformats.org/officeDocument/2006/relationships/hyperlink" Target="https://www.nba.com/stats/team/1610612756/" TargetMode="External"/><Relationship Id="rId89" Type="http://schemas.openxmlformats.org/officeDocument/2006/relationships/hyperlink" Target="https://www.nba.com/stats/player/1631101/" TargetMode="External"/><Relationship Id="rId154" Type="http://schemas.openxmlformats.org/officeDocument/2006/relationships/hyperlink" Target="https://www.nba.com/stats/team/1610612751/" TargetMode="External"/><Relationship Id="rId361" Type="http://schemas.openxmlformats.org/officeDocument/2006/relationships/hyperlink" Target="https://www.nba.com/stats/player/1642268/" TargetMode="External"/><Relationship Id="rId599" Type="http://schemas.openxmlformats.org/officeDocument/2006/relationships/hyperlink" Target="https://www.nba.com/stats/player/1630200/" TargetMode="External"/><Relationship Id="rId1005" Type="http://schemas.openxmlformats.org/officeDocument/2006/relationships/hyperlink" Target="https://www.nba.com/stats/player/1630346/" TargetMode="External"/><Relationship Id="rId459" Type="http://schemas.openxmlformats.org/officeDocument/2006/relationships/hyperlink" Target="https://www.nba.com/stats/player/1629048/" TargetMode="External"/><Relationship Id="rId666" Type="http://schemas.openxmlformats.org/officeDocument/2006/relationships/hyperlink" Target="https://www.nba.com/stats/team/1610612748/" TargetMode="External"/><Relationship Id="rId873" Type="http://schemas.openxmlformats.org/officeDocument/2006/relationships/hyperlink" Target="https://www.nba.com/stats/player/1630579/" TargetMode="External"/><Relationship Id="rId1089" Type="http://schemas.openxmlformats.org/officeDocument/2006/relationships/hyperlink" Target="https://www.nba.com/stats/player/1641755/" TargetMode="External"/><Relationship Id="rId16" Type="http://schemas.openxmlformats.org/officeDocument/2006/relationships/hyperlink" Target="https://www.nba.com/stats/team/1610612737/" TargetMode="External"/><Relationship Id="rId221" Type="http://schemas.openxmlformats.org/officeDocument/2006/relationships/hyperlink" Target="https://www.nba.com/stats/player/1629023/" TargetMode="External"/><Relationship Id="rId319" Type="http://schemas.openxmlformats.org/officeDocument/2006/relationships/hyperlink" Target="https://www.nba.com/stats/player/1631106/" TargetMode="External"/><Relationship Id="rId526" Type="http://schemas.openxmlformats.org/officeDocument/2006/relationships/hyperlink" Target="https://www.nba.com/stats/team/1610612740/" TargetMode="External"/><Relationship Id="rId733" Type="http://schemas.openxmlformats.org/officeDocument/2006/relationships/hyperlink" Target="https://www.nba.com/stats/player/1630192/" TargetMode="External"/><Relationship Id="rId940" Type="http://schemas.openxmlformats.org/officeDocument/2006/relationships/hyperlink" Target="https://www.nba.com/stats/team/1610612751/" TargetMode="External"/><Relationship Id="rId1016" Type="http://schemas.openxmlformats.org/officeDocument/2006/relationships/hyperlink" Target="https://www.nba.com/stats/team/1610612742/" TargetMode="External"/><Relationship Id="rId165" Type="http://schemas.openxmlformats.org/officeDocument/2006/relationships/hyperlink" Target="https://www.nba.com/stats/player/203084/" TargetMode="External"/><Relationship Id="rId372" Type="http://schemas.openxmlformats.org/officeDocument/2006/relationships/hyperlink" Target="https://www.nba.com/stats/team/1610612740/" TargetMode="External"/><Relationship Id="rId677" Type="http://schemas.openxmlformats.org/officeDocument/2006/relationships/hyperlink" Target="https://www.nba.com/stats/player/1642349/" TargetMode="External"/><Relationship Id="rId800" Type="http://schemas.openxmlformats.org/officeDocument/2006/relationships/hyperlink" Target="https://www.nba.com/stats/team/1610612755/" TargetMode="External"/><Relationship Id="rId232" Type="http://schemas.openxmlformats.org/officeDocument/2006/relationships/hyperlink" Target="https://www.nba.com/stats/team/1610612756/" TargetMode="External"/><Relationship Id="rId884" Type="http://schemas.openxmlformats.org/officeDocument/2006/relationships/hyperlink" Target="https://www.nba.com/stats/team/1610612740/" TargetMode="External"/><Relationship Id="rId27" Type="http://schemas.openxmlformats.org/officeDocument/2006/relationships/hyperlink" Target="https://www.nba.com/stats/player/201939/" TargetMode="External"/><Relationship Id="rId537" Type="http://schemas.openxmlformats.org/officeDocument/2006/relationships/hyperlink" Target="https://www.nba.com/stats/player/1627742/" TargetMode="External"/><Relationship Id="rId744" Type="http://schemas.openxmlformats.org/officeDocument/2006/relationships/hyperlink" Target="https://www.nba.com/stats/team/1610612739/" TargetMode="External"/><Relationship Id="rId951" Type="http://schemas.openxmlformats.org/officeDocument/2006/relationships/hyperlink" Target="https://www.nba.com/stats/player/202066/" TargetMode="External"/><Relationship Id="rId80" Type="http://schemas.openxmlformats.org/officeDocument/2006/relationships/hyperlink" Target="https://www.nba.com/stats/team/1610612757/" TargetMode="External"/><Relationship Id="rId176" Type="http://schemas.openxmlformats.org/officeDocument/2006/relationships/hyperlink" Target="https://www.nba.com/stats/team/1610612737/" TargetMode="External"/><Relationship Id="rId383" Type="http://schemas.openxmlformats.org/officeDocument/2006/relationships/hyperlink" Target="https://www.nba.com/stats/player/1641733/" TargetMode="External"/><Relationship Id="rId590" Type="http://schemas.openxmlformats.org/officeDocument/2006/relationships/hyperlink" Target="https://www.nba.com/stats/team/1610612739/" TargetMode="External"/><Relationship Id="rId604" Type="http://schemas.openxmlformats.org/officeDocument/2006/relationships/hyperlink" Target="https://www.nba.com/stats/team/1610612764/" TargetMode="External"/><Relationship Id="rId811" Type="http://schemas.openxmlformats.org/officeDocument/2006/relationships/hyperlink" Target="https://www.nba.com/stats/player/1641816/" TargetMode="External"/><Relationship Id="rId1027" Type="http://schemas.openxmlformats.org/officeDocument/2006/relationships/hyperlink" Target="https://www.nba.com/stats/player/1642050/" TargetMode="External"/><Relationship Id="rId243" Type="http://schemas.openxmlformats.org/officeDocument/2006/relationships/hyperlink" Target="https://www.nba.com/stats/player/1630577/" TargetMode="External"/><Relationship Id="rId450" Type="http://schemas.openxmlformats.org/officeDocument/2006/relationships/hyperlink" Target="https://www.nba.com/stats/team/1610612751/" TargetMode="External"/><Relationship Id="rId688" Type="http://schemas.openxmlformats.org/officeDocument/2006/relationships/hyperlink" Target="https://www.nba.com/stats/team/1610612764/" TargetMode="External"/><Relationship Id="rId895" Type="http://schemas.openxmlformats.org/officeDocument/2006/relationships/hyperlink" Target="https://www.nba.com/stats/player/1630699/" TargetMode="External"/><Relationship Id="rId909" Type="http://schemas.openxmlformats.org/officeDocument/2006/relationships/hyperlink" Target="https://www.nba.com/stats/player/1630550/" TargetMode="External"/><Relationship Id="rId1080" Type="http://schemas.openxmlformats.org/officeDocument/2006/relationships/hyperlink" Target="https://www.nba.com/stats/team/1610612755/" TargetMode="External"/><Relationship Id="rId38" Type="http://schemas.openxmlformats.org/officeDocument/2006/relationships/hyperlink" Target="https://www.nba.com/stats/team/1610612756/" TargetMode="External"/><Relationship Id="rId103" Type="http://schemas.openxmlformats.org/officeDocument/2006/relationships/hyperlink" Target="https://www.nba.com/stats/player/1630567/" TargetMode="External"/><Relationship Id="rId310" Type="http://schemas.openxmlformats.org/officeDocument/2006/relationships/hyperlink" Target="https://www.nba.com/stats/team/1610612746/" TargetMode="External"/><Relationship Id="rId548" Type="http://schemas.openxmlformats.org/officeDocument/2006/relationships/hyperlink" Target="https://www.nba.com/stats/team/1610612740/" TargetMode="External"/><Relationship Id="rId755" Type="http://schemas.openxmlformats.org/officeDocument/2006/relationships/hyperlink" Target="https://www.nba.com/stats/player/1630695/" TargetMode="External"/><Relationship Id="rId962" Type="http://schemas.openxmlformats.org/officeDocument/2006/relationships/hyperlink" Target="https://www.nba.com/stats/team/1610612737/" TargetMode="External"/><Relationship Id="rId91" Type="http://schemas.openxmlformats.org/officeDocument/2006/relationships/hyperlink" Target="https://www.nba.com/stats/player/1630217/" TargetMode="External"/><Relationship Id="rId187" Type="http://schemas.openxmlformats.org/officeDocument/2006/relationships/hyperlink" Target="https://www.nba.com/stats/player/1642258/" TargetMode="External"/><Relationship Id="rId394" Type="http://schemas.openxmlformats.org/officeDocument/2006/relationships/hyperlink" Target="https://www.nba.com/stats/team/1610612750/" TargetMode="External"/><Relationship Id="rId408" Type="http://schemas.openxmlformats.org/officeDocument/2006/relationships/hyperlink" Target="https://www.nba.com/stats/team/1610612766/" TargetMode="External"/><Relationship Id="rId615" Type="http://schemas.openxmlformats.org/officeDocument/2006/relationships/hyperlink" Target="https://www.nba.com/stats/player/201587/" TargetMode="External"/><Relationship Id="rId822" Type="http://schemas.openxmlformats.org/officeDocument/2006/relationships/hyperlink" Target="https://www.nba.com/stats/team/1610612761/" TargetMode="External"/><Relationship Id="rId1038" Type="http://schemas.openxmlformats.org/officeDocument/2006/relationships/hyperlink" Target="https://www.nba.com/stats/team/1610612766/" TargetMode="External"/><Relationship Id="rId254" Type="http://schemas.openxmlformats.org/officeDocument/2006/relationships/hyperlink" Target="https://www.nba.com/stats/team/1610612746/" TargetMode="External"/><Relationship Id="rId699" Type="http://schemas.openxmlformats.org/officeDocument/2006/relationships/hyperlink" Target="https://www.nba.com/stats/player/1631104/" TargetMode="External"/><Relationship Id="rId1091" Type="http://schemas.openxmlformats.org/officeDocument/2006/relationships/hyperlink" Target="https://www.nba.com/stats/player/1630600/" TargetMode="External"/><Relationship Id="rId1105" Type="http://schemas.openxmlformats.org/officeDocument/2006/relationships/hyperlink" Target="https://www.nba.com/stats/player/1642385/" TargetMode="External"/><Relationship Id="rId49" Type="http://schemas.openxmlformats.org/officeDocument/2006/relationships/hyperlink" Target="https://www.nba.com/stats/player/1630559/" TargetMode="External"/><Relationship Id="rId114" Type="http://schemas.openxmlformats.org/officeDocument/2006/relationships/hyperlink" Target="https://www.nba.com/stats/team/1610612757/" TargetMode="External"/><Relationship Id="rId461" Type="http://schemas.openxmlformats.org/officeDocument/2006/relationships/hyperlink" Target="https://www.nba.com/stats/player/1630182/" TargetMode="External"/><Relationship Id="rId559" Type="http://schemas.openxmlformats.org/officeDocument/2006/relationships/hyperlink" Target="https://www.nba.com/stats/player/1630173/" TargetMode="External"/><Relationship Id="rId766" Type="http://schemas.openxmlformats.org/officeDocument/2006/relationships/hyperlink" Target="https://www.nba.com/stats/team/1610612764/" TargetMode="External"/><Relationship Id="rId198" Type="http://schemas.openxmlformats.org/officeDocument/2006/relationships/hyperlink" Target="https://www.nba.com/stats/team/1610612744/" TargetMode="External"/><Relationship Id="rId321" Type="http://schemas.openxmlformats.org/officeDocument/2006/relationships/hyperlink" Target="https://www.nba.com/stats/player/1628989/" TargetMode="External"/><Relationship Id="rId419" Type="http://schemas.openxmlformats.org/officeDocument/2006/relationships/hyperlink" Target="https://www.nba.com/stats/player/1631212/" TargetMode="External"/><Relationship Id="rId626" Type="http://schemas.openxmlformats.org/officeDocument/2006/relationships/hyperlink" Target="https://www.nba.com/stats/team/1610612740/" TargetMode="External"/><Relationship Id="rId973" Type="http://schemas.openxmlformats.org/officeDocument/2006/relationships/hyperlink" Target="https://www.nba.com/stats/player/1641772/" TargetMode="External"/><Relationship Id="rId1049" Type="http://schemas.openxmlformats.org/officeDocument/2006/relationships/hyperlink" Target="https://www.nba.com/stats/player/1629098/" TargetMode="External"/><Relationship Id="rId833" Type="http://schemas.openxmlformats.org/officeDocument/2006/relationships/hyperlink" Target="https://www.nba.com/stats/player/1641721/" TargetMode="External"/><Relationship Id="rId1116" Type="http://schemas.openxmlformats.org/officeDocument/2006/relationships/hyperlink" Target="https://www.nba.com/stats/team/1610612744/" TargetMode="External"/><Relationship Id="rId265" Type="http://schemas.openxmlformats.org/officeDocument/2006/relationships/hyperlink" Target="https://www.nba.com/stats/player/1629638/" TargetMode="External"/><Relationship Id="rId472" Type="http://schemas.openxmlformats.org/officeDocument/2006/relationships/hyperlink" Target="https://www.nba.com/stats/team/1610612737/" TargetMode="External"/><Relationship Id="rId900" Type="http://schemas.openxmlformats.org/officeDocument/2006/relationships/hyperlink" Target="https://www.nba.com/stats/team/1610612755/" TargetMode="External"/><Relationship Id="rId125" Type="http://schemas.openxmlformats.org/officeDocument/2006/relationships/hyperlink" Target="https://www.nba.com/stats/player/1631097/" TargetMode="External"/><Relationship Id="rId332" Type="http://schemas.openxmlformats.org/officeDocument/2006/relationships/hyperlink" Target="https://www.nba.com/stats/team/1610612756/" TargetMode="External"/><Relationship Id="rId777" Type="http://schemas.openxmlformats.org/officeDocument/2006/relationships/hyperlink" Target="https://www.nba.com/stats/player/1630538/" TargetMode="External"/><Relationship Id="rId984" Type="http://schemas.openxmlformats.org/officeDocument/2006/relationships/hyperlink" Target="https://www.nba.com/stats/team/1610612738/" TargetMode="External"/><Relationship Id="rId637" Type="http://schemas.openxmlformats.org/officeDocument/2006/relationships/hyperlink" Target="https://www.nba.com/stats/player/1629006/" TargetMode="External"/><Relationship Id="rId844" Type="http://schemas.openxmlformats.org/officeDocument/2006/relationships/hyperlink" Target="https://www.nba.com/stats/team/1610612746/" TargetMode="External"/><Relationship Id="rId276" Type="http://schemas.openxmlformats.org/officeDocument/2006/relationships/hyperlink" Target="https://www.nba.com/stats/team/1610612743/" TargetMode="External"/><Relationship Id="rId483" Type="http://schemas.openxmlformats.org/officeDocument/2006/relationships/hyperlink" Target="https://www.nba.com/stats/player/1629216/" TargetMode="External"/><Relationship Id="rId690" Type="http://schemas.openxmlformats.org/officeDocument/2006/relationships/hyperlink" Target="https://www.nba.com/stats/team/1610612749/" TargetMode="External"/><Relationship Id="rId704" Type="http://schemas.openxmlformats.org/officeDocument/2006/relationships/hyperlink" Target="https://www.nba.com/stats/team/1610612743/" TargetMode="External"/><Relationship Id="rId911" Type="http://schemas.openxmlformats.org/officeDocument/2006/relationships/hyperlink" Target="https://www.nba.com/stats/player/202684/" TargetMode="External"/><Relationship Id="rId1127" Type="http://schemas.openxmlformats.org/officeDocument/2006/relationships/hyperlink" Target="https://www.nba.com/stats/player/1642399/" TargetMode="External"/><Relationship Id="rId40" Type="http://schemas.openxmlformats.org/officeDocument/2006/relationships/hyperlink" Target="https://www.nba.com/stats/team/1610612763/" TargetMode="External"/><Relationship Id="rId136" Type="http://schemas.openxmlformats.org/officeDocument/2006/relationships/hyperlink" Target="https://www.nba.com/stats/team/1610612740/" TargetMode="External"/><Relationship Id="rId343" Type="http://schemas.openxmlformats.org/officeDocument/2006/relationships/hyperlink" Target="https://www.nba.com/stats/player/202331/" TargetMode="External"/><Relationship Id="rId550" Type="http://schemas.openxmlformats.org/officeDocument/2006/relationships/hyperlink" Target="https://www.nba.com/stats/team/1610612760/" TargetMode="External"/><Relationship Id="rId788" Type="http://schemas.openxmlformats.org/officeDocument/2006/relationships/hyperlink" Target="https://www.nba.com/stats/team/1610612759/" TargetMode="External"/><Relationship Id="rId995" Type="http://schemas.openxmlformats.org/officeDocument/2006/relationships/hyperlink" Target="https://www.nba.com/stats/player/1641989/" TargetMode="External"/><Relationship Id="rId203" Type="http://schemas.openxmlformats.org/officeDocument/2006/relationships/hyperlink" Target="https://www.nba.com/stats/player/1628374/" TargetMode="External"/><Relationship Id="rId648" Type="http://schemas.openxmlformats.org/officeDocument/2006/relationships/hyperlink" Target="https://www.nba.com/stats/team/1610612742/" TargetMode="External"/><Relationship Id="rId855" Type="http://schemas.openxmlformats.org/officeDocument/2006/relationships/hyperlink" Target="https://www.nba.com/stats/player/1641720/" TargetMode="External"/><Relationship Id="rId1040" Type="http://schemas.openxmlformats.org/officeDocument/2006/relationships/hyperlink" Target="https://www.nba.com/stats/team/1610612759/" TargetMode="External"/><Relationship Id="rId287" Type="http://schemas.openxmlformats.org/officeDocument/2006/relationships/hyperlink" Target="https://www.nba.com/stats/player/1641731/" TargetMode="External"/><Relationship Id="rId410" Type="http://schemas.openxmlformats.org/officeDocument/2006/relationships/hyperlink" Target="https://www.nba.com/stats/team/1610612741/" TargetMode="External"/><Relationship Id="rId494" Type="http://schemas.openxmlformats.org/officeDocument/2006/relationships/hyperlink" Target="https://www.nba.com/stats/team/1610612751/" TargetMode="External"/><Relationship Id="rId508" Type="http://schemas.openxmlformats.org/officeDocument/2006/relationships/hyperlink" Target="https://www.nba.com/stats/team/1610612763/" TargetMode="External"/><Relationship Id="rId715" Type="http://schemas.openxmlformats.org/officeDocument/2006/relationships/hyperlink" Target="https://www.nba.com/stats/player/1630539/" TargetMode="External"/><Relationship Id="rId922" Type="http://schemas.openxmlformats.org/officeDocument/2006/relationships/hyperlink" Target="https://www.nba.com/stats/team/1610612745/" TargetMode="External"/><Relationship Id="rId1138" Type="http://schemas.openxmlformats.org/officeDocument/2006/relationships/hyperlink" Target="https://www.nba.com/stats/team/1610612764/" TargetMode="External"/><Relationship Id="rId147" Type="http://schemas.openxmlformats.org/officeDocument/2006/relationships/hyperlink" Target="https://www.nba.com/stats/player/1629631/" TargetMode="External"/><Relationship Id="rId354" Type="http://schemas.openxmlformats.org/officeDocument/2006/relationships/hyperlink" Target="https://www.nba.com/stats/team/1610612760/" TargetMode="External"/><Relationship Id="rId799" Type="http://schemas.openxmlformats.org/officeDocument/2006/relationships/hyperlink" Target="https://www.nba.com/stats/player/200768/" TargetMode="External"/><Relationship Id="rId51" Type="http://schemas.openxmlformats.org/officeDocument/2006/relationships/hyperlink" Target="https://www.nba.com/stats/player/1628368/" TargetMode="External"/><Relationship Id="rId561" Type="http://schemas.openxmlformats.org/officeDocument/2006/relationships/hyperlink" Target="https://www.nba.com/stats/player/1641763/" TargetMode="External"/><Relationship Id="rId659" Type="http://schemas.openxmlformats.org/officeDocument/2006/relationships/hyperlink" Target="https://www.nba.com/stats/player/1642345/" TargetMode="External"/><Relationship Id="rId866" Type="http://schemas.openxmlformats.org/officeDocument/2006/relationships/hyperlink" Target="https://www.nba.com/stats/team/1610612747/" TargetMode="External"/><Relationship Id="rId214" Type="http://schemas.openxmlformats.org/officeDocument/2006/relationships/hyperlink" Target="https://www.nba.com/stats/team/1610612750/" TargetMode="External"/><Relationship Id="rId298" Type="http://schemas.openxmlformats.org/officeDocument/2006/relationships/hyperlink" Target="https://www.nba.com/stats/team/1610612744/" TargetMode="External"/><Relationship Id="rId421" Type="http://schemas.openxmlformats.org/officeDocument/2006/relationships/hyperlink" Target="https://www.nba.com/stats/player/1627827/" TargetMode="External"/><Relationship Id="rId519" Type="http://schemas.openxmlformats.org/officeDocument/2006/relationships/hyperlink" Target="https://www.nba.com/stats/player/1628418/" TargetMode="External"/><Relationship Id="rId1051" Type="http://schemas.openxmlformats.org/officeDocument/2006/relationships/hyperlink" Target="https://www.nba.com/stats/player/1642422/" TargetMode="External"/><Relationship Id="rId158" Type="http://schemas.openxmlformats.org/officeDocument/2006/relationships/hyperlink" Target="https://www.nba.com/stats/team/1610612752/" TargetMode="External"/><Relationship Id="rId726" Type="http://schemas.openxmlformats.org/officeDocument/2006/relationships/hyperlink" Target="https://www.nba.com/stats/team/1610612739/" TargetMode="External"/><Relationship Id="rId933" Type="http://schemas.openxmlformats.org/officeDocument/2006/relationships/hyperlink" Target="https://www.nba.com/stats/player/1628981/" TargetMode="External"/><Relationship Id="rId1009" Type="http://schemas.openxmlformats.org/officeDocument/2006/relationships/hyperlink" Target="https://www.nba.com/stats/player/1630528/" TargetMode="External"/><Relationship Id="rId62" Type="http://schemas.openxmlformats.org/officeDocument/2006/relationships/hyperlink" Target="https://www.nba.com/stats/team/1610612743/" TargetMode="External"/><Relationship Id="rId365" Type="http://schemas.openxmlformats.org/officeDocument/2006/relationships/hyperlink" Target="https://www.nba.com/stats/player/203110/" TargetMode="External"/><Relationship Id="rId572" Type="http://schemas.openxmlformats.org/officeDocument/2006/relationships/hyperlink" Target="https://www.nba.com/stats/team/1610612766/" TargetMode="External"/><Relationship Id="rId225" Type="http://schemas.openxmlformats.org/officeDocument/2006/relationships/hyperlink" Target="https://www.nba.com/stats/player/1630553/" TargetMode="External"/><Relationship Id="rId432" Type="http://schemas.openxmlformats.org/officeDocument/2006/relationships/hyperlink" Target="https://www.nba.com/stats/team/1610612749/" TargetMode="External"/><Relationship Id="rId877" Type="http://schemas.openxmlformats.org/officeDocument/2006/relationships/hyperlink" Target="https://www.nba.com/stats/player/1631132/" TargetMode="External"/><Relationship Id="rId1062" Type="http://schemas.openxmlformats.org/officeDocument/2006/relationships/hyperlink" Target="https://www.nba.com/stats/team/1610612741/" TargetMode="External"/><Relationship Id="rId737" Type="http://schemas.openxmlformats.org/officeDocument/2006/relationships/hyperlink" Target="https://www.nba.com/stats/player/202709/" TargetMode="External"/><Relationship Id="rId944" Type="http://schemas.openxmlformats.org/officeDocument/2006/relationships/hyperlink" Target="https://www.nba.com/stats/team/1610612751/" TargetMode="External"/><Relationship Id="rId73" Type="http://schemas.openxmlformats.org/officeDocument/2006/relationships/hyperlink" Target="https://www.nba.com/stats/player/1630178/" TargetMode="External"/><Relationship Id="rId169" Type="http://schemas.openxmlformats.org/officeDocument/2006/relationships/hyperlink" Target="https://www.nba.com/stats/player/202699/" TargetMode="External"/><Relationship Id="rId376" Type="http://schemas.openxmlformats.org/officeDocument/2006/relationships/hyperlink" Target="https://www.nba.com/stats/team/1610612751/" TargetMode="External"/><Relationship Id="rId583" Type="http://schemas.openxmlformats.org/officeDocument/2006/relationships/hyperlink" Target="https://www.nba.com/stats/player/1628988/" TargetMode="External"/><Relationship Id="rId790" Type="http://schemas.openxmlformats.org/officeDocument/2006/relationships/hyperlink" Target="https://www.nba.com/stats/team/1610612740/" TargetMode="External"/><Relationship Id="rId804" Type="http://schemas.openxmlformats.org/officeDocument/2006/relationships/hyperlink" Target="https://www.nba.com/stats/team/1610612763/" TargetMode="External"/><Relationship Id="rId4" Type="http://schemas.openxmlformats.org/officeDocument/2006/relationships/hyperlink" Target="https://www.nba.com/stats/team/1610612750/" TargetMode="External"/><Relationship Id="rId236" Type="http://schemas.openxmlformats.org/officeDocument/2006/relationships/hyperlink" Target="https://www.nba.com/stats/team/1610612749/" TargetMode="External"/><Relationship Id="rId443" Type="http://schemas.openxmlformats.org/officeDocument/2006/relationships/hyperlink" Target="https://www.nba.com/stats/player/1630208/" TargetMode="External"/><Relationship Id="rId650" Type="http://schemas.openxmlformats.org/officeDocument/2006/relationships/hyperlink" Target="https://www.nba.com/stats/team/1610612756/" TargetMode="External"/><Relationship Id="rId888" Type="http://schemas.openxmlformats.org/officeDocument/2006/relationships/hyperlink" Target="https://www.nba.com/stats/team/1610612738/" TargetMode="External"/><Relationship Id="rId1073" Type="http://schemas.openxmlformats.org/officeDocument/2006/relationships/hyperlink" Target="https://www.nba.com/stats/player/1641766/" TargetMode="External"/><Relationship Id="rId303" Type="http://schemas.openxmlformats.org/officeDocument/2006/relationships/hyperlink" Target="https://www.nba.com/stats/player/1642261/" TargetMode="External"/><Relationship Id="rId748" Type="http://schemas.openxmlformats.org/officeDocument/2006/relationships/hyperlink" Target="https://www.nba.com/stats/team/1610612737/" TargetMode="External"/><Relationship Id="rId955" Type="http://schemas.openxmlformats.org/officeDocument/2006/relationships/hyperlink" Target="https://www.nba.com/stats/player/1630574/" TargetMode="External"/><Relationship Id="rId84" Type="http://schemas.openxmlformats.org/officeDocument/2006/relationships/hyperlink" Target="https://www.nba.com/stats/team/1610612765/" TargetMode="External"/><Relationship Id="rId387" Type="http://schemas.openxmlformats.org/officeDocument/2006/relationships/hyperlink" Target="https://www.nba.com/stats/player/1631124/" TargetMode="External"/><Relationship Id="rId510" Type="http://schemas.openxmlformats.org/officeDocument/2006/relationships/hyperlink" Target="https://www.nba.com/stats/team/1610612764/" TargetMode="External"/><Relationship Id="rId594" Type="http://schemas.openxmlformats.org/officeDocument/2006/relationships/hyperlink" Target="https://www.nba.com/stats/team/1610612754/" TargetMode="External"/><Relationship Id="rId608" Type="http://schemas.openxmlformats.org/officeDocument/2006/relationships/hyperlink" Target="https://www.nba.com/stats/team/1610612739/" TargetMode="External"/><Relationship Id="rId815" Type="http://schemas.openxmlformats.org/officeDocument/2006/relationships/hyperlink" Target="https://www.nba.com/stats/player/1626153/" TargetMode="External"/><Relationship Id="rId247" Type="http://schemas.openxmlformats.org/officeDocument/2006/relationships/hyperlink" Target="https://www.nba.com/stats/player/202695/" TargetMode="External"/><Relationship Id="rId899" Type="http://schemas.openxmlformats.org/officeDocument/2006/relationships/hyperlink" Target="https://www.nba.com/stats/player/1642024/" TargetMode="External"/><Relationship Id="rId1000" Type="http://schemas.openxmlformats.org/officeDocument/2006/relationships/hyperlink" Target="https://www.nba.com/stats/team/1610612752/" TargetMode="External"/><Relationship Id="rId1084" Type="http://schemas.openxmlformats.org/officeDocument/2006/relationships/hyperlink" Target="https://www.nba.com/stats/team/1610612765/" TargetMode="External"/><Relationship Id="rId107" Type="http://schemas.openxmlformats.org/officeDocument/2006/relationships/hyperlink" Target="https://www.nba.com/stats/player/202681/" TargetMode="External"/><Relationship Id="rId454" Type="http://schemas.openxmlformats.org/officeDocument/2006/relationships/hyperlink" Target="https://www.nba.com/stats/team/1610612737/" TargetMode="External"/><Relationship Id="rId661" Type="http://schemas.openxmlformats.org/officeDocument/2006/relationships/hyperlink" Target="https://www.nba.com/stats/player/1630322/" TargetMode="External"/><Relationship Id="rId759" Type="http://schemas.openxmlformats.org/officeDocument/2006/relationships/hyperlink" Target="https://www.nba.com/stats/player/1630692/" TargetMode="External"/><Relationship Id="rId966" Type="http://schemas.openxmlformats.org/officeDocument/2006/relationships/hyperlink" Target="https://www.nba.com/stats/team/1610612766/" TargetMode="External"/><Relationship Id="rId11" Type="http://schemas.openxmlformats.org/officeDocument/2006/relationships/hyperlink" Target="https://www.nba.com/stats/player/1626164/" TargetMode="External"/><Relationship Id="rId314" Type="http://schemas.openxmlformats.org/officeDocument/2006/relationships/hyperlink" Target="https://www.nba.com/stats/team/1610612762/" TargetMode="External"/><Relationship Id="rId398" Type="http://schemas.openxmlformats.org/officeDocument/2006/relationships/hyperlink" Target="https://www.nba.com/stats/team/1610612740/" TargetMode="External"/><Relationship Id="rId521" Type="http://schemas.openxmlformats.org/officeDocument/2006/relationships/hyperlink" Target="https://www.nba.com/stats/player/1641730/" TargetMode="External"/><Relationship Id="rId619" Type="http://schemas.openxmlformats.org/officeDocument/2006/relationships/hyperlink" Target="https://www.nba.com/stats/player/1629674/" TargetMode="External"/><Relationship Id="rId95" Type="http://schemas.openxmlformats.org/officeDocument/2006/relationships/hyperlink" Target="https://www.nba.com/stats/player/1626181/" TargetMode="External"/><Relationship Id="rId160" Type="http://schemas.openxmlformats.org/officeDocument/2006/relationships/hyperlink" Target="https://www.nba.com/stats/team/1610612759/" TargetMode="External"/><Relationship Id="rId826" Type="http://schemas.openxmlformats.org/officeDocument/2006/relationships/hyperlink" Target="https://www.nba.com/stats/team/1610612750/" TargetMode="External"/><Relationship Id="rId1011" Type="http://schemas.openxmlformats.org/officeDocument/2006/relationships/hyperlink" Target="https://www.nba.com/stats/player/1642461/" TargetMode="External"/><Relationship Id="rId1109" Type="http://schemas.openxmlformats.org/officeDocument/2006/relationships/hyperlink" Target="https://www.nba.com/stats/player/1642439/" TargetMode="External"/><Relationship Id="rId258" Type="http://schemas.openxmlformats.org/officeDocument/2006/relationships/hyperlink" Target="https://www.nba.com/stats/team/1610612737/" TargetMode="External"/><Relationship Id="rId465" Type="http://schemas.openxmlformats.org/officeDocument/2006/relationships/hyperlink" Target="https://www.nba.com/stats/player/1626166/" TargetMode="External"/><Relationship Id="rId672" Type="http://schemas.openxmlformats.org/officeDocument/2006/relationships/hyperlink" Target="https://www.nba.com/stats/team/1610612753/" TargetMode="External"/><Relationship Id="rId1095" Type="http://schemas.openxmlformats.org/officeDocument/2006/relationships/hyperlink" Target="https://www.nba.com/stats/player/1631214/" TargetMode="External"/><Relationship Id="rId22" Type="http://schemas.openxmlformats.org/officeDocument/2006/relationships/hyperlink" Target="https://www.nba.com/stats/team/1610612752/" TargetMode="External"/><Relationship Id="rId118" Type="http://schemas.openxmlformats.org/officeDocument/2006/relationships/hyperlink" Target="https://www.nba.com/stats/team/1610612759/" TargetMode="External"/><Relationship Id="rId325" Type="http://schemas.openxmlformats.org/officeDocument/2006/relationships/hyperlink" Target="https://www.nba.com/stats/player/1626171/" TargetMode="External"/><Relationship Id="rId532" Type="http://schemas.openxmlformats.org/officeDocument/2006/relationships/hyperlink" Target="https://www.nba.com/stats/team/1610612744/" TargetMode="External"/><Relationship Id="rId977" Type="http://schemas.openxmlformats.org/officeDocument/2006/relationships/hyperlink" Target="https://www.nba.com/stats/player/1630543/" TargetMode="External"/><Relationship Id="rId171" Type="http://schemas.openxmlformats.org/officeDocument/2006/relationships/hyperlink" Target="https://www.nba.com/stats/player/1630183/" TargetMode="External"/><Relationship Id="rId837" Type="http://schemas.openxmlformats.org/officeDocument/2006/relationships/hyperlink" Target="https://www.nba.com/stats/player/1629680/" TargetMode="External"/><Relationship Id="rId1022" Type="http://schemas.openxmlformats.org/officeDocument/2006/relationships/hyperlink" Target="https://www.nba.com/stats/team/1610612758/" TargetMode="External"/><Relationship Id="rId269" Type="http://schemas.openxmlformats.org/officeDocument/2006/relationships/hyperlink" Target="https://www.nba.com/stats/player/1628381/" TargetMode="External"/><Relationship Id="rId476" Type="http://schemas.openxmlformats.org/officeDocument/2006/relationships/hyperlink" Target="https://www.nba.com/stats/team/1610612760/" TargetMode="External"/><Relationship Id="rId683" Type="http://schemas.openxmlformats.org/officeDocument/2006/relationships/hyperlink" Target="https://www.nba.com/stats/player/1642262/" TargetMode="External"/><Relationship Id="rId890" Type="http://schemas.openxmlformats.org/officeDocument/2006/relationships/hyperlink" Target="https://www.nba.com/stats/team/1610612756/" TargetMode="External"/><Relationship Id="rId904" Type="http://schemas.openxmlformats.org/officeDocument/2006/relationships/hyperlink" Target="https://www.nba.com/stats/team/1610612742/" TargetMode="External"/><Relationship Id="rId33" Type="http://schemas.openxmlformats.org/officeDocument/2006/relationships/hyperlink" Target="https://www.nba.com/stats/player/1628378/" TargetMode="External"/><Relationship Id="rId129" Type="http://schemas.openxmlformats.org/officeDocument/2006/relationships/hyperlink" Target="https://www.nba.com/stats/player/1630202/" TargetMode="External"/><Relationship Id="rId336" Type="http://schemas.openxmlformats.org/officeDocument/2006/relationships/hyperlink" Target="https://www.nba.com/stats/team/1610612766/" TargetMode="External"/><Relationship Id="rId543" Type="http://schemas.openxmlformats.org/officeDocument/2006/relationships/hyperlink" Target="https://www.nba.com/stats/player/1629021/" TargetMode="External"/><Relationship Id="rId988" Type="http://schemas.openxmlformats.org/officeDocument/2006/relationships/hyperlink" Target="https://www.nba.com/stats/team/1610612738/" TargetMode="External"/><Relationship Id="rId182" Type="http://schemas.openxmlformats.org/officeDocument/2006/relationships/hyperlink" Target="https://www.nba.com/stats/team/1610612745/" TargetMode="External"/><Relationship Id="rId403" Type="http://schemas.openxmlformats.org/officeDocument/2006/relationships/hyperlink" Target="https://www.nba.com/stats/player/1630548/" TargetMode="External"/><Relationship Id="rId750" Type="http://schemas.openxmlformats.org/officeDocument/2006/relationships/hyperlink" Target="https://www.nba.com/stats/team/1610612766/" TargetMode="External"/><Relationship Id="rId848" Type="http://schemas.openxmlformats.org/officeDocument/2006/relationships/hyperlink" Target="https://www.nba.com/stats/team/1610612751/" TargetMode="External"/><Relationship Id="rId1033" Type="http://schemas.openxmlformats.org/officeDocument/2006/relationships/hyperlink" Target="https://www.nba.com/stats/player/1631123/" TargetMode="External"/><Relationship Id="rId487" Type="http://schemas.openxmlformats.org/officeDocument/2006/relationships/hyperlink" Target="https://www.nba.com/stats/player/1631222/" TargetMode="External"/><Relationship Id="rId610" Type="http://schemas.openxmlformats.org/officeDocument/2006/relationships/hyperlink" Target="https://www.nba.com/stats/team/1610612766/" TargetMode="External"/><Relationship Id="rId694" Type="http://schemas.openxmlformats.org/officeDocument/2006/relationships/hyperlink" Target="https://www.nba.com/stats/team/1610612750/" TargetMode="External"/><Relationship Id="rId708" Type="http://schemas.openxmlformats.org/officeDocument/2006/relationships/hyperlink" Target="https://www.nba.com/stats/team/1610612737/" TargetMode="External"/><Relationship Id="rId915" Type="http://schemas.openxmlformats.org/officeDocument/2006/relationships/hyperlink" Target="https://www.nba.com/stats/player/1629669/" TargetMode="External"/><Relationship Id="rId347" Type="http://schemas.openxmlformats.org/officeDocument/2006/relationships/hyperlink" Target="https://www.nba.com/stats/player/1627752/" TargetMode="External"/><Relationship Id="rId999" Type="http://schemas.openxmlformats.org/officeDocument/2006/relationships/hyperlink" Target="https://www.nba.com/stats/player/1642359/" TargetMode="External"/><Relationship Id="rId1100" Type="http://schemas.openxmlformats.org/officeDocument/2006/relationships/hyperlink" Target="https://www.nba.com/stats/team/1610612761/" TargetMode="External"/><Relationship Id="rId44" Type="http://schemas.openxmlformats.org/officeDocument/2006/relationships/hyperlink" Target="https://www.nba.com/stats/team/1610612739/" TargetMode="External"/><Relationship Id="rId554" Type="http://schemas.openxmlformats.org/officeDocument/2006/relationships/hyperlink" Target="https://www.nba.com/stats/team/1610612747/" TargetMode="External"/><Relationship Id="rId761" Type="http://schemas.openxmlformats.org/officeDocument/2006/relationships/hyperlink" Target="https://www.nba.com/stats/player/1629646/" TargetMode="External"/><Relationship Id="rId859" Type="http://schemas.openxmlformats.org/officeDocument/2006/relationships/hyperlink" Target="https://www.nba.com/stats/player/1631131/" TargetMode="External"/><Relationship Id="rId193" Type="http://schemas.openxmlformats.org/officeDocument/2006/relationships/hyperlink" Target="https://www.nba.com/stats/player/1630598/" TargetMode="External"/><Relationship Id="rId207" Type="http://schemas.openxmlformats.org/officeDocument/2006/relationships/hyperlink" Target="https://www.nba.com/stats/player/1629660/" TargetMode="External"/><Relationship Id="rId414" Type="http://schemas.openxmlformats.org/officeDocument/2006/relationships/hyperlink" Target="https://www.nba.com/stats/team/1610612741/" TargetMode="External"/><Relationship Id="rId498" Type="http://schemas.openxmlformats.org/officeDocument/2006/relationships/hyperlink" Target="https://www.nba.com/stats/team/1610612758/" TargetMode="External"/><Relationship Id="rId621" Type="http://schemas.openxmlformats.org/officeDocument/2006/relationships/hyperlink" Target="https://www.nba.com/stats/player/203935/" TargetMode="External"/><Relationship Id="rId1044" Type="http://schemas.openxmlformats.org/officeDocument/2006/relationships/hyperlink" Target="https://www.nba.com/stats/team/1610612749/" TargetMode="External"/><Relationship Id="rId260" Type="http://schemas.openxmlformats.org/officeDocument/2006/relationships/hyperlink" Target="https://www.nba.com/stats/team/1610612762/" TargetMode="External"/><Relationship Id="rId719" Type="http://schemas.openxmlformats.org/officeDocument/2006/relationships/hyperlink" Target="https://www.nba.com/stats/player/1631288/" TargetMode="External"/><Relationship Id="rId926" Type="http://schemas.openxmlformats.org/officeDocument/2006/relationships/hyperlink" Target="https://www.nba.com/stats/team/1610612754/" TargetMode="External"/><Relationship Id="rId1111" Type="http://schemas.openxmlformats.org/officeDocument/2006/relationships/hyperlink" Target="https://www.nba.com/stats/player/1641803/" TargetMode="External"/><Relationship Id="rId55" Type="http://schemas.openxmlformats.org/officeDocument/2006/relationships/hyperlink" Target="https://www.nba.com/stats/player/1630532/" TargetMode="External"/><Relationship Id="rId120" Type="http://schemas.openxmlformats.org/officeDocument/2006/relationships/hyperlink" Target="https://www.nba.com/stats/team/1610612766/" TargetMode="External"/><Relationship Id="rId358" Type="http://schemas.openxmlformats.org/officeDocument/2006/relationships/hyperlink" Target="https://www.nba.com/stats/team/1610612753/" TargetMode="External"/><Relationship Id="rId565" Type="http://schemas.openxmlformats.org/officeDocument/2006/relationships/hyperlink" Target="https://www.nba.com/stats/player/1628998/" TargetMode="External"/><Relationship Id="rId772" Type="http://schemas.openxmlformats.org/officeDocument/2006/relationships/hyperlink" Target="https://www.nba.com/stats/team/1610612746/" TargetMode="External"/><Relationship Id="rId218" Type="http://schemas.openxmlformats.org/officeDocument/2006/relationships/hyperlink" Target="https://www.nba.com/stats/team/1610612745/" TargetMode="External"/><Relationship Id="rId425" Type="http://schemas.openxmlformats.org/officeDocument/2006/relationships/hyperlink" Target="https://www.nba.com/stats/player/1627749/" TargetMode="External"/><Relationship Id="rId632" Type="http://schemas.openxmlformats.org/officeDocument/2006/relationships/hyperlink" Target="https://www.nba.com/stats/team/1610612757/" TargetMode="External"/><Relationship Id="rId1055" Type="http://schemas.openxmlformats.org/officeDocument/2006/relationships/hyperlink" Target="https://www.nba.com/stats/player/1641707/" TargetMode="External"/><Relationship Id="rId271" Type="http://schemas.openxmlformats.org/officeDocument/2006/relationships/hyperlink" Target="https://www.nba.com/stats/player/1630198/" TargetMode="External"/><Relationship Id="rId937" Type="http://schemas.openxmlformats.org/officeDocument/2006/relationships/hyperlink" Target="https://www.nba.com/stats/player/202693/" TargetMode="External"/><Relationship Id="rId1122" Type="http://schemas.openxmlformats.org/officeDocument/2006/relationships/hyperlink" Target="https://www.nba.com/stats/team/1610612754/" TargetMode="External"/><Relationship Id="rId66" Type="http://schemas.openxmlformats.org/officeDocument/2006/relationships/hyperlink" Target="https://www.nba.com/stats/team/1610612747/" TargetMode="External"/><Relationship Id="rId131" Type="http://schemas.openxmlformats.org/officeDocument/2006/relationships/hyperlink" Target="https://www.nba.com/stats/player/1629675/" TargetMode="External"/><Relationship Id="rId369" Type="http://schemas.openxmlformats.org/officeDocument/2006/relationships/hyperlink" Target="https://www.nba.com/stats/player/1641744/" TargetMode="External"/><Relationship Id="rId576" Type="http://schemas.openxmlformats.org/officeDocument/2006/relationships/hyperlink" Target="https://www.nba.com/stats/team/1610612755/" TargetMode="External"/><Relationship Id="rId783" Type="http://schemas.openxmlformats.org/officeDocument/2006/relationships/hyperlink" Target="https://www.nba.com/stats/player/203926/" TargetMode="External"/><Relationship Id="rId990" Type="http://schemas.openxmlformats.org/officeDocument/2006/relationships/hyperlink" Target="https://www.nba.com/stats/team/1610612757/" TargetMode="External"/><Relationship Id="rId229" Type="http://schemas.openxmlformats.org/officeDocument/2006/relationships/hyperlink" Target="https://www.nba.com/stats/player/1627751/" TargetMode="External"/><Relationship Id="rId436" Type="http://schemas.openxmlformats.org/officeDocument/2006/relationships/hyperlink" Target="https://www.nba.com/stats/team/1610612753/" TargetMode="External"/><Relationship Id="rId643" Type="http://schemas.openxmlformats.org/officeDocument/2006/relationships/hyperlink" Target="https://www.nba.com/stats/player/1631119/" TargetMode="External"/><Relationship Id="rId1066" Type="http://schemas.openxmlformats.org/officeDocument/2006/relationships/hyperlink" Target="https://www.nba.com/stats/team/1610612741/" TargetMode="External"/><Relationship Id="rId850" Type="http://schemas.openxmlformats.org/officeDocument/2006/relationships/hyperlink" Target="https://www.nba.com/stats/team/1610612738/" TargetMode="External"/><Relationship Id="rId948" Type="http://schemas.openxmlformats.org/officeDocument/2006/relationships/hyperlink" Target="https://www.nba.com/stats/team/1610612739/" TargetMode="External"/><Relationship Id="rId1133" Type="http://schemas.openxmlformats.org/officeDocument/2006/relationships/hyperlink" Target="https://www.nba.com/stats/player/1630678/" TargetMode="External"/><Relationship Id="rId77" Type="http://schemas.openxmlformats.org/officeDocument/2006/relationships/hyperlink" Target="https://www.nba.com/stats/player/202696/" TargetMode="External"/><Relationship Id="rId282" Type="http://schemas.openxmlformats.org/officeDocument/2006/relationships/hyperlink" Target="https://www.nba.com/stats/team/1610612740/" TargetMode="External"/><Relationship Id="rId503" Type="http://schemas.openxmlformats.org/officeDocument/2006/relationships/hyperlink" Target="https://www.nba.com/stats/player/1631323/" TargetMode="External"/><Relationship Id="rId587" Type="http://schemas.openxmlformats.org/officeDocument/2006/relationships/hyperlink" Target="https://www.nba.com/stats/player/1628971/" TargetMode="External"/><Relationship Id="rId710" Type="http://schemas.openxmlformats.org/officeDocument/2006/relationships/hyperlink" Target="https://www.nba.com/stats/team/1610612742/" TargetMode="External"/><Relationship Id="rId808" Type="http://schemas.openxmlformats.org/officeDocument/2006/relationships/hyperlink" Target="https://www.nba.com/stats/team/1610612758/" TargetMode="External"/><Relationship Id="rId8" Type="http://schemas.openxmlformats.org/officeDocument/2006/relationships/hyperlink" Target="https://www.nba.com/stats/team/1610612749/" TargetMode="External"/><Relationship Id="rId142" Type="http://schemas.openxmlformats.org/officeDocument/2006/relationships/hyperlink" Target="https://www.nba.com/stats/team/1610612759/" TargetMode="External"/><Relationship Id="rId447" Type="http://schemas.openxmlformats.org/officeDocument/2006/relationships/hyperlink" Target="https://www.nba.com/stats/player/1630188/" TargetMode="External"/><Relationship Id="rId794" Type="http://schemas.openxmlformats.org/officeDocument/2006/relationships/hyperlink" Target="https://www.nba.com/stats/team/1610612750/" TargetMode="External"/><Relationship Id="rId1077" Type="http://schemas.openxmlformats.org/officeDocument/2006/relationships/hyperlink" Target="https://www.nba.com/stats/player/1641817/" TargetMode="External"/><Relationship Id="rId654" Type="http://schemas.openxmlformats.org/officeDocument/2006/relationships/hyperlink" Target="https://www.nba.com/stats/team/1610612751/" TargetMode="External"/><Relationship Id="rId861" Type="http://schemas.openxmlformats.org/officeDocument/2006/relationships/hyperlink" Target="https://www.nba.com/stats/player/1642277/" TargetMode="External"/><Relationship Id="rId959" Type="http://schemas.openxmlformats.org/officeDocument/2006/relationships/hyperlink" Target="https://www.nba.com/stats/player/1642402/" TargetMode="External"/><Relationship Id="rId293" Type="http://schemas.openxmlformats.org/officeDocument/2006/relationships/hyperlink" Target="https://www.nba.com/stats/player/101108/" TargetMode="External"/><Relationship Id="rId307" Type="http://schemas.openxmlformats.org/officeDocument/2006/relationships/hyperlink" Target="https://www.nba.com/stats/player/1629655/" TargetMode="External"/><Relationship Id="rId514" Type="http://schemas.openxmlformats.org/officeDocument/2006/relationships/hyperlink" Target="https://www.nba.com/stats/team/1610612757/" TargetMode="External"/><Relationship Id="rId721" Type="http://schemas.openxmlformats.org/officeDocument/2006/relationships/hyperlink" Target="https://www.nba.com/stats/player/1631221/" TargetMode="External"/><Relationship Id="rId88" Type="http://schemas.openxmlformats.org/officeDocument/2006/relationships/hyperlink" Target="https://www.nba.com/stats/team/1610612752/" TargetMode="External"/><Relationship Id="rId153" Type="http://schemas.openxmlformats.org/officeDocument/2006/relationships/hyperlink" Target="https://www.nba.com/stats/player/1629661/" TargetMode="External"/><Relationship Id="rId360" Type="http://schemas.openxmlformats.org/officeDocument/2006/relationships/hyperlink" Target="https://www.nba.com/stats/team/1610612753/" TargetMode="External"/><Relationship Id="rId598" Type="http://schemas.openxmlformats.org/officeDocument/2006/relationships/hyperlink" Target="https://www.nba.com/stats/team/1610612756/" TargetMode="External"/><Relationship Id="rId819" Type="http://schemas.openxmlformats.org/officeDocument/2006/relationships/hyperlink" Target="https://www.nba.com/stats/player/1642382/" TargetMode="External"/><Relationship Id="rId1004" Type="http://schemas.openxmlformats.org/officeDocument/2006/relationships/hyperlink" Target="https://www.nba.com/stats/team/1610612749/" TargetMode="External"/><Relationship Id="rId220" Type="http://schemas.openxmlformats.org/officeDocument/2006/relationships/hyperlink" Target="https://www.nba.com/stats/team/1610612758/" TargetMode="External"/><Relationship Id="rId458" Type="http://schemas.openxmlformats.org/officeDocument/2006/relationships/hyperlink" Target="https://www.nba.com/stats/team/1610612756/" TargetMode="External"/><Relationship Id="rId665" Type="http://schemas.openxmlformats.org/officeDocument/2006/relationships/hyperlink" Target="https://www.nba.com/stats/player/1641796/" TargetMode="External"/><Relationship Id="rId872" Type="http://schemas.openxmlformats.org/officeDocument/2006/relationships/hyperlink" Target="https://www.nba.com/stats/team/1610612747/" TargetMode="External"/><Relationship Id="rId1088" Type="http://schemas.openxmlformats.org/officeDocument/2006/relationships/hyperlink" Target="https://www.nba.com/stats/team/1610612754/" TargetMode="External"/><Relationship Id="rId15" Type="http://schemas.openxmlformats.org/officeDocument/2006/relationships/hyperlink" Target="https://www.nba.com/stats/player/1629027/" TargetMode="External"/><Relationship Id="rId318" Type="http://schemas.openxmlformats.org/officeDocument/2006/relationships/hyperlink" Target="https://www.nba.com/stats/team/1610612741/" TargetMode="External"/><Relationship Id="rId525" Type="http://schemas.openxmlformats.org/officeDocument/2006/relationships/hyperlink" Target="https://www.nba.com/stats/player/1630526/" TargetMode="External"/><Relationship Id="rId732" Type="http://schemas.openxmlformats.org/officeDocument/2006/relationships/hyperlink" Target="https://www.nba.com/stats/team/1610612766/" TargetMode="External"/><Relationship Id="rId99" Type="http://schemas.openxmlformats.org/officeDocument/2006/relationships/hyperlink" Target="https://www.nba.com/stats/player/203944/" TargetMode="External"/><Relationship Id="rId164" Type="http://schemas.openxmlformats.org/officeDocument/2006/relationships/hyperlink" Target="https://www.nba.com/stats/team/1610612741/" TargetMode="External"/><Relationship Id="rId371" Type="http://schemas.openxmlformats.org/officeDocument/2006/relationships/hyperlink" Target="https://www.nba.com/stats/player/1641722/" TargetMode="External"/><Relationship Id="rId1015" Type="http://schemas.openxmlformats.org/officeDocument/2006/relationships/hyperlink" Target="https://www.nba.com/stats/player/1641789/" TargetMode="External"/><Relationship Id="rId469" Type="http://schemas.openxmlformats.org/officeDocument/2006/relationships/hyperlink" Target="https://www.nba.com/stats/player/1631107/" TargetMode="External"/><Relationship Id="rId676" Type="http://schemas.openxmlformats.org/officeDocument/2006/relationships/hyperlink" Target="https://www.nba.com/stats/team/1610612759/" TargetMode="External"/><Relationship Id="rId883" Type="http://schemas.openxmlformats.org/officeDocument/2006/relationships/hyperlink" Target="https://www.nba.com/stats/player/1631311/" TargetMode="External"/><Relationship Id="rId1099" Type="http://schemas.openxmlformats.org/officeDocument/2006/relationships/hyperlink" Target="https://www.nba.com/stats/player/1642279/" TargetMode="External"/><Relationship Id="rId26" Type="http://schemas.openxmlformats.org/officeDocument/2006/relationships/hyperlink" Target="https://www.nba.com/stats/team/1610612745/" TargetMode="External"/><Relationship Id="rId231" Type="http://schemas.openxmlformats.org/officeDocument/2006/relationships/hyperlink" Target="https://www.nba.com/stats/player/1626145/" TargetMode="External"/><Relationship Id="rId329" Type="http://schemas.openxmlformats.org/officeDocument/2006/relationships/hyperlink" Target="https://www.nba.com/stats/player/1626179/" TargetMode="External"/><Relationship Id="rId536" Type="http://schemas.openxmlformats.org/officeDocument/2006/relationships/hyperlink" Target="https://www.nba.com/stats/team/1610612744/" TargetMode="External"/><Relationship Id="rId175" Type="http://schemas.openxmlformats.org/officeDocument/2006/relationships/hyperlink" Target="https://www.nba.com/stats/player/1630168/" TargetMode="External"/><Relationship Id="rId743" Type="http://schemas.openxmlformats.org/officeDocument/2006/relationships/hyperlink" Target="https://www.nba.com/stats/player/1642281/" TargetMode="External"/><Relationship Id="rId950" Type="http://schemas.openxmlformats.org/officeDocument/2006/relationships/hyperlink" Target="https://www.nba.com/stats/team/1610612746/" TargetMode="External"/><Relationship Id="rId1026" Type="http://schemas.openxmlformats.org/officeDocument/2006/relationships/hyperlink" Target="https://www.nba.com/stats/team/1610612741/" TargetMode="External"/><Relationship Id="rId382" Type="http://schemas.openxmlformats.org/officeDocument/2006/relationships/hyperlink" Target="https://www.nba.com/stats/team/1610612748/" TargetMode="External"/><Relationship Id="rId603" Type="http://schemas.openxmlformats.org/officeDocument/2006/relationships/hyperlink" Target="https://www.nba.com/stats/player/1641774/" TargetMode="External"/><Relationship Id="rId687" Type="http://schemas.openxmlformats.org/officeDocument/2006/relationships/hyperlink" Target="https://www.nba.com/stats/player/1626158/" TargetMode="External"/><Relationship Id="rId810" Type="http://schemas.openxmlformats.org/officeDocument/2006/relationships/hyperlink" Target="https://www.nba.com/stats/team/1610612760/" TargetMode="External"/><Relationship Id="rId908" Type="http://schemas.openxmlformats.org/officeDocument/2006/relationships/hyperlink" Target="https://www.nba.com/stats/team/1610612747/" TargetMode="External"/><Relationship Id="rId242" Type="http://schemas.openxmlformats.org/officeDocument/2006/relationships/hyperlink" Target="https://www.nba.com/stats/team/1610612763/" TargetMode="External"/><Relationship Id="rId894" Type="http://schemas.openxmlformats.org/officeDocument/2006/relationships/hyperlink" Target="https://www.nba.com/stats/team/1610612764/" TargetMode="External"/><Relationship Id="rId37" Type="http://schemas.openxmlformats.org/officeDocument/2006/relationships/hyperlink" Target="https://www.nba.com/stats/player/201142/" TargetMode="External"/><Relationship Id="rId102" Type="http://schemas.openxmlformats.org/officeDocument/2006/relationships/hyperlink" Target="https://www.nba.com/stats/team/1610612742/" TargetMode="External"/><Relationship Id="rId547" Type="http://schemas.openxmlformats.org/officeDocument/2006/relationships/hyperlink" Target="https://www.nba.com/stats/player/203482/" TargetMode="External"/><Relationship Id="rId754" Type="http://schemas.openxmlformats.org/officeDocument/2006/relationships/hyperlink" Target="https://www.nba.com/stats/team/1610612740/" TargetMode="External"/><Relationship Id="rId961" Type="http://schemas.openxmlformats.org/officeDocument/2006/relationships/hyperlink" Target="https://www.nba.com/stats/player/1631342/" TargetMode="External"/><Relationship Id="rId90" Type="http://schemas.openxmlformats.org/officeDocument/2006/relationships/hyperlink" Target="https://www.nba.com/stats/team/1610612757/" TargetMode="External"/><Relationship Id="rId186" Type="http://schemas.openxmlformats.org/officeDocument/2006/relationships/hyperlink" Target="https://www.nba.com/stats/team/1610612749/" TargetMode="External"/><Relationship Id="rId393" Type="http://schemas.openxmlformats.org/officeDocument/2006/relationships/hyperlink" Target="https://www.nba.com/stats/player/201144/" TargetMode="External"/><Relationship Id="rId407" Type="http://schemas.openxmlformats.org/officeDocument/2006/relationships/hyperlink" Target="https://www.nba.com/stats/player/1641706/" TargetMode="External"/><Relationship Id="rId614" Type="http://schemas.openxmlformats.org/officeDocument/2006/relationships/hyperlink" Target="https://www.nba.com/stats/team/1610612742/" TargetMode="External"/><Relationship Id="rId821" Type="http://schemas.openxmlformats.org/officeDocument/2006/relationships/hyperlink" Target="https://www.nba.com/stats/player/1630658/" TargetMode="External"/><Relationship Id="rId1037" Type="http://schemas.openxmlformats.org/officeDocument/2006/relationships/hyperlink" Target="https://www.nba.com/stats/player/1630201/" TargetMode="External"/><Relationship Id="rId253" Type="http://schemas.openxmlformats.org/officeDocument/2006/relationships/hyperlink" Target="https://www.nba.com/stats/player/1627884/" TargetMode="External"/><Relationship Id="rId460" Type="http://schemas.openxmlformats.org/officeDocument/2006/relationships/hyperlink" Target="https://www.nba.com/stats/team/1610612753/" TargetMode="External"/><Relationship Id="rId698" Type="http://schemas.openxmlformats.org/officeDocument/2006/relationships/hyperlink" Target="https://www.nba.com/stats/team/1610612749/" TargetMode="External"/><Relationship Id="rId919" Type="http://schemas.openxmlformats.org/officeDocument/2006/relationships/hyperlink" Target="https://www.nba.com/stats/player/1630542/" TargetMode="External"/><Relationship Id="rId1090" Type="http://schemas.openxmlformats.org/officeDocument/2006/relationships/hyperlink" Target="https://www.nba.com/stats/team/1610612752/" TargetMode="External"/><Relationship Id="rId1104" Type="http://schemas.openxmlformats.org/officeDocument/2006/relationships/hyperlink" Target="https://www.nba.com/stats/team/1610612759/" TargetMode="External"/><Relationship Id="rId48" Type="http://schemas.openxmlformats.org/officeDocument/2006/relationships/hyperlink" Target="https://www.nba.com/stats/team/1610612760/" TargetMode="External"/><Relationship Id="rId113" Type="http://schemas.openxmlformats.org/officeDocument/2006/relationships/hyperlink" Target="https://www.nba.com/stats/player/1630166/" TargetMode="External"/><Relationship Id="rId320" Type="http://schemas.openxmlformats.org/officeDocument/2006/relationships/hyperlink" Target="https://www.nba.com/stats/team/1610612745/" TargetMode="External"/><Relationship Id="rId558" Type="http://schemas.openxmlformats.org/officeDocument/2006/relationships/hyperlink" Target="https://www.nba.com/stats/team/1610612765/" TargetMode="External"/><Relationship Id="rId765" Type="http://schemas.openxmlformats.org/officeDocument/2006/relationships/hyperlink" Target="https://www.nba.com/stats/player/1641732/" TargetMode="External"/><Relationship Id="rId972" Type="http://schemas.openxmlformats.org/officeDocument/2006/relationships/hyperlink" Target="https://www.nba.com/stats/team/1610612741/" TargetMode="External"/><Relationship Id="rId197" Type="http://schemas.openxmlformats.org/officeDocument/2006/relationships/hyperlink" Target="https://www.nba.com/stats/player/1627741/" TargetMode="External"/><Relationship Id="rId418" Type="http://schemas.openxmlformats.org/officeDocument/2006/relationships/hyperlink" Target="https://www.nba.com/stats/team/1610612757/" TargetMode="External"/><Relationship Id="rId625" Type="http://schemas.openxmlformats.org/officeDocument/2006/relationships/hyperlink" Target="https://www.nba.com/stats/player/1641810/" TargetMode="External"/><Relationship Id="rId832" Type="http://schemas.openxmlformats.org/officeDocument/2006/relationships/hyperlink" Target="https://www.nba.com/stats/team/1610612757/" TargetMode="External"/><Relationship Id="rId1048" Type="http://schemas.openxmlformats.org/officeDocument/2006/relationships/hyperlink" Target="https://www.nba.com/stats/team/1610612765/" TargetMode="External"/><Relationship Id="rId264" Type="http://schemas.openxmlformats.org/officeDocument/2006/relationships/hyperlink" Target="https://www.nba.com/stats/team/1610612749/" TargetMode="External"/><Relationship Id="rId471" Type="http://schemas.openxmlformats.org/officeDocument/2006/relationships/hyperlink" Target="https://www.nba.com/stats/player/203991/" TargetMode="External"/><Relationship Id="rId1115" Type="http://schemas.openxmlformats.org/officeDocument/2006/relationships/hyperlink" Target="https://www.nba.com/stats/player/1641879/" TargetMode="External"/><Relationship Id="rId59" Type="http://schemas.openxmlformats.org/officeDocument/2006/relationships/hyperlink" Target="https://www.nba.com/stats/player/1628969/" TargetMode="External"/><Relationship Id="rId124" Type="http://schemas.openxmlformats.org/officeDocument/2006/relationships/hyperlink" Target="https://www.nba.com/stats/team/1610612763/" TargetMode="External"/><Relationship Id="rId569" Type="http://schemas.openxmlformats.org/officeDocument/2006/relationships/hyperlink" Target="https://www.nba.com/stats/player/1628997/" TargetMode="External"/><Relationship Id="rId776" Type="http://schemas.openxmlformats.org/officeDocument/2006/relationships/hyperlink" Target="https://www.nba.com/stats/team/1610612766/" TargetMode="External"/><Relationship Id="rId983" Type="http://schemas.openxmlformats.org/officeDocument/2006/relationships/hyperlink" Target="https://www.nba.com/stats/player/1631120/" TargetMode="External"/><Relationship Id="rId331" Type="http://schemas.openxmlformats.org/officeDocument/2006/relationships/hyperlink" Target="https://www.nba.com/stats/player/1628960/" TargetMode="External"/><Relationship Id="rId429" Type="http://schemas.openxmlformats.org/officeDocument/2006/relationships/hyperlink" Target="https://www.nba.com/stats/player/1630174/" TargetMode="External"/><Relationship Id="rId636" Type="http://schemas.openxmlformats.org/officeDocument/2006/relationships/hyperlink" Target="https://www.nba.com/stats/team/1610612752/" TargetMode="External"/><Relationship Id="rId1059" Type="http://schemas.openxmlformats.org/officeDocument/2006/relationships/hyperlink" Target="https://www.nba.com/stats/player/1631247/" TargetMode="External"/><Relationship Id="rId843" Type="http://schemas.openxmlformats.org/officeDocument/2006/relationships/hyperlink" Target="https://www.nba.com/stats/player/201988/" TargetMode="External"/><Relationship Id="rId1126" Type="http://schemas.openxmlformats.org/officeDocument/2006/relationships/hyperlink" Target="https://www.nba.com/stats/team/1610612748/" TargetMode="External"/><Relationship Id="rId275" Type="http://schemas.openxmlformats.org/officeDocument/2006/relationships/hyperlink" Target="https://www.nba.com/stats/player/203932/" TargetMode="External"/><Relationship Id="rId482" Type="http://schemas.openxmlformats.org/officeDocument/2006/relationships/hyperlink" Target="https://www.nba.com/stats/team/1610612739/" TargetMode="External"/><Relationship Id="rId703" Type="http://schemas.openxmlformats.org/officeDocument/2006/relationships/hyperlink" Target="https://www.nba.com/stats/player/201599/" TargetMode="External"/><Relationship Id="rId910" Type="http://schemas.openxmlformats.org/officeDocument/2006/relationships/hyperlink" Target="https://www.nba.com/stats/team/1610612764/" TargetMode="External"/><Relationship Id="rId135" Type="http://schemas.openxmlformats.org/officeDocument/2006/relationships/hyperlink" Target="https://www.nba.com/stats/player/1630530/" TargetMode="External"/><Relationship Id="rId342" Type="http://schemas.openxmlformats.org/officeDocument/2006/relationships/hyperlink" Target="https://www.nba.com/stats/team/1610612740/" TargetMode="External"/><Relationship Id="rId787" Type="http://schemas.openxmlformats.org/officeDocument/2006/relationships/hyperlink" Target="https://www.nba.com/stats/player/202687/" TargetMode="External"/><Relationship Id="rId994" Type="http://schemas.openxmlformats.org/officeDocument/2006/relationships/hyperlink" Target="https://www.nba.com/stats/team/1610612748/" TargetMode="External"/><Relationship Id="rId202" Type="http://schemas.openxmlformats.org/officeDocument/2006/relationships/hyperlink" Target="https://www.nba.com/stats/team/1610612756/" TargetMode="External"/><Relationship Id="rId647" Type="http://schemas.openxmlformats.org/officeDocument/2006/relationships/hyperlink" Target="https://www.nba.com/stats/player/1630314/" TargetMode="External"/><Relationship Id="rId854" Type="http://schemas.openxmlformats.org/officeDocument/2006/relationships/hyperlink" Target="https://www.nba.com/stats/team/1610612766/" TargetMode="External"/><Relationship Id="rId286" Type="http://schemas.openxmlformats.org/officeDocument/2006/relationships/hyperlink" Target="https://www.nba.com/stats/team/1610612751/" TargetMode="External"/><Relationship Id="rId493" Type="http://schemas.openxmlformats.org/officeDocument/2006/relationships/hyperlink" Target="https://www.nba.com/stats/player/1630570/" TargetMode="External"/><Relationship Id="rId507" Type="http://schemas.openxmlformats.org/officeDocument/2006/relationships/hyperlink" Target="https://www.nba.com/stats/player/1630643/" TargetMode="External"/><Relationship Id="rId714" Type="http://schemas.openxmlformats.org/officeDocument/2006/relationships/hyperlink" Target="https://www.nba.com/stats/team/1610612743/" TargetMode="External"/><Relationship Id="rId921" Type="http://schemas.openxmlformats.org/officeDocument/2006/relationships/hyperlink" Target="https://www.nba.com/stats/player/1631466/" TargetMode="External"/><Relationship Id="rId1137" Type="http://schemas.openxmlformats.org/officeDocument/2006/relationships/hyperlink" Target="https://www.nba.com/stats/player/1629667/" TargetMode="External"/><Relationship Id="rId50" Type="http://schemas.openxmlformats.org/officeDocument/2006/relationships/hyperlink" Target="https://www.nba.com/stats/team/1610612747/" TargetMode="External"/><Relationship Id="rId146" Type="http://schemas.openxmlformats.org/officeDocument/2006/relationships/hyperlink" Target="https://www.nba.com/stats/team/1610612755/" TargetMode="External"/><Relationship Id="rId353" Type="http://schemas.openxmlformats.org/officeDocument/2006/relationships/hyperlink" Target="https://www.nba.com/stats/player/1628392/" TargetMode="External"/><Relationship Id="rId560" Type="http://schemas.openxmlformats.org/officeDocument/2006/relationships/hyperlink" Target="https://www.nba.com/stats/team/1610612752/" TargetMode="External"/><Relationship Id="rId798" Type="http://schemas.openxmlformats.org/officeDocument/2006/relationships/hyperlink" Target="https://www.nba.com/stats/team/1610612750/" TargetMode="External"/><Relationship Id="rId213" Type="http://schemas.openxmlformats.org/officeDocument/2006/relationships/hyperlink" Target="https://www.nba.com/stats/player/203497/" TargetMode="External"/><Relationship Id="rId420" Type="http://schemas.openxmlformats.org/officeDocument/2006/relationships/hyperlink" Target="https://www.nba.com/stats/team/1610612743/" TargetMode="External"/><Relationship Id="rId658" Type="http://schemas.openxmlformats.org/officeDocument/2006/relationships/hyperlink" Target="https://www.nba.com/stats/team/1610612755/" TargetMode="External"/><Relationship Id="rId865" Type="http://schemas.openxmlformats.org/officeDocument/2006/relationships/hyperlink" Target="https://www.nba.com/stats/player/1628467/" TargetMode="External"/><Relationship Id="rId1050" Type="http://schemas.openxmlformats.org/officeDocument/2006/relationships/hyperlink" Target="https://www.nba.com/stats/team/1610612745/" TargetMode="External"/><Relationship Id="rId297" Type="http://schemas.openxmlformats.org/officeDocument/2006/relationships/hyperlink" Target="https://www.nba.com/stats/player/1630228/" TargetMode="External"/><Relationship Id="rId518" Type="http://schemas.openxmlformats.org/officeDocument/2006/relationships/hyperlink" Target="https://www.nba.com/stats/team/1610612765/" TargetMode="External"/><Relationship Id="rId725" Type="http://schemas.openxmlformats.org/officeDocument/2006/relationships/hyperlink" Target="https://www.nba.com/stats/player/1641854/" TargetMode="External"/><Relationship Id="rId932" Type="http://schemas.openxmlformats.org/officeDocument/2006/relationships/hyperlink" Target="https://www.nba.com/stats/team/1610612761/" TargetMode="External"/><Relationship Id="rId157" Type="http://schemas.openxmlformats.org/officeDocument/2006/relationships/hyperlink" Target="https://www.nba.com/stats/player/1628404/" TargetMode="External"/><Relationship Id="rId364" Type="http://schemas.openxmlformats.org/officeDocument/2006/relationships/hyperlink" Target="https://www.nba.com/stats/team/1610612759/" TargetMode="External"/><Relationship Id="rId1008" Type="http://schemas.openxmlformats.org/officeDocument/2006/relationships/hyperlink" Target="https://www.nba.com/stats/team/1610612766/" TargetMode="External"/><Relationship Id="rId61" Type="http://schemas.openxmlformats.org/officeDocument/2006/relationships/hyperlink" Target="https://www.nba.com/stats/player/1627750/" TargetMode="External"/><Relationship Id="rId571" Type="http://schemas.openxmlformats.org/officeDocument/2006/relationships/hyperlink" Target="https://www.nba.com/stats/player/1642275/" TargetMode="External"/><Relationship Id="rId669" Type="http://schemas.openxmlformats.org/officeDocument/2006/relationships/hyperlink" Target="https://www.nba.com/stats/player/1629626/" TargetMode="External"/><Relationship Id="rId876" Type="http://schemas.openxmlformats.org/officeDocument/2006/relationships/hyperlink" Target="https://www.nba.com/stats/team/1610612751/" TargetMode="External"/><Relationship Id="rId19" Type="http://schemas.openxmlformats.org/officeDocument/2006/relationships/hyperlink" Target="https://www.nba.com/stats/player/201935/" TargetMode="External"/><Relationship Id="rId224" Type="http://schemas.openxmlformats.org/officeDocument/2006/relationships/hyperlink" Target="https://www.nba.com/stats/team/1610612757/" TargetMode="External"/><Relationship Id="rId431" Type="http://schemas.openxmlformats.org/officeDocument/2006/relationships/hyperlink" Target="https://www.nba.com/stats/player/1631260/" TargetMode="External"/><Relationship Id="rId529" Type="http://schemas.openxmlformats.org/officeDocument/2006/relationships/hyperlink" Target="https://www.nba.com/stats/player/1628380/" TargetMode="External"/><Relationship Id="rId736" Type="http://schemas.openxmlformats.org/officeDocument/2006/relationships/hyperlink" Target="https://www.nba.com/stats/team/1610612763/" TargetMode="External"/><Relationship Id="rId1061" Type="http://schemas.openxmlformats.org/officeDocument/2006/relationships/hyperlink" Target="https://www.nba.com/stats/player/1642443/" TargetMode="External"/><Relationship Id="rId168" Type="http://schemas.openxmlformats.org/officeDocument/2006/relationships/hyperlink" Target="https://www.nba.com/stats/team/1610612742/" TargetMode="External"/><Relationship Id="rId943" Type="http://schemas.openxmlformats.org/officeDocument/2006/relationships/hyperlink" Target="https://www.nba.com/stats/player/1630165/" TargetMode="External"/><Relationship Id="rId1019" Type="http://schemas.openxmlformats.org/officeDocument/2006/relationships/hyperlink" Target="https://www.nba.com/stats/player/1628427/" TargetMode="External"/><Relationship Id="rId72" Type="http://schemas.openxmlformats.org/officeDocument/2006/relationships/hyperlink" Target="https://www.nba.com/stats/team/1610612764/" TargetMode="External"/><Relationship Id="rId375" Type="http://schemas.openxmlformats.org/officeDocument/2006/relationships/hyperlink" Target="https://www.nba.com/stats/player/1630560/" TargetMode="External"/><Relationship Id="rId582" Type="http://schemas.openxmlformats.org/officeDocument/2006/relationships/hyperlink" Target="https://www.nba.com/stats/team/1610612744/" TargetMode="External"/><Relationship Id="rId803" Type="http://schemas.openxmlformats.org/officeDocument/2006/relationships/hyperlink" Target="https://www.nba.com/stats/player/1628963/" TargetMode="External"/><Relationship Id="rId3" Type="http://schemas.openxmlformats.org/officeDocument/2006/relationships/hyperlink" Target="https://www.nba.com/stats/player/1630162/" TargetMode="External"/><Relationship Id="rId235" Type="http://schemas.openxmlformats.org/officeDocument/2006/relationships/hyperlink" Target="https://www.nba.com/stats/player/1629018/" TargetMode="External"/><Relationship Id="rId442" Type="http://schemas.openxmlformats.org/officeDocument/2006/relationships/hyperlink" Target="https://www.nba.com/stats/team/1610612763/" TargetMode="External"/><Relationship Id="rId887" Type="http://schemas.openxmlformats.org/officeDocument/2006/relationships/hyperlink" Target="https://www.nba.com/stats/player/1641775/" TargetMode="External"/><Relationship Id="rId1072" Type="http://schemas.openxmlformats.org/officeDocument/2006/relationships/hyperlink" Target="https://www.nba.com/stats/team/1610612756/" TargetMode="External"/><Relationship Id="rId302" Type="http://schemas.openxmlformats.org/officeDocument/2006/relationships/hyperlink" Target="https://www.nba.com/stats/team/1610612760/" TargetMode="External"/><Relationship Id="rId747" Type="http://schemas.openxmlformats.org/officeDocument/2006/relationships/hyperlink" Target="https://www.nba.com/stats/player/1630811/" TargetMode="External"/><Relationship Id="rId954" Type="http://schemas.openxmlformats.org/officeDocument/2006/relationships/hyperlink" Target="https://www.nba.com/stats/team/1610612755/" TargetMode="External"/><Relationship Id="rId83" Type="http://schemas.openxmlformats.org/officeDocument/2006/relationships/hyperlink" Target="https://www.nba.com/stats/player/1627736/" TargetMode="External"/><Relationship Id="rId179" Type="http://schemas.openxmlformats.org/officeDocument/2006/relationships/hyperlink" Target="https://www.nba.com/stats/player/1629640/" TargetMode="External"/><Relationship Id="rId386" Type="http://schemas.openxmlformats.org/officeDocument/2006/relationships/hyperlink" Target="https://www.nba.com/stats/team/1610612764/" TargetMode="External"/><Relationship Id="rId593" Type="http://schemas.openxmlformats.org/officeDocument/2006/relationships/hyperlink" Target="https://www.nba.com/stats/player/1641767/" TargetMode="External"/><Relationship Id="rId607" Type="http://schemas.openxmlformats.org/officeDocument/2006/relationships/hyperlink" Target="https://www.nba.com/stats/player/1629731/" TargetMode="External"/><Relationship Id="rId814" Type="http://schemas.openxmlformats.org/officeDocument/2006/relationships/hyperlink" Target="https://www.nba.com/stats/team/1610612764/" TargetMode="External"/><Relationship Id="rId246" Type="http://schemas.openxmlformats.org/officeDocument/2006/relationships/hyperlink" Target="https://www.nba.com/stats/team/1610612764/" TargetMode="External"/><Relationship Id="rId453" Type="http://schemas.openxmlformats.org/officeDocument/2006/relationships/hyperlink" Target="https://www.nba.com/stats/player/1629611/" TargetMode="External"/><Relationship Id="rId660" Type="http://schemas.openxmlformats.org/officeDocument/2006/relationships/hyperlink" Target="https://www.nba.com/stats/team/1610612756/" TargetMode="External"/><Relationship Id="rId898" Type="http://schemas.openxmlformats.org/officeDocument/2006/relationships/hyperlink" Target="https://www.nba.com/stats/team/1610612764/" TargetMode="External"/><Relationship Id="rId1083" Type="http://schemas.openxmlformats.org/officeDocument/2006/relationships/hyperlink" Target="https://www.nba.com/stats/player/1642450/" TargetMode="External"/><Relationship Id="rId106" Type="http://schemas.openxmlformats.org/officeDocument/2006/relationships/hyperlink" Target="https://www.nba.com/stats/team/1610612738/" TargetMode="External"/><Relationship Id="rId313" Type="http://schemas.openxmlformats.org/officeDocument/2006/relationships/hyperlink" Target="https://www.nba.com/stats/player/1642271/" TargetMode="External"/><Relationship Id="rId758" Type="http://schemas.openxmlformats.org/officeDocument/2006/relationships/hyperlink" Target="https://www.nba.com/stats/team/1610612754/" TargetMode="External"/><Relationship Id="rId965" Type="http://schemas.openxmlformats.org/officeDocument/2006/relationships/hyperlink" Target="https://www.nba.com/stats/player/1631301/" TargetMode="External"/><Relationship Id="rId10" Type="http://schemas.openxmlformats.org/officeDocument/2006/relationships/hyperlink" Target="https://www.nba.com/stats/team/1610612738/" TargetMode="External"/><Relationship Id="rId94" Type="http://schemas.openxmlformats.org/officeDocument/2006/relationships/hyperlink" Target="https://www.nba.com/stats/team/1610612739/" TargetMode="External"/><Relationship Id="rId397" Type="http://schemas.openxmlformats.org/officeDocument/2006/relationships/hyperlink" Target="https://www.nba.com/stats/player/1630631/" TargetMode="External"/><Relationship Id="rId520" Type="http://schemas.openxmlformats.org/officeDocument/2006/relationships/hyperlink" Target="https://www.nba.com/stats/team/1610612754/" TargetMode="External"/><Relationship Id="rId618" Type="http://schemas.openxmlformats.org/officeDocument/2006/relationships/hyperlink" Target="https://www.nba.com/stats/team/1610612757/" TargetMode="External"/><Relationship Id="rId825" Type="http://schemas.openxmlformats.org/officeDocument/2006/relationships/hyperlink" Target="https://www.nba.com/stats/player/1631169/" TargetMode="External"/><Relationship Id="rId257" Type="http://schemas.openxmlformats.org/officeDocument/2006/relationships/hyperlink" Target="https://www.nba.com/stats/player/1627747/" TargetMode="External"/><Relationship Id="rId464" Type="http://schemas.openxmlformats.org/officeDocument/2006/relationships/hyperlink" Target="https://www.nba.com/stats/team/1610612761/" TargetMode="External"/><Relationship Id="rId1010" Type="http://schemas.openxmlformats.org/officeDocument/2006/relationships/hyperlink" Target="https://www.nba.com/stats/team/1610612748/" TargetMode="External"/><Relationship Id="rId1094" Type="http://schemas.openxmlformats.org/officeDocument/2006/relationships/hyperlink" Target="https://www.nba.com/stats/team/1610612757/" TargetMode="External"/><Relationship Id="rId1108" Type="http://schemas.openxmlformats.org/officeDocument/2006/relationships/hyperlink" Target="https://www.nba.com/stats/team/1610612744/" TargetMode="External"/><Relationship Id="rId117" Type="http://schemas.openxmlformats.org/officeDocument/2006/relationships/hyperlink" Target="https://www.nba.com/stats/player/1642264/" TargetMode="External"/><Relationship Id="rId671" Type="http://schemas.openxmlformats.org/officeDocument/2006/relationships/hyperlink" Target="https://www.nba.com/stats/player/1631216/" TargetMode="External"/><Relationship Id="rId769" Type="http://schemas.openxmlformats.org/officeDocument/2006/relationships/hyperlink" Target="https://www.nba.com/stats/player/1631223/" TargetMode="External"/><Relationship Id="rId976" Type="http://schemas.openxmlformats.org/officeDocument/2006/relationships/hyperlink" Target="https://www.nba.com/stats/team/1610612760/" TargetMode="External"/><Relationship Id="rId324" Type="http://schemas.openxmlformats.org/officeDocument/2006/relationships/hyperlink" Target="https://www.nba.com/stats/team/1610612756/" TargetMode="External"/><Relationship Id="rId531" Type="http://schemas.openxmlformats.org/officeDocument/2006/relationships/hyperlink" Target="https://www.nba.com/stats/player/1631218/" TargetMode="External"/><Relationship Id="rId629" Type="http://schemas.openxmlformats.org/officeDocument/2006/relationships/hyperlink" Target="https://www.nba.com/stats/player/203083/" TargetMode="External"/><Relationship Id="rId836" Type="http://schemas.openxmlformats.org/officeDocument/2006/relationships/hyperlink" Target="https://www.nba.com/stats/team/1610612751/" TargetMode="External"/><Relationship Id="rId1021" Type="http://schemas.openxmlformats.org/officeDocument/2006/relationships/hyperlink" Target="https://www.nba.com/stats/player/203109/" TargetMode="External"/><Relationship Id="rId1119" Type="http://schemas.openxmlformats.org/officeDocument/2006/relationships/hyperlink" Target="https://www.nba.com/stats/player/1630227/" TargetMode="External"/><Relationship Id="rId903" Type="http://schemas.openxmlformats.org/officeDocument/2006/relationships/hyperlink" Target="https://www.nba.com/stats/player/1629650/" TargetMode="External"/><Relationship Id="rId32" Type="http://schemas.openxmlformats.org/officeDocument/2006/relationships/hyperlink" Target="https://www.nba.com/stats/team/1610612747/" TargetMode="External"/><Relationship Id="rId181" Type="http://schemas.openxmlformats.org/officeDocument/2006/relationships/hyperlink" Target="https://www.nba.com/stats/player/1641708/" TargetMode="External"/><Relationship Id="rId279" Type="http://schemas.openxmlformats.org/officeDocument/2006/relationships/hyperlink" Target="https://www.nba.com/stats/player/1641764/" TargetMode="External"/><Relationship Id="rId486" Type="http://schemas.openxmlformats.org/officeDocument/2006/relationships/hyperlink" Target="https://www.nba.com/stats/team/1610612754/" TargetMode="External"/><Relationship Id="rId693" Type="http://schemas.openxmlformats.org/officeDocument/2006/relationships/hyperlink" Target="https://www.nba.com/stats/player/1642265/" TargetMode="External"/><Relationship Id="rId139" Type="http://schemas.openxmlformats.org/officeDocument/2006/relationships/hyperlink" Target="https://www.nba.com/stats/player/1628370/" TargetMode="External"/><Relationship Id="rId346" Type="http://schemas.openxmlformats.org/officeDocument/2006/relationships/hyperlink" Target="https://www.nba.com/stats/team/1610612758/" TargetMode="External"/><Relationship Id="rId553" Type="http://schemas.openxmlformats.org/officeDocument/2006/relationships/hyperlink" Target="https://www.nba.com/stats/player/1629637/" TargetMode="External"/><Relationship Id="rId760" Type="http://schemas.openxmlformats.org/officeDocument/2006/relationships/hyperlink" Target="https://www.nba.com/stats/team/1610612747/" TargetMode="External"/><Relationship Id="rId998" Type="http://schemas.openxmlformats.org/officeDocument/2006/relationships/hyperlink" Target="https://www.nba.com/stats/team/1610612743/" TargetMode="External"/><Relationship Id="rId206" Type="http://schemas.openxmlformats.org/officeDocument/2006/relationships/hyperlink" Target="https://www.nba.com/stats/team/1610612757/" TargetMode="External"/><Relationship Id="rId413" Type="http://schemas.openxmlformats.org/officeDocument/2006/relationships/hyperlink" Target="https://www.nba.com/stats/player/1630245/" TargetMode="External"/><Relationship Id="rId858" Type="http://schemas.openxmlformats.org/officeDocument/2006/relationships/hyperlink" Target="https://www.nba.com/stats/team/1610612747/" TargetMode="External"/><Relationship Id="rId1043" Type="http://schemas.openxmlformats.org/officeDocument/2006/relationships/hyperlink" Target="https://www.nba.com/stats/player/1630649/" TargetMode="External"/><Relationship Id="rId620" Type="http://schemas.openxmlformats.org/officeDocument/2006/relationships/hyperlink" Target="https://www.nba.com/stats/team/1610612738/" TargetMode="External"/><Relationship Id="rId718" Type="http://schemas.openxmlformats.org/officeDocument/2006/relationships/hyperlink" Target="https://www.nba.com/stats/team/1610612737/" TargetMode="External"/><Relationship Id="rId925" Type="http://schemas.openxmlformats.org/officeDocument/2006/relationships/hyperlink" Target="https://www.nba.com/stats/player/1628396/" TargetMode="External"/><Relationship Id="rId1110" Type="http://schemas.openxmlformats.org/officeDocument/2006/relationships/hyperlink" Target="https://www.nba.com/stats/team/1610612747/" TargetMode="External"/><Relationship Id="rId54" Type="http://schemas.openxmlformats.org/officeDocument/2006/relationships/hyperlink" Target="https://www.nba.com/stats/team/1610612745/" TargetMode="External"/><Relationship Id="rId270" Type="http://schemas.openxmlformats.org/officeDocument/2006/relationships/hyperlink" Target="https://www.nba.com/stats/team/1610612762/" TargetMode="External"/><Relationship Id="rId130" Type="http://schemas.openxmlformats.org/officeDocument/2006/relationships/hyperlink" Target="https://www.nba.com/stats/team/1610612738/" TargetMode="External"/><Relationship Id="rId368" Type="http://schemas.openxmlformats.org/officeDocument/2006/relationships/hyperlink" Target="https://www.nba.com/stats/team/1610612752/" TargetMode="External"/><Relationship Id="rId575" Type="http://schemas.openxmlformats.org/officeDocument/2006/relationships/hyperlink" Target="https://www.nba.com/stats/player/1642272/" TargetMode="External"/><Relationship Id="rId782" Type="http://schemas.openxmlformats.org/officeDocument/2006/relationships/hyperlink" Target="https://www.nba.com/stats/team/1610612737/" TargetMode="External"/><Relationship Id="rId228" Type="http://schemas.openxmlformats.org/officeDocument/2006/relationships/hyperlink" Target="https://www.nba.com/stats/team/1610612754/" TargetMode="External"/><Relationship Id="rId435" Type="http://schemas.openxmlformats.org/officeDocument/2006/relationships/hyperlink" Target="https://www.nba.com/stats/player/1641783/" TargetMode="External"/><Relationship Id="rId642" Type="http://schemas.openxmlformats.org/officeDocument/2006/relationships/hyperlink" Target="https://www.nba.com/stats/team/1610612746/" TargetMode="External"/><Relationship Id="rId1065" Type="http://schemas.openxmlformats.org/officeDocument/2006/relationships/hyperlink" Target="https://www.nba.com/stats/player/1641801/" TargetMode="External"/><Relationship Id="rId502" Type="http://schemas.openxmlformats.org/officeDocument/2006/relationships/hyperlink" Target="https://www.nba.com/stats/team/1610612755/" TargetMode="External"/><Relationship Id="rId947" Type="http://schemas.openxmlformats.org/officeDocument/2006/relationships/hyperlink" Target="https://www.nba.com/stats/player/1629643/" TargetMode="External"/><Relationship Id="rId1132" Type="http://schemas.openxmlformats.org/officeDocument/2006/relationships/hyperlink" Target="https://www.nba.com/stats/team/1610612758/" TargetMode="External"/><Relationship Id="rId76" Type="http://schemas.openxmlformats.org/officeDocument/2006/relationships/hyperlink" Target="https://www.nba.com/stats/team/1610612754/" TargetMode="External"/><Relationship Id="rId807" Type="http://schemas.openxmlformats.org/officeDocument/2006/relationships/hyperlink" Target="https://www.nba.com/stats/player/1642403/" TargetMode="External"/><Relationship Id="rId292" Type="http://schemas.openxmlformats.org/officeDocument/2006/relationships/hyperlink" Target="https://www.nba.com/stats/team/1610612750/" TargetMode="External"/><Relationship Id="rId597" Type="http://schemas.openxmlformats.org/officeDocument/2006/relationships/hyperlink" Target="https://www.nba.com/stats/player/203486/" TargetMode="External"/><Relationship Id="rId152" Type="http://schemas.openxmlformats.org/officeDocument/2006/relationships/hyperlink" Target="https://www.nba.com/stats/team/1610612737/" TargetMode="External"/><Relationship Id="rId457" Type="http://schemas.openxmlformats.org/officeDocument/2006/relationships/hyperlink" Target="https://www.nba.com/stats/player/1642346/" TargetMode="External"/><Relationship Id="rId1087" Type="http://schemas.openxmlformats.org/officeDocument/2006/relationships/hyperlink" Target="https://www.nba.com/stats/player/1630164/" TargetMode="External"/><Relationship Id="rId664" Type="http://schemas.openxmlformats.org/officeDocument/2006/relationships/hyperlink" Target="https://www.nba.com/stats/team/1610612746/" TargetMode="External"/><Relationship Id="rId871" Type="http://schemas.openxmlformats.org/officeDocument/2006/relationships/hyperlink" Target="https://www.nba.com/stats/player/1641998/" TargetMode="External"/><Relationship Id="rId969" Type="http://schemas.openxmlformats.org/officeDocument/2006/relationships/hyperlink" Target="https://www.nba.com/stats/player/1641734/" TargetMode="External"/><Relationship Id="rId317" Type="http://schemas.openxmlformats.org/officeDocument/2006/relationships/hyperlink" Target="https://www.nba.com/stats/player/1641824/" TargetMode="External"/><Relationship Id="rId524" Type="http://schemas.openxmlformats.org/officeDocument/2006/relationships/hyperlink" Target="https://www.nba.com/stats/team/1610612761/" TargetMode="External"/><Relationship Id="rId731" Type="http://schemas.openxmlformats.org/officeDocument/2006/relationships/hyperlink" Target="https://www.nba.com/stats/player/1630544/" TargetMode="External"/><Relationship Id="rId98" Type="http://schemas.openxmlformats.org/officeDocument/2006/relationships/hyperlink" Target="https://www.nba.com/stats/team/1610612766/" TargetMode="External"/><Relationship Id="rId829" Type="http://schemas.openxmlformats.org/officeDocument/2006/relationships/hyperlink" Target="https://www.nba.com/stats/player/203939/" TargetMode="External"/><Relationship Id="rId1014" Type="http://schemas.openxmlformats.org/officeDocument/2006/relationships/hyperlink" Target="https://www.nba.com/stats/team/1610612737/" TargetMode="External"/><Relationship Id="rId25" Type="http://schemas.openxmlformats.org/officeDocument/2006/relationships/hyperlink" Target="https://www.nba.com/stats/player/1630224/" TargetMode="External"/><Relationship Id="rId174" Type="http://schemas.openxmlformats.org/officeDocument/2006/relationships/hyperlink" Target="https://www.nba.com/stats/team/1610612743/" TargetMode="External"/><Relationship Id="rId381" Type="http://schemas.openxmlformats.org/officeDocument/2006/relationships/hyperlink" Target="https://www.nba.com/stats/player/1642276/" TargetMode="External"/><Relationship Id="rId241" Type="http://schemas.openxmlformats.org/officeDocument/2006/relationships/hyperlink" Target="https://www.nba.com/stats/player/1630583/" TargetMode="External"/><Relationship Id="rId479" Type="http://schemas.openxmlformats.org/officeDocument/2006/relationships/hyperlink" Target="https://www.nba.com/stats/player/1627739/" TargetMode="External"/><Relationship Id="rId686" Type="http://schemas.openxmlformats.org/officeDocument/2006/relationships/hyperlink" Target="https://www.nba.com/stats/team/1610612745/" TargetMode="External"/><Relationship Id="rId893" Type="http://schemas.openxmlformats.org/officeDocument/2006/relationships/hyperlink" Target="https://www.nba.com/stats/player/1631098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stats/player/1642261/" TargetMode="External"/><Relationship Id="rId13" Type="http://schemas.openxmlformats.org/officeDocument/2006/relationships/hyperlink" Target="https://www.nba.com/stats/player/1630692/" TargetMode="External"/><Relationship Id="rId18" Type="http://schemas.openxmlformats.org/officeDocument/2006/relationships/hyperlink" Target="https://www.nba.com/stats/player/1642439/" TargetMode="External"/><Relationship Id="rId3" Type="http://schemas.openxmlformats.org/officeDocument/2006/relationships/hyperlink" Target="https://www.nba.com/stats/player/1642422/" TargetMode="External"/><Relationship Id="rId21" Type="http://schemas.openxmlformats.org/officeDocument/2006/relationships/hyperlink" Target="https://www.nba.com/stats/player/1641998/" TargetMode="External"/><Relationship Id="rId7" Type="http://schemas.openxmlformats.org/officeDocument/2006/relationships/hyperlink" Target="https://www.nba.com/stats/player/1631132/" TargetMode="External"/><Relationship Id="rId12" Type="http://schemas.openxmlformats.org/officeDocument/2006/relationships/hyperlink" Target="https://www.nba.com/stats/player/1629637/" TargetMode="External"/><Relationship Id="rId17" Type="http://schemas.openxmlformats.org/officeDocument/2006/relationships/hyperlink" Target="https://www.nba.com/stats/player/1628467/" TargetMode="External"/><Relationship Id="rId2" Type="http://schemas.openxmlformats.org/officeDocument/2006/relationships/hyperlink" Target="https://www.nba.com/stats/player/203458/" TargetMode="External"/><Relationship Id="rId16" Type="http://schemas.openxmlformats.org/officeDocument/2006/relationships/hyperlink" Target="https://www.nba.com/stats/player/202693/" TargetMode="External"/><Relationship Id="rId20" Type="http://schemas.openxmlformats.org/officeDocument/2006/relationships/hyperlink" Target="https://www.nba.com/stats/player/1629003/" TargetMode="External"/><Relationship Id="rId1" Type="http://schemas.openxmlformats.org/officeDocument/2006/relationships/pivotTable" Target="../pivotTables/pivotTable1.xml"/><Relationship Id="rId6" Type="http://schemas.openxmlformats.org/officeDocument/2006/relationships/hyperlink" Target="https://www.nba.com/stats/player/1629629/" TargetMode="External"/><Relationship Id="rId11" Type="http://schemas.openxmlformats.org/officeDocument/2006/relationships/hyperlink" Target="https://www.nba.com/stats/player/1629020/" TargetMode="External"/><Relationship Id="rId5" Type="http://schemas.openxmlformats.org/officeDocument/2006/relationships/hyperlink" Target="https://www.nba.com/stats/player/1642355/" TargetMode="External"/><Relationship Id="rId15" Type="http://schemas.openxmlformats.org/officeDocument/2006/relationships/hyperlink" Target="https://www.nba.com/stats/player/1629029/" TargetMode="External"/><Relationship Id="rId10" Type="http://schemas.openxmlformats.org/officeDocument/2006/relationships/hyperlink" Target="https://www.nba.com/stats/player/1629216/" TargetMode="External"/><Relationship Id="rId19" Type="http://schemas.openxmlformats.org/officeDocument/2006/relationships/hyperlink" Target="https://www.nba.com/stats/player/1629060/" TargetMode="External"/><Relationship Id="rId4" Type="http://schemas.openxmlformats.org/officeDocument/2006/relationships/hyperlink" Target="https://www.nba.com/stats/player/1630559/" TargetMode="External"/><Relationship Id="rId9" Type="http://schemas.openxmlformats.org/officeDocument/2006/relationships/hyperlink" Target="https://www.nba.com/stats/player/1627827/" TargetMode="External"/><Relationship Id="rId14" Type="http://schemas.openxmlformats.org/officeDocument/2006/relationships/hyperlink" Target="https://www.nba.com/stats/player/2544/" TargetMode="External"/><Relationship Id="rId22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R571"/>
  <sheetViews>
    <sheetView tabSelected="1" workbookViewId="0">
      <selection activeCell="E2" sqref="E2"/>
    </sheetView>
  </sheetViews>
  <sheetFormatPr baseColWidth="10" defaultColWidth="12.6640625" defaultRowHeight="15.75" customHeight="1"/>
  <cols>
    <col min="1" max="1" width="18" customWidth="1"/>
    <col min="2" max="2" width="6.33203125" customWidth="1"/>
    <col min="3" max="70" width="6.5" customWidth="1"/>
  </cols>
  <sheetData>
    <row r="1" spans="1:70" ht="15.75" customHeight="1">
      <c r="A1" s="1">
        <v>1</v>
      </c>
      <c r="B1" s="2">
        <f t="shared" ref="B1:BA1" si="0">A1+1</f>
        <v>2</v>
      </c>
      <c r="C1" s="2">
        <f t="shared" si="0"/>
        <v>3</v>
      </c>
      <c r="D1" s="2">
        <f t="shared" si="0"/>
        <v>4</v>
      </c>
      <c r="E1" s="2">
        <f t="shared" si="0"/>
        <v>5</v>
      </c>
      <c r="F1" s="2">
        <f t="shared" si="0"/>
        <v>6</v>
      </c>
      <c r="G1" s="2">
        <f t="shared" si="0"/>
        <v>7</v>
      </c>
      <c r="H1" s="2">
        <f t="shared" si="0"/>
        <v>8</v>
      </c>
      <c r="I1" s="2">
        <f t="shared" si="0"/>
        <v>9</v>
      </c>
      <c r="J1" s="2">
        <f t="shared" si="0"/>
        <v>10</v>
      </c>
      <c r="K1" s="2">
        <f t="shared" si="0"/>
        <v>11</v>
      </c>
      <c r="L1" s="2">
        <f t="shared" si="0"/>
        <v>12</v>
      </c>
      <c r="M1" s="2">
        <f t="shared" si="0"/>
        <v>13</v>
      </c>
      <c r="N1" s="2">
        <f t="shared" si="0"/>
        <v>14</v>
      </c>
      <c r="O1" s="2">
        <f t="shared" si="0"/>
        <v>15</v>
      </c>
      <c r="P1" s="2">
        <f t="shared" si="0"/>
        <v>16</v>
      </c>
      <c r="Q1" s="2">
        <f t="shared" si="0"/>
        <v>17</v>
      </c>
      <c r="R1" s="2">
        <f t="shared" si="0"/>
        <v>18</v>
      </c>
      <c r="S1" s="2">
        <f t="shared" si="0"/>
        <v>19</v>
      </c>
      <c r="T1" s="2">
        <f t="shared" si="0"/>
        <v>20</v>
      </c>
      <c r="U1" s="2">
        <f t="shared" si="0"/>
        <v>21</v>
      </c>
      <c r="V1" s="2">
        <f t="shared" si="0"/>
        <v>22</v>
      </c>
      <c r="W1" s="2">
        <f t="shared" si="0"/>
        <v>23</v>
      </c>
      <c r="X1" s="2">
        <f t="shared" si="0"/>
        <v>24</v>
      </c>
      <c r="Y1" s="2">
        <f t="shared" si="0"/>
        <v>25</v>
      </c>
      <c r="Z1" s="2">
        <f t="shared" si="0"/>
        <v>26</v>
      </c>
      <c r="AA1" s="2">
        <f t="shared" si="0"/>
        <v>27</v>
      </c>
      <c r="AB1" s="2">
        <f t="shared" si="0"/>
        <v>28</v>
      </c>
      <c r="AC1" s="2">
        <f t="shared" si="0"/>
        <v>29</v>
      </c>
      <c r="AD1" s="2">
        <f t="shared" si="0"/>
        <v>30</v>
      </c>
      <c r="AE1" s="2">
        <f t="shared" si="0"/>
        <v>31</v>
      </c>
      <c r="AF1" s="2">
        <f t="shared" si="0"/>
        <v>32</v>
      </c>
      <c r="AG1" s="2">
        <f t="shared" si="0"/>
        <v>33</v>
      </c>
      <c r="AH1" s="2">
        <f t="shared" si="0"/>
        <v>34</v>
      </c>
      <c r="AI1" s="2">
        <f t="shared" si="0"/>
        <v>35</v>
      </c>
      <c r="AJ1" s="2">
        <f t="shared" si="0"/>
        <v>36</v>
      </c>
      <c r="AK1" s="2">
        <f t="shared" si="0"/>
        <v>37</v>
      </c>
      <c r="AL1" s="2">
        <f t="shared" si="0"/>
        <v>38</v>
      </c>
      <c r="AM1" s="2">
        <f t="shared" si="0"/>
        <v>39</v>
      </c>
      <c r="AN1" s="2">
        <f t="shared" si="0"/>
        <v>40</v>
      </c>
      <c r="AO1" s="2">
        <f t="shared" si="0"/>
        <v>41</v>
      </c>
      <c r="AP1" s="2">
        <f t="shared" si="0"/>
        <v>42</v>
      </c>
      <c r="AQ1" s="2">
        <f t="shared" si="0"/>
        <v>43</v>
      </c>
      <c r="AR1" s="2">
        <f t="shared" si="0"/>
        <v>44</v>
      </c>
      <c r="AS1" s="2">
        <f t="shared" si="0"/>
        <v>45</v>
      </c>
      <c r="AT1" s="2">
        <f t="shared" si="0"/>
        <v>46</v>
      </c>
      <c r="AU1" s="2">
        <f t="shared" si="0"/>
        <v>47</v>
      </c>
      <c r="AV1" s="2">
        <f t="shared" si="0"/>
        <v>48</v>
      </c>
      <c r="AW1" s="2">
        <f t="shared" si="0"/>
        <v>49</v>
      </c>
      <c r="AX1" s="2">
        <f t="shared" si="0"/>
        <v>50</v>
      </c>
      <c r="AY1" s="2">
        <f t="shared" si="0"/>
        <v>51</v>
      </c>
      <c r="AZ1" s="2">
        <f t="shared" si="0"/>
        <v>52</v>
      </c>
      <c r="BA1" s="2">
        <f t="shared" si="0"/>
        <v>53</v>
      </c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4"/>
    </row>
    <row r="2" spans="1:70" ht="15.75" customHeight="1">
      <c r="A2" s="1" t="s">
        <v>0</v>
      </c>
      <c r="B2" s="2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5">
        <v>0.625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3" t="s">
        <v>22</v>
      </c>
      <c r="Y2" s="3" t="s">
        <v>23</v>
      </c>
      <c r="Z2" s="3" t="s">
        <v>24</v>
      </c>
      <c r="AA2" s="3" t="s">
        <v>25</v>
      </c>
      <c r="AB2" s="3" t="s">
        <v>26</v>
      </c>
      <c r="AC2" s="4" t="str">
        <f>"+/-"</f>
        <v>+/-</v>
      </c>
      <c r="AD2" s="4" t="s">
        <v>27</v>
      </c>
      <c r="AE2" s="4" t="s">
        <v>28</v>
      </c>
      <c r="AF2" s="4" t="s">
        <v>29</v>
      </c>
      <c r="AG2" s="4" t="s">
        <v>30</v>
      </c>
      <c r="AH2" s="4" t="s">
        <v>31</v>
      </c>
      <c r="AI2" s="4" t="s">
        <v>32</v>
      </c>
      <c r="AJ2" s="4" t="s">
        <v>33</v>
      </c>
      <c r="AK2" s="4" t="s">
        <v>34</v>
      </c>
      <c r="AL2" s="4" t="s">
        <v>35</v>
      </c>
      <c r="AM2" s="4" t="s">
        <v>36</v>
      </c>
      <c r="AN2" s="4" t="s">
        <v>37</v>
      </c>
      <c r="AO2" s="4" t="s">
        <v>38</v>
      </c>
      <c r="AP2" s="4" t="s">
        <v>39</v>
      </c>
      <c r="AQ2" s="4" t="s">
        <v>40</v>
      </c>
      <c r="AR2" s="4" t="s">
        <v>41</v>
      </c>
      <c r="AS2" s="4" t="s">
        <v>42</v>
      </c>
      <c r="AT2" s="3"/>
      <c r="AU2" s="3"/>
      <c r="AV2" s="3"/>
      <c r="AW2" s="3"/>
      <c r="AX2" s="3"/>
      <c r="AY2" s="5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4"/>
    </row>
    <row r="3" spans="1:70" ht="15.75" customHeight="1">
      <c r="A3" s="6" t="s">
        <v>43</v>
      </c>
      <c r="B3" s="6" t="s">
        <v>44</v>
      </c>
      <c r="C3" s="7">
        <v>26</v>
      </c>
      <c r="D3" s="7">
        <v>76</v>
      </c>
      <c r="E3" s="7">
        <v>63</v>
      </c>
      <c r="F3" s="7">
        <v>13</v>
      </c>
      <c r="G3" s="7">
        <v>34.200000000000003</v>
      </c>
      <c r="H3" s="8">
        <v>2485</v>
      </c>
      <c r="I3" s="9">
        <v>859</v>
      </c>
      <c r="J3" s="9">
        <v>1657</v>
      </c>
      <c r="K3" s="8">
        <v>51.9</v>
      </c>
      <c r="L3" s="9">
        <v>160</v>
      </c>
      <c r="M3" s="9">
        <v>433</v>
      </c>
      <c r="N3" s="8">
        <v>37.5</v>
      </c>
      <c r="O3" s="8">
        <v>600</v>
      </c>
      <c r="P3" s="8">
        <v>669</v>
      </c>
      <c r="Q3" s="8">
        <v>89.8</v>
      </c>
      <c r="R3" s="9">
        <v>68</v>
      </c>
      <c r="S3" s="9">
        <v>312</v>
      </c>
      <c r="T3" s="9">
        <v>380</v>
      </c>
      <c r="U3" s="9">
        <v>486</v>
      </c>
      <c r="V3" s="9">
        <v>182</v>
      </c>
      <c r="W3" s="9">
        <v>129</v>
      </c>
      <c r="X3" s="9">
        <v>76</v>
      </c>
      <c r="Y3" s="9">
        <v>167</v>
      </c>
      <c r="Z3" s="8">
        <v>4112</v>
      </c>
      <c r="AA3" s="8">
        <v>6</v>
      </c>
      <c r="AB3" s="8">
        <v>0</v>
      </c>
      <c r="AC3" s="7">
        <v>12.1</v>
      </c>
      <c r="AD3" s="7">
        <v>122.4</v>
      </c>
      <c r="AE3" s="7">
        <v>105.7</v>
      </c>
      <c r="AF3" s="7">
        <v>16.7</v>
      </c>
      <c r="AG3" s="7">
        <v>29.9</v>
      </c>
      <c r="AH3" s="7">
        <v>2.66</v>
      </c>
      <c r="AI3" s="7">
        <v>18.7</v>
      </c>
      <c r="AJ3" s="7">
        <v>2.5</v>
      </c>
      <c r="AK3" s="7">
        <v>11.2</v>
      </c>
      <c r="AL3" s="7">
        <v>6.9</v>
      </c>
      <c r="AM3" s="7">
        <v>7</v>
      </c>
      <c r="AN3" s="7">
        <v>56.9</v>
      </c>
      <c r="AO3" s="7">
        <v>63.7</v>
      </c>
      <c r="AP3" s="7">
        <v>33.6</v>
      </c>
      <c r="AQ3" s="7">
        <v>101.91</v>
      </c>
      <c r="AR3" s="7">
        <v>19.899999999999999</v>
      </c>
      <c r="AS3" s="7">
        <v>5514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1"/>
    </row>
    <row r="4" spans="1:70" ht="15.75" customHeight="1">
      <c r="A4" s="6" t="s">
        <v>45</v>
      </c>
      <c r="B4" s="6" t="s">
        <v>46</v>
      </c>
      <c r="C4" s="7">
        <v>23</v>
      </c>
      <c r="D4" s="7">
        <v>79</v>
      </c>
      <c r="E4" s="7">
        <v>48</v>
      </c>
      <c r="F4" s="7">
        <v>31</v>
      </c>
      <c r="G4" s="7">
        <v>36.299999999999997</v>
      </c>
      <c r="H4" s="8">
        <v>2180</v>
      </c>
      <c r="I4" s="9">
        <v>719</v>
      </c>
      <c r="J4" s="9">
        <v>1612</v>
      </c>
      <c r="K4" s="8">
        <v>44.7</v>
      </c>
      <c r="L4" s="9">
        <v>324</v>
      </c>
      <c r="M4" s="9">
        <v>814</v>
      </c>
      <c r="N4" s="8">
        <v>39.5</v>
      </c>
      <c r="O4" s="8">
        <v>419</v>
      </c>
      <c r="P4" s="8">
        <v>498</v>
      </c>
      <c r="Q4" s="8">
        <v>83.7</v>
      </c>
      <c r="R4" s="9">
        <v>63</v>
      </c>
      <c r="S4" s="9">
        <v>387</v>
      </c>
      <c r="T4" s="9">
        <v>450</v>
      </c>
      <c r="U4" s="9">
        <v>356</v>
      </c>
      <c r="V4" s="9">
        <v>253</v>
      </c>
      <c r="W4" s="9">
        <v>95</v>
      </c>
      <c r="X4" s="9">
        <v>47</v>
      </c>
      <c r="Y4" s="9">
        <v>150</v>
      </c>
      <c r="Z4" s="8">
        <v>3429</v>
      </c>
      <c r="AA4" s="8">
        <v>7</v>
      </c>
      <c r="AB4" s="8">
        <v>0</v>
      </c>
      <c r="AC4" s="7">
        <v>3.7</v>
      </c>
      <c r="AD4" s="7">
        <v>116.2</v>
      </c>
      <c r="AE4" s="7">
        <v>111.4</v>
      </c>
      <c r="AF4" s="7">
        <v>4.8</v>
      </c>
      <c r="AG4" s="7">
        <v>20.9</v>
      </c>
      <c r="AH4" s="7">
        <v>1.44</v>
      </c>
      <c r="AI4" s="7">
        <v>14.8</v>
      </c>
      <c r="AJ4" s="7">
        <v>2.1</v>
      </c>
      <c r="AK4" s="7">
        <v>13.1</v>
      </c>
      <c r="AL4" s="7">
        <v>7.7</v>
      </c>
      <c r="AM4" s="7">
        <v>10.3</v>
      </c>
      <c r="AN4" s="7">
        <v>54.7</v>
      </c>
      <c r="AO4" s="7">
        <v>59.5</v>
      </c>
      <c r="AP4" s="7">
        <v>30.7</v>
      </c>
      <c r="AQ4" s="7">
        <v>98.27</v>
      </c>
      <c r="AR4" s="7">
        <v>14</v>
      </c>
      <c r="AS4" s="7">
        <v>5883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1"/>
    </row>
    <row r="5" spans="1:70" ht="15.75" customHeight="1">
      <c r="A5" s="6" t="s">
        <v>47</v>
      </c>
      <c r="B5" s="6" t="s">
        <v>48</v>
      </c>
      <c r="C5" s="7">
        <v>30</v>
      </c>
      <c r="D5" s="7">
        <v>70</v>
      </c>
      <c r="E5" s="7">
        <v>46</v>
      </c>
      <c r="F5" s="7">
        <v>24</v>
      </c>
      <c r="G5" s="7">
        <v>36.700000000000003</v>
      </c>
      <c r="H5" s="8">
        <v>2072</v>
      </c>
      <c r="I5" s="9">
        <v>784</v>
      </c>
      <c r="J5" s="9">
        <v>1365</v>
      </c>
      <c r="K5" s="8">
        <v>57.6</v>
      </c>
      <c r="L5" s="9">
        <v>140</v>
      </c>
      <c r="M5" s="9">
        <v>329</v>
      </c>
      <c r="N5" s="8">
        <v>41.7</v>
      </c>
      <c r="O5" s="8">
        <v>364</v>
      </c>
      <c r="P5" s="8">
        <v>448</v>
      </c>
      <c r="Q5" s="8">
        <v>80</v>
      </c>
      <c r="R5" s="9">
        <v>203</v>
      </c>
      <c r="S5" s="9">
        <v>693</v>
      </c>
      <c r="T5" s="9">
        <v>889</v>
      </c>
      <c r="U5" s="9">
        <v>714</v>
      </c>
      <c r="V5" s="9">
        <v>231</v>
      </c>
      <c r="W5" s="9">
        <v>126</v>
      </c>
      <c r="X5" s="9">
        <v>42</v>
      </c>
      <c r="Y5" s="9">
        <v>161</v>
      </c>
      <c r="Z5" s="8">
        <v>4501</v>
      </c>
      <c r="AA5" s="8">
        <v>59</v>
      </c>
      <c r="AB5" s="8">
        <v>34</v>
      </c>
      <c r="AC5" s="7">
        <v>8.5</v>
      </c>
      <c r="AD5" s="7">
        <v>125.6</v>
      </c>
      <c r="AE5" s="7">
        <v>115.1</v>
      </c>
      <c r="AF5" s="7">
        <v>10.5</v>
      </c>
      <c r="AG5" s="7">
        <v>39.799999999999997</v>
      </c>
      <c r="AH5" s="7">
        <v>3.11</v>
      </c>
      <c r="AI5" s="7">
        <v>28.7</v>
      </c>
      <c r="AJ5" s="7">
        <v>8.3000000000000007</v>
      </c>
      <c r="AK5" s="7">
        <v>25.2</v>
      </c>
      <c r="AL5" s="7">
        <v>17.3</v>
      </c>
      <c r="AM5" s="7">
        <v>9.1999999999999993</v>
      </c>
      <c r="AN5" s="7">
        <v>62.7</v>
      </c>
      <c r="AO5" s="7">
        <v>66.3</v>
      </c>
      <c r="AP5" s="7">
        <v>28.5</v>
      </c>
      <c r="AQ5" s="7">
        <v>101.99</v>
      </c>
      <c r="AR5" s="7">
        <v>20.6</v>
      </c>
      <c r="AS5" s="7">
        <v>5471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1"/>
    </row>
    <row r="6" spans="1:70" ht="15.75" customHeight="1">
      <c r="A6" s="6" t="s">
        <v>49</v>
      </c>
      <c r="B6" s="6" t="s">
        <v>50</v>
      </c>
      <c r="C6" s="7">
        <v>30</v>
      </c>
      <c r="D6" s="7">
        <v>67</v>
      </c>
      <c r="E6" s="7">
        <v>40</v>
      </c>
      <c r="F6" s="7">
        <v>27</v>
      </c>
      <c r="G6" s="7">
        <v>34.200000000000003</v>
      </c>
      <c r="H6" s="8">
        <v>2037</v>
      </c>
      <c r="I6" s="9">
        <v>791</v>
      </c>
      <c r="J6" s="9">
        <v>1320</v>
      </c>
      <c r="K6" s="8">
        <v>60.1</v>
      </c>
      <c r="L6" s="9">
        <v>13</v>
      </c>
      <c r="M6" s="9">
        <v>60</v>
      </c>
      <c r="N6" s="8">
        <v>22.2</v>
      </c>
      <c r="O6" s="8">
        <v>436</v>
      </c>
      <c r="P6" s="8">
        <v>710</v>
      </c>
      <c r="Q6" s="8">
        <v>61.7</v>
      </c>
      <c r="R6" s="9">
        <v>147</v>
      </c>
      <c r="S6" s="9">
        <v>650</v>
      </c>
      <c r="T6" s="9">
        <v>797</v>
      </c>
      <c r="U6" s="9">
        <v>436</v>
      </c>
      <c r="V6" s="9">
        <v>208</v>
      </c>
      <c r="W6" s="9">
        <v>60</v>
      </c>
      <c r="X6" s="9">
        <v>80</v>
      </c>
      <c r="Y6" s="9">
        <v>154</v>
      </c>
      <c r="Z6" s="8">
        <v>3846</v>
      </c>
      <c r="AA6" s="8">
        <v>55</v>
      </c>
      <c r="AB6" s="8">
        <v>11</v>
      </c>
      <c r="AC6" s="7">
        <v>5</v>
      </c>
      <c r="AD6" s="7">
        <v>118.9</v>
      </c>
      <c r="AE6" s="7">
        <v>111.7</v>
      </c>
      <c r="AF6" s="7">
        <v>7.2</v>
      </c>
      <c r="AG6" s="7">
        <v>33.9</v>
      </c>
      <c r="AH6" s="7">
        <v>2.1</v>
      </c>
      <c r="AI6" s="7">
        <v>19.2</v>
      </c>
      <c r="AJ6" s="7">
        <v>6.7</v>
      </c>
      <c r="AK6" s="7">
        <v>26.6</v>
      </c>
      <c r="AL6" s="7">
        <v>17.2</v>
      </c>
      <c r="AM6" s="7">
        <v>9.1</v>
      </c>
      <c r="AN6" s="7">
        <v>60.7</v>
      </c>
      <c r="AO6" s="7">
        <v>62.5</v>
      </c>
      <c r="AP6" s="7">
        <v>34.6</v>
      </c>
      <c r="AQ6" s="7">
        <v>100.18</v>
      </c>
      <c r="AR6" s="7">
        <v>21</v>
      </c>
      <c r="AS6" s="7">
        <v>4772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1"/>
    </row>
    <row r="7" spans="1:70" ht="15.75" customHeight="1">
      <c r="A7" s="6" t="s">
        <v>51</v>
      </c>
      <c r="B7" s="6" t="s">
        <v>52</v>
      </c>
      <c r="C7" s="7">
        <v>27</v>
      </c>
      <c r="D7" s="7">
        <v>72</v>
      </c>
      <c r="E7" s="7">
        <v>53</v>
      </c>
      <c r="F7" s="7">
        <v>19</v>
      </c>
      <c r="G7" s="7">
        <v>36.4</v>
      </c>
      <c r="H7" s="8">
        <v>1930</v>
      </c>
      <c r="I7" s="9">
        <v>662</v>
      </c>
      <c r="J7" s="9">
        <v>1462</v>
      </c>
      <c r="K7" s="8">
        <v>45.2</v>
      </c>
      <c r="L7" s="9">
        <v>252</v>
      </c>
      <c r="M7" s="9">
        <v>727</v>
      </c>
      <c r="N7" s="8">
        <v>34.299999999999997</v>
      </c>
      <c r="O7" s="8">
        <v>360</v>
      </c>
      <c r="P7" s="8">
        <v>439</v>
      </c>
      <c r="Q7" s="8">
        <v>81.400000000000006</v>
      </c>
      <c r="R7" s="9">
        <v>50</v>
      </c>
      <c r="S7" s="9">
        <v>576</v>
      </c>
      <c r="T7" s="9">
        <v>626</v>
      </c>
      <c r="U7" s="9">
        <v>432</v>
      </c>
      <c r="V7" s="9">
        <v>209</v>
      </c>
      <c r="W7" s="9">
        <v>79</v>
      </c>
      <c r="X7" s="9">
        <v>36</v>
      </c>
      <c r="Y7" s="9">
        <v>158</v>
      </c>
      <c r="Z7" s="8">
        <v>3456</v>
      </c>
      <c r="AA7" s="8">
        <v>31</v>
      </c>
      <c r="AB7" s="8">
        <v>2</v>
      </c>
      <c r="AC7" s="7">
        <v>7.4</v>
      </c>
      <c r="AD7" s="7">
        <v>119.6</v>
      </c>
      <c r="AE7" s="7">
        <v>109.8</v>
      </c>
      <c r="AF7" s="7">
        <v>9.8000000000000007</v>
      </c>
      <c r="AG7" s="7">
        <v>26.6</v>
      </c>
      <c r="AH7" s="7">
        <v>2.6</v>
      </c>
      <c r="AI7" s="7">
        <v>18.899999999999999</v>
      </c>
      <c r="AJ7" s="7">
        <v>1.7</v>
      </c>
      <c r="AK7" s="7">
        <v>20.6</v>
      </c>
      <c r="AL7" s="7">
        <v>11.2</v>
      </c>
      <c r="AM7" s="7">
        <v>9.1999999999999993</v>
      </c>
      <c r="AN7" s="7">
        <v>53.7</v>
      </c>
      <c r="AO7" s="7">
        <v>58.2</v>
      </c>
      <c r="AP7" s="7">
        <v>30.1</v>
      </c>
      <c r="AQ7" s="7">
        <v>98.14</v>
      </c>
      <c r="AR7" s="7">
        <v>15.8</v>
      </c>
      <c r="AS7" s="7">
        <v>5368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1"/>
    </row>
    <row r="8" spans="1:70" ht="15.75" customHeight="1">
      <c r="A8" s="12" t="s">
        <v>53</v>
      </c>
      <c r="B8" s="6" t="s">
        <v>54</v>
      </c>
      <c r="C8" s="7">
        <v>28</v>
      </c>
      <c r="D8" s="7">
        <v>75</v>
      </c>
      <c r="E8" s="7">
        <v>35</v>
      </c>
      <c r="F8" s="7">
        <v>40</v>
      </c>
      <c r="G8" s="7">
        <v>37.299999999999997</v>
      </c>
      <c r="H8" s="8">
        <v>1920</v>
      </c>
      <c r="I8" s="9">
        <v>653</v>
      </c>
      <c r="J8" s="9">
        <v>1418</v>
      </c>
      <c r="K8" s="8">
        <v>46.1</v>
      </c>
      <c r="L8" s="9">
        <v>180</v>
      </c>
      <c r="M8" s="9">
        <v>548</v>
      </c>
      <c r="N8" s="8">
        <v>33.200000000000003</v>
      </c>
      <c r="O8" s="8">
        <v>435</v>
      </c>
      <c r="P8" s="8">
        <v>480</v>
      </c>
      <c r="Q8" s="8">
        <v>89.4</v>
      </c>
      <c r="R8" s="9">
        <v>75</v>
      </c>
      <c r="S8" s="9">
        <v>233</v>
      </c>
      <c r="T8" s="9">
        <v>308</v>
      </c>
      <c r="U8" s="9">
        <v>533</v>
      </c>
      <c r="V8" s="9">
        <v>218</v>
      </c>
      <c r="W8" s="9">
        <v>68</v>
      </c>
      <c r="X8" s="9">
        <v>15</v>
      </c>
      <c r="Y8" s="9">
        <v>195</v>
      </c>
      <c r="Z8" s="8">
        <v>3113</v>
      </c>
      <c r="AA8" s="8">
        <v>16</v>
      </c>
      <c r="AB8" s="8">
        <v>0</v>
      </c>
      <c r="AC8" s="7">
        <v>-2.4</v>
      </c>
      <c r="AD8" s="7">
        <v>115.3</v>
      </c>
      <c r="AE8" s="7">
        <v>118.5</v>
      </c>
      <c r="AF8" s="7">
        <v>-3.2</v>
      </c>
      <c r="AG8" s="7">
        <v>30.1</v>
      </c>
      <c r="AH8" s="7">
        <v>2.4</v>
      </c>
      <c r="AI8" s="7">
        <v>22.4</v>
      </c>
      <c r="AJ8" s="7">
        <v>2.8</v>
      </c>
      <c r="AK8" s="7">
        <v>8</v>
      </c>
      <c r="AL8" s="7">
        <v>5.5</v>
      </c>
      <c r="AM8" s="7">
        <v>9.3000000000000007</v>
      </c>
      <c r="AN8" s="7">
        <v>52.5</v>
      </c>
      <c r="AO8" s="7">
        <v>58.9</v>
      </c>
      <c r="AP8" s="7">
        <v>28.5</v>
      </c>
      <c r="AQ8" s="7">
        <v>98.72</v>
      </c>
      <c r="AR8" s="7">
        <v>12.2</v>
      </c>
      <c r="AS8" s="7">
        <v>5752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1"/>
    </row>
    <row r="9" spans="1:70" ht="15.75" customHeight="1">
      <c r="A9" s="6" t="s">
        <v>55</v>
      </c>
      <c r="B9" s="6" t="s">
        <v>56</v>
      </c>
      <c r="C9" s="7">
        <v>25</v>
      </c>
      <c r="D9" s="7">
        <v>77</v>
      </c>
      <c r="E9" s="7">
        <v>37</v>
      </c>
      <c r="F9" s="7">
        <v>40</v>
      </c>
      <c r="G9" s="7">
        <v>35.4</v>
      </c>
      <c r="H9" s="8">
        <v>1840</v>
      </c>
      <c r="I9" s="9">
        <v>655</v>
      </c>
      <c r="J9" s="9">
        <v>1378</v>
      </c>
      <c r="K9" s="8">
        <v>47.2</v>
      </c>
      <c r="L9" s="9">
        <v>254</v>
      </c>
      <c r="M9" s="9">
        <v>670</v>
      </c>
      <c r="N9" s="8">
        <v>37.5</v>
      </c>
      <c r="O9" s="8">
        <v>285</v>
      </c>
      <c r="P9" s="8">
        <v>323</v>
      </c>
      <c r="Q9" s="8">
        <v>87.8</v>
      </c>
      <c r="R9" s="9">
        <v>39</v>
      </c>
      <c r="S9" s="9">
        <v>362</v>
      </c>
      <c r="T9" s="9">
        <v>400</v>
      </c>
      <c r="U9" s="9">
        <v>424</v>
      </c>
      <c r="V9" s="9">
        <v>200</v>
      </c>
      <c r="W9" s="9">
        <v>69</v>
      </c>
      <c r="X9" s="9">
        <v>15</v>
      </c>
      <c r="Y9" s="9">
        <v>85</v>
      </c>
      <c r="Z9" s="8">
        <v>3018</v>
      </c>
      <c r="AA9" s="8">
        <v>9</v>
      </c>
      <c r="AB9" s="8">
        <v>0</v>
      </c>
      <c r="AC9" s="7">
        <v>1.3</v>
      </c>
      <c r="AD9" s="7">
        <v>113.9</v>
      </c>
      <c r="AE9" s="7">
        <v>112.6</v>
      </c>
      <c r="AF9" s="7">
        <v>1.3</v>
      </c>
      <c r="AG9" s="7">
        <v>25.4</v>
      </c>
      <c r="AH9" s="7">
        <v>2.14</v>
      </c>
      <c r="AI9" s="7">
        <v>20</v>
      </c>
      <c r="AJ9" s="7">
        <v>1.3</v>
      </c>
      <c r="AK9" s="7">
        <v>13.2</v>
      </c>
      <c r="AL9" s="7">
        <v>7.3</v>
      </c>
      <c r="AM9" s="7">
        <v>9.3000000000000007</v>
      </c>
      <c r="AN9" s="7">
        <v>56.3</v>
      </c>
      <c r="AO9" s="7">
        <v>60.5</v>
      </c>
      <c r="AP9" s="7">
        <v>27.1</v>
      </c>
      <c r="AQ9" s="7">
        <v>97.78</v>
      </c>
      <c r="AR9" s="7">
        <v>13.9</v>
      </c>
      <c r="AS9" s="7">
        <v>5564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1"/>
    </row>
    <row r="10" spans="1:70" ht="15.75" customHeight="1">
      <c r="A10" s="6" t="s">
        <v>57</v>
      </c>
      <c r="B10" s="6" t="s">
        <v>58</v>
      </c>
      <c r="C10" s="7">
        <v>26</v>
      </c>
      <c r="D10" s="7">
        <v>76</v>
      </c>
      <c r="E10" s="7">
        <v>36</v>
      </c>
      <c r="F10" s="7">
        <v>40</v>
      </c>
      <c r="G10" s="7">
        <v>36</v>
      </c>
      <c r="H10" s="8">
        <v>1839</v>
      </c>
      <c r="I10" s="9">
        <v>562</v>
      </c>
      <c r="J10" s="9">
        <v>1376</v>
      </c>
      <c r="K10" s="8">
        <v>41.1</v>
      </c>
      <c r="L10" s="9">
        <v>220</v>
      </c>
      <c r="M10" s="9">
        <v>638</v>
      </c>
      <c r="N10" s="8">
        <v>34</v>
      </c>
      <c r="O10" s="8">
        <v>494</v>
      </c>
      <c r="P10" s="8">
        <v>562</v>
      </c>
      <c r="Q10" s="8">
        <v>87.5</v>
      </c>
      <c r="R10" s="9">
        <v>38</v>
      </c>
      <c r="S10" s="9">
        <v>198</v>
      </c>
      <c r="T10" s="9">
        <v>236</v>
      </c>
      <c r="U10" s="9">
        <v>882</v>
      </c>
      <c r="V10" s="9">
        <v>357</v>
      </c>
      <c r="W10" s="9">
        <v>91</v>
      </c>
      <c r="X10" s="9">
        <v>15</v>
      </c>
      <c r="Y10" s="9">
        <v>144</v>
      </c>
      <c r="Z10" s="8">
        <v>3397</v>
      </c>
      <c r="AA10" s="8">
        <v>51</v>
      </c>
      <c r="AB10" s="8">
        <v>0</v>
      </c>
      <c r="AC10" s="7">
        <v>0.4</v>
      </c>
      <c r="AD10" s="7">
        <v>115.2</v>
      </c>
      <c r="AE10" s="7">
        <v>114.6</v>
      </c>
      <c r="AF10" s="7">
        <v>0.6</v>
      </c>
      <c r="AG10" s="7">
        <v>45.2</v>
      </c>
      <c r="AH10" s="7">
        <v>2.48</v>
      </c>
      <c r="AI10" s="7">
        <v>30.9</v>
      </c>
      <c r="AJ10" s="7">
        <v>1.2</v>
      </c>
      <c r="AK10" s="7">
        <v>7.2</v>
      </c>
      <c r="AL10" s="7">
        <v>4.2</v>
      </c>
      <c r="AM10" s="7">
        <v>12.5</v>
      </c>
      <c r="AN10" s="7">
        <v>49.1</v>
      </c>
      <c r="AO10" s="7">
        <v>56.7</v>
      </c>
      <c r="AP10" s="7">
        <v>28.5</v>
      </c>
      <c r="AQ10" s="7">
        <v>105.51</v>
      </c>
      <c r="AR10" s="7">
        <v>12.9</v>
      </c>
      <c r="AS10" s="7">
        <v>6020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1"/>
    </row>
    <row r="11" spans="1:70" ht="15.75" customHeight="1">
      <c r="A11" s="6" t="s">
        <v>59</v>
      </c>
      <c r="B11" s="6" t="s">
        <v>60</v>
      </c>
      <c r="C11" s="7">
        <v>23</v>
      </c>
      <c r="D11" s="7">
        <v>70</v>
      </c>
      <c r="E11" s="7">
        <v>38</v>
      </c>
      <c r="F11" s="7">
        <v>32</v>
      </c>
      <c r="G11" s="7">
        <v>35</v>
      </c>
      <c r="H11" s="8">
        <v>1827</v>
      </c>
      <c r="I11" s="9">
        <v>686</v>
      </c>
      <c r="J11" s="9">
        <v>1456</v>
      </c>
      <c r="K11" s="8">
        <v>46.9</v>
      </c>
      <c r="L11" s="9">
        <v>147</v>
      </c>
      <c r="M11" s="9">
        <v>420</v>
      </c>
      <c r="N11" s="8">
        <v>35.6</v>
      </c>
      <c r="O11" s="8">
        <v>315</v>
      </c>
      <c r="P11" s="8">
        <v>371</v>
      </c>
      <c r="Q11" s="8">
        <v>84.6</v>
      </c>
      <c r="R11" s="9">
        <v>56</v>
      </c>
      <c r="S11" s="9">
        <v>371</v>
      </c>
      <c r="T11" s="9">
        <v>427</v>
      </c>
      <c r="U11" s="9">
        <v>637</v>
      </c>
      <c r="V11" s="9">
        <v>308</v>
      </c>
      <c r="W11" s="9">
        <v>70</v>
      </c>
      <c r="X11" s="9">
        <v>56</v>
      </c>
      <c r="Y11" s="9">
        <v>196</v>
      </c>
      <c r="Z11" s="8">
        <v>3360</v>
      </c>
      <c r="AA11" s="8">
        <v>31</v>
      </c>
      <c r="AB11" s="8">
        <v>9</v>
      </c>
      <c r="AC11" s="7">
        <v>2.5</v>
      </c>
      <c r="AD11" s="7">
        <v>115</v>
      </c>
      <c r="AE11" s="7">
        <v>112.2</v>
      </c>
      <c r="AF11" s="7">
        <v>2.8</v>
      </c>
      <c r="AG11" s="7">
        <v>40.9</v>
      </c>
      <c r="AH11" s="7">
        <v>2.06</v>
      </c>
      <c r="AI11" s="7">
        <v>25</v>
      </c>
      <c r="AJ11" s="7">
        <v>2.2999999999999998</v>
      </c>
      <c r="AK11" s="7">
        <v>14.7</v>
      </c>
      <c r="AL11" s="7">
        <v>8.6</v>
      </c>
      <c r="AM11" s="7">
        <v>12.1</v>
      </c>
      <c r="AN11" s="7">
        <v>52.1</v>
      </c>
      <c r="AO11" s="7">
        <v>56.5</v>
      </c>
      <c r="AP11" s="7">
        <v>32.299999999999997</v>
      </c>
      <c r="AQ11" s="7">
        <v>101.57</v>
      </c>
      <c r="AR11" s="7">
        <v>15.2</v>
      </c>
      <c r="AS11" s="7">
        <v>5201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1"/>
    </row>
    <row r="12" spans="1:70" ht="15.75" customHeight="1">
      <c r="A12" s="6" t="s">
        <v>61</v>
      </c>
      <c r="B12" s="6" t="s">
        <v>62</v>
      </c>
      <c r="C12" s="7">
        <v>35</v>
      </c>
      <c r="D12" s="7">
        <v>79</v>
      </c>
      <c r="E12" s="7">
        <v>50</v>
      </c>
      <c r="F12" s="7">
        <v>29</v>
      </c>
      <c r="G12" s="7">
        <v>35.299999999999997</v>
      </c>
      <c r="H12" s="8">
        <v>1801</v>
      </c>
      <c r="I12" s="9">
        <v>529</v>
      </c>
      <c r="J12" s="9">
        <v>1296</v>
      </c>
      <c r="K12" s="8">
        <v>41</v>
      </c>
      <c r="L12" s="9">
        <v>237</v>
      </c>
      <c r="M12" s="9">
        <v>672</v>
      </c>
      <c r="N12" s="8">
        <v>35.200000000000003</v>
      </c>
      <c r="O12" s="8">
        <v>506</v>
      </c>
      <c r="P12" s="8">
        <v>577</v>
      </c>
      <c r="Q12" s="8">
        <v>87.4</v>
      </c>
      <c r="R12" s="9">
        <v>55</v>
      </c>
      <c r="S12" s="9">
        <v>403</v>
      </c>
      <c r="T12" s="9">
        <v>458</v>
      </c>
      <c r="U12" s="9">
        <v>687</v>
      </c>
      <c r="V12" s="9">
        <v>340</v>
      </c>
      <c r="W12" s="9">
        <v>119</v>
      </c>
      <c r="X12" s="9">
        <v>55</v>
      </c>
      <c r="Y12" s="9">
        <v>166</v>
      </c>
      <c r="Z12" s="8">
        <v>3555</v>
      </c>
      <c r="AA12" s="8">
        <v>38</v>
      </c>
      <c r="AB12" s="8">
        <v>3</v>
      </c>
      <c r="AC12" s="7">
        <v>4.4000000000000004</v>
      </c>
      <c r="AD12" s="7">
        <v>115.4</v>
      </c>
      <c r="AE12" s="7">
        <v>109.2</v>
      </c>
      <c r="AF12" s="7">
        <v>6.2</v>
      </c>
      <c r="AG12" s="7">
        <v>36.5</v>
      </c>
      <c r="AH12" s="7">
        <v>2.0099999999999998</v>
      </c>
      <c r="AI12" s="7">
        <v>26.9</v>
      </c>
      <c r="AJ12" s="7">
        <v>2</v>
      </c>
      <c r="AK12" s="7">
        <v>14.3</v>
      </c>
      <c r="AL12" s="7">
        <v>8.3000000000000007</v>
      </c>
      <c r="AM12" s="7">
        <v>13.4</v>
      </c>
      <c r="AN12" s="7">
        <v>50.1</v>
      </c>
      <c r="AO12" s="7">
        <v>58.2</v>
      </c>
      <c r="AP12" s="7">
        <v>28.6</v>
      </c>
      <c r="AQ12" s="7">
        <v>98.82</v>
      </c>
      <c r="AR12" s="7">
        <v>14.5</v>
      </c>
      <c r="AS12" s="7">
        <v>5737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1"/>
    </row>
    <row r="13" spans="1:70" ht="15.75" customHeight="1">
      <c r="A13" s="6" t="s">
        <v>63</v>
      </c>
      <c r="B13" s="6" t="s">
        <v>64</v>
      </c>
      <c r="C13" s="7">
        <v>29</v>
      </c>
      <c r="D13" s="7">
        <v>72</v>
      </c>
      <c r="E13" s="7">
        <v>46</v>
      </c>
      <c r="F13" s="7">
        <v>26</v>
      </c>
      <c r="G13" s="7">
        <v>35</v>
      </c>
      <c r="H13" s="8">
        <v>1757</v>
      </c>
      <c r="I13" s="9">
        <v>641</v>
      </c>
      <c r="J13" s="9">
        <v>1217</v>
      </c>
      <c r="K13" s="8">
        <v>52.6</v>
      </c>
      <c r="L13" s="9">
        <v>144</v>
      </c>
      <c r="M13" s="9">
        <v>338</v>
      </c>
      <c r="N13" s="8">
        <v>42</v>
      </c>
      <c r="O13" s="8">
        <v>338</v>
      </c>
      <c r="P13" s="8">
        <v>410</v>
      </c>
      <c r="Q13" s="8">
        <v>82.9</v>
      </c>
      <c r="R13" s="9">
        <v>209</v>
      </c>
      <c r="S13" s="9">
        <v>706</v>
      </c>
      <c r="T13" s="9">
        <v>922</v>
      </c>
      <c r="U13" s="9">
        <v>223</v>
      </c>
      <c r="V13" s="9">
        <v>194</v>
      </c>
      <c r="W13" s="9">
        <v>72</v>
      </c>
      <c r="X13" s="9">
        <v>50</v>
      </c>
      <c r="Y13" s="9">
        <v>252</v>
      </c>
      <c r="Z13" s="8">
        <v>3370</v>
      </c>
      <c r="AA13" s="8">
        <v>58</v>
      </c>
      <c r="AB13" s="8">
        <v>1</v>
      </c>
      <c r="AC13" s="7">
        <v>5.3</v>
      </c>
      <c r="AD13" s="7">
        <v>119.4</v>
      </c>
      <c r="AE13" s="7">
        <v>112.7</v>
      </c>
      <c r="AF13" s="7">
        <v>6.8</v>
      </c>
      <c r="AG13" s="7">
        <v>13</v>
      </c>
      <c r="AH13" s="7">
        <v>1.1599999999999999</v>
      </c>
      <c r="AI13" s="7">
        <v>12.4</v>
      </c>
      <c r="AJ13" s="7">
        <v>8.6999999999999993</v>
      </c>
      <c r="AK13" s="7">
        <v>28.4</v>
      </c>
      <c r="AL13" s="7">
        <v>18.7</v>
      </c>
      <c r="AM13" s="7">
        <v>10.7</v>
      </c>
      <c r="AN13" s="7">
        <v>58.4</v>
      </c>
      <c r="AO13" s="7">
        <v>63</v>
      </c>
      <c r="AP13" s="7">
        <v>26.5</v>
      </c>
      <c r="AQ13" s="7">
        <v>99.25</v>
      </c>
      <c r="AR13" s="7">
        <v>16.100000000000001</v>
      </c>
      <c r="AS13" s="7">
        <v>5215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1"/>
    </row>
    <row r="14" spans="1:70" ht="15.75" customHeight="1">
      <c r="A14" s="6" t="s">
        <v>65</v>
      </c>
      <c r="B14" s="6" t="s">
        <v>66</v>
      </c>
      <c r="C14" s="7">
        <v>30</v>
      </c>
      <c r="D14" s="7">
        <v>74</v>
      </c>
      <c r="E14" s="7">
        <v>32</v>
      </c>
      <c r="F14" s="7">
        <v>42</v>
      </c>
      <c r="G14" s="7">
        <v>35.200000000000003</v>
      </c>
      <c r="H14" s="8">
        <v>1724</v>
      </c>
      <c r="I14" s="9">
        <v>622</v>
      </c>
      <c r="J14" s="9">
        <v>1221</v>
      </c>
      <c r="K14" s="8">
        <v>51.1</v>
      </c>
      <c r="L14" s="9">
        <v>237</v>
      </c>
      <c r="M14" s="9">
        <v>533</v>
      </c>
      <c r="N14" s="8">
        <v>44.6</v>
      </c>
      <c r="O14" s="8">
        <v>237</v>
      </c>
      <c r="P14" s="8">
        <v>289</v>
      </c>
      <c r="Q14" s="8">
        <v>82.5</v>
      </c>
      <c r="R14" s="9">
        <v>22</v>
      </c>
      <c r="S14" s="9">
        <v>296</v>
      </c>
      <c r="T14" s="9">
        <v>318</v>
      </c>
      <c r="U14" s="9">
        <v>311</v>
      </c>
      <c r="V14" s="9">
        <v>207</v>
      </c>
      <c r="W14" s="9">
        <v>59</v>
      </c>
      <c r="X14" s="9">
        <v>15</v>
      </c>
      <c r="Y14" s="9">
        <v>118</v>
      </c>
      <c r="Z14" s="8">
        <v>2568</v>
      </c>
      <c r="AA14" s="8">
        <v>6</v>
      </c>
      <c r="AB14" s="8">
        <v>0</v>
      </c>
      <c r="AC14" s="7">
        <v>-0.9</v>
      </c>
      <c r="AD14" s="7">
        <v>115.4</v>
      </c>
      <c r="AE14" s="7">
        <v>116.8</v>
      </c>
      <c r="AF14" s="7">
        <v>-1.4</v>
      </c>
      <c r="AG14" s="7">
        <v>17.8</v>
      </c>
      <c r="AH14" s="7">
        <v>1.49</v>
      </c>
      <c r="AI14" s="7">
        <v>16.7</v>
      </c>
      <c r="AJ14" s="7">
        <v>0.9</v>
      </c>
      <c r="AK14" s="7">
        <v>10.7</v>
      </c>
      <c r="AL14" s="7">
        <v>5.9</v>
      </c>
      <c r="AM14" s="7">
        <v>11.2</v>
      </c>
      <c r="AN14" s="7">
        <v>60.9</v>
      </c>
      <c r="AO14" s="7">
        <v>63.9</v>
      </c>
      <c r="AP14" s="7">
        <v>25.1</v>
      </c>
      <c r="AQ14" s="7">
        <v>101.28</v>
      </c>
      <c r="AR14" s="7">
        <v>11.5</v>
      </c>
      <c r="AS14" s="7">
        <v>5493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1"/>
    </row>
    <row r="15" spans="1:70" ht="15.75" customHeight="1">
      <c r="A15" s="6" t="s">
        <v>67</v>
      </c>
      <c r="B15" s="6" t="s">
        <v>68</v>
      </c>
      <c r="C15" s="7">
        <v>23</v>
      </c>
      <c r="D15" s="7">
        <v>82</v>
      </c>
      <c r="E15" s="7">
        <v>52</v>
      </c>
      <c r="F15" s="7">
        <v>30</v>
      </c>
      <c r="G15" s="7">
        <v>32.9</v>
      </c>
      <c r="H15" s="8">
        <v>1722</v>
      </c>
      <c r="I15" s="9">
        <v>607</v>
      </c>
      <c r="J15" s="9">
        <v>1435</v>
      </c>
      <c r="K15" s="8">
        <v>42.3</v>
      </c>
      <c r="L15" s="9">
        <v>238</v>
      </c>
      <c r="M15" s="9">
        <v>664</v>
      </c>
      <c r="N15" s="8">
        <v>35.4</v>
      </c>
      <c r="O15" s="8">
        <v>271</v>
      </c>
      <c r="P15" s="8">
        <v>336</v>
      </c>
      <c r="Q15" s="8">
        <v>81.3</v>
      </c>
      <c r="R15" s="9">
        <v>41</v>
      </c>
      <c r="S15" s="9">
        <v>328</v>
      </c>
      <c r="T15" s="9">
        <v>377</v>
      </c>
      <c r="U15" s="9">
        <v>279</v>
      </c>
      <c r="V15" s="9">
        <v>205</v>
      </c>
      <c r="W15" s="9">
        <v>74</v>
      </c>
      <c r="X15" s="9">
        <v>25</v>
      </c>
      <c r="Y15" s="9">
        <v>123</v>
      </c>
      <c r="Z15" s="8">
        <v>2690</v>
      </c>
      <c r="AA15" s="8">
        <v>4</v>
      </c>
      <c r="AB15" s="8">
        <v>0</v>
      </c>
      <c r="AC15" s="7">
        <v>2</v>
      </c>
      <c r="AD15" s="7">
        <v>113.8</v>
      </c>
      <c r="AE15" s="7">
        <v>111.1</v>
      </c>
      <c r="AF15" s="7">
        <v>2.8</v>
      </c>
      <c r="AG15" s="7">
        <v>15.9</v>
      </c>
      <c r="AH15" s="7">
        <v>1.39</v>
      </c>
      <c r="AI15" s="7">
        <v>13.7</v>
      </c>
      <c r="AJ15" s="7">
        <v>1.5</v>
      </c>
      <c r="AK15" s="7">
        <v>12</v>
      </c>
      <c r="AL15" s="7">
        <v>6.5</v>
      </c>
      <c r="AM15" s="7">
        <v>9.9</v>
      </c>
      <c r="AN15" s="7">
        <v>50.5</v>
      </c>
      <c r="AO15" s="7">
        <v>54.4</v>
      </c>
      <c r="AP15" s="7">
        <v>26.7</v>
      </c>
      <c r="AQ15" s="7">
        <v>99.75</v>
      </c>
      <c r="AR15" s="7">
        <v>11.1</v>
      </c>
      <c r="AS15" s="7">
        <v>5610</v>
      </c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1"/>
    </row>
    <row r="16" spans="1:70" ht="15.75" customHeight="1">
      <c r="A16" s="6" t="s">
        <v>69</v>
      </c>
      <c r="B16" s="6" t="s">
        <v>70</v>
      </c>
      <c r="C16" s="7">
        <v>37</v>
      </c>
      <c r="D16" s="7">
        <v>70</v>
      </c>
      <c r="E16" s="7">
        <v>41</v>
      </c>
      <c r="F16" s="7">
        <v>29</v>
      </c>
      <c r="G16" s="7">
        <v>32.200000000000003</v>
      </c>
      <c r="H16" s="8">
        <v>1715</v>
      </c>
      <c r="I16" s="9">
        <v>567</v>
      </c>
      <c r="J16" s="9">
        <v>1260</v>
      </c>
      <c r="K16" s="8">
        <v>44.8</v>
      </c>
      <c r="L16" s="9">
        <v>308</v>
      </c>
      <c r="M16" s="9">
        <v>784</v>
      </c>
      <c r="N16" s="8">
        <v>39.700000000000003</v>
      </c>
      <c r="O16" s="8">
        <v>280</v>
      </c>
      <c r="P16" s="8">
        <v>301</v>
      </c>
      <c r="Q16" s="8">
        <v>93.3</v>
      </c>
      <c r="R16" s="9">
        <v>42</v>
      </c>
      <c r="S16" s="9">
        <v>273</v>
      </c>
      <c r="T16" s="9">
        <v>308</v>
      </c>
      <c r="U16" s="9">
        <v>420</v>
      </c>
      <c r="V16" s="9">
        <v>203</v>
      </c>
      <c r="W16" s="9">
        <v>77</v>
      </c>
      <c r="X16" s="9">
        <v>28</v>
      </c>
      <c r="Y16" s="9">
        <v>98</v>
      </c>
      <c r="Z16" s="8">
        <v>2849</v>
      </c>
      <c r="AA16" s="8">
        <v>9</v>
      </c>
      <c r="AB16" s="8">
        <v>0</v>
      </c>
      <c r="AC16" s="7">
        <v>4.3</v>
      </c>
      <c r="AD16" s="7">
        <v>118.4</v>
      </c>
      <c r="AE16" s="7">
        <v>112.7</v>
      </c>
      <c r="AF16" s="7">
        <v>5.7</v>
      </c>
      <c r="AG16" s="7">
        <v>28.4</v>
      </c>
      <c r="AH16" s="7">
        <v>2.11</v>
      </c>
      <c r="AI16" s="7">
        <v>21.1</v>
      </c>
      <c r="AJ16" s="7">
        <v>1.7</v>
      </c>
      <c r="AK16" s="7">
        <v>11.8</v>
      </c>
      <c r="AL16" s="7">
        <v>6.6</v>
      </c>
      <c r="AM16" s="7">
        <v>10</v>
      </c>
      <c r="AN16" s="7">
        <v>57.2</v>
      </c>
      <c r="AO16" s="7">
        <v>61.8</v>
      </c>
      <c r="AP16" s="7">
        <v>28.6</v>
      </c>
      <c r="AQ16" s="7">
        <v>101.72</v>
      </c>
      <c r="AR16" s="7">
        <v>14.5</v>
      </c>
      <c r="AS16" s="7">
        <v>4785</v>
      </c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1"/>
    </row>
    <row r="17" spans="1:70" ht="15.75" customHeight="1">
      <c r="A17" s="6" t="s">
        <v>71</v>
      </c>
      <c r="B17" s="6" t="s">
        <v>72</v>
      </c>
      <c r="C17" s="7">
        <v>35</v>
      </c>
      <c r="D17" s="7">
        <v>77</v>
      </c>
      <c r="E17" s="7">
        <v>38</v>
      </c>
      <c r="F17" s="7">
        <v>39</v>
      </c>
      <c r="G17" s="7">
        <v>35.9</v>
      </c>
      <c r="H17" s="8">
        <v>1709</v>
      </c>
      <c r="I17" s="9">
        <v>624</v>
      </c>
      <c r="J17" s="9">
        <v>1309</v>
      </c>
      <c r="K17" s="8">
        <v>47.7</v>
      </c>
      <c r="L17" s="9">
        <v>85</v>
      </c>
      <c r="M17" s="9">
        <v>254</v>
      </c>
      <c r="N17" s="8">
        <v>32.799999999999997</v>
      </c>
      <c r="O17" s="8">
        <v>377</v>
      </c>
      <c r="P17" s="8">
        <v>439</v>
      </c>
      <c r="Q17" s="8">
        <v>85.7</v>
      </c>
      <c r="R17" s="9">
        <v>46</v>
      </c>
      <c r="S17" s="9">
        <v>246</v>
      </c>
      <c r="T17" s="9">
        <v>300</v>
      </c>
      <c r="U17" s="9">
        <v>339</v>
      </c>
      <c r="V17" s="9">
        <v>108</v>
      </c>
      <c r="W17" s="9">
        <v>62</v>
      </c>
      <c r="X17" s="9">
        <v>31</v>
      </c>
      <c r="Y17" s="9">
        <v>146</v>
      </c>
      <c r="Z17" s="8">
        <v>2757</v>
      </c>
      <c r="AA17" s="8">
        <v>3</v>
      </c>
      <c r="AB17" s="8">
        <v>0</v>
      </c>
      <c r="AC17" s="7">
        <v>1.4</v>
      </c>
      <c r="AD17" s="7">
        <v>116.8</v>
      </c>
      <c r="AE17" s="7">
        <v>115.3</v>
      </c>
      <c r="AF17" s="7">
        <v>1.5</v>
      </c>
      <c r="AG17" s="7">
        <v>18.2</v>
      </c>
      <c r="AH17" s="7">
        <v>3.26</v>
      </c>
      <c r="AI17" s="7">
        <v>17.7</v>
      </c>
      <c r="AJ17" s="7">
        <v>1.8</v>
      </c>
      <c r="AK17" s="7">
        <v>9</v>
      </c>
      <c r="AL17" s="7">
        <v>5.4</v>
      </c>
      <c r="AM17" s="7">
        <v>5.4</v>
      </c>
      <c r="AN17" s="7">
        <v>50.9</v>
      </c>
      <c r="AO17" s="7">
        <v>56.9</v>
      </c>
      <c r="AP17" s="7">
        <v>24.4</v>
      </c>
      <c r="AQ17" s="7">
        <v>99.35</v>
      </c>
      <c r="AR17" s="7">
        <v>11.2</v>
      </c>
      <c r="AS17" s="7">
        <v>5740</v>
      </c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1"/>
    </row>
    <row r="18" spans="1:70" ht="15.75" customHeight="1">
      <c r="A18" s="6" t="s">
        <v>73</v>
      </c>
      <c r="B18" s="6" t="s">
        <v>74</v>
      </c>
      <c r="C18" s="7">
        <v>40</v>
      </c>
      <c r="D18" s="7">
        <v>70</v>
      </c>
      <c r="E18" s="7">
        <v>44</v>
      </c>
      <c r="F18" s="7">
        <v>26</v>
      </c>
      <c r="G18" s="7">
        <v>34.9</v>
      </c>
      <c r="H18" s="8">
        <v>1708</v>
      </c>
      <c r="I18" s="9">
        <v>651</v>
      </c>
      <c r="J18" s="9">
        <v>1267</v>
      </c>
      <c r="K18" s="8">
        <v>51.3</v>
      </c>
      <c r="L18" s="9">
        <v>147</v>
      </c>
      <c r="M18" s="9">
        <v>399</v>
      </c>
      <c r="N18" s="8">
        <v>37.6</v>
      </c>
      <c r="O18" s="8">
        <v>259</v>
      </c>
      <c r="P18" s="8">
        <v>329</v>
      </c>
      <c r="Q18" s="8">
        <v>78.2</v>
      </c>
      <c r="R18" s="9">
        <v>70</v>
      </c>
      <c r="S18" s="9">
        <v>476</v>
      </c>
      <c r="T18" s="9">
        <v>546</v>
      </c>
      <c r="U18" s="9">
        <v>574</v>
      </c>
      <c r="V18" s="9">
        <v>259</v>
      </c>
      <c r="W18" s="9">
        <v>70</v>
      </c>
      <c r="X18" s="9">
        <v>42</v>
      </c>
      <c r="Y18" s="9">
        <v>98</v>
      </c>
      <c r="Z18" s="8">
        <v>3297</v>
      </c>
      <c r="AA18" s="8">
        <v>32</v>
      </c>
      <c r="AB18" s="8">
        <v>10</v>
      </c>
      <c r="AC18" s="7">
        <v>-0.8</v>
      </c>
      <c r="AD18" s="7">
        <v>112.7</v>
      </c>
      <c r="AE18" s="7">
        <v>114</v>
      </c>
      <c r="AF18" s="7">
        <v>-1.3</v>
      </c>
      <c r="AG18" s="7">
        <v>39.5</v>
      </c>
      <c r="AH18" s="7">
        <v>2.21</v>
      </c>
      <c r="AI18" s="7">
        <v>25.6</v>
      </c>
      <c r="AJ18" s="7">
        <v>3.1</v>
      </c>
      <c r="AK18" s="7">
        <v>18.7</v>
      </c>
      <c r="AL18" s="7">
        <v>11.2</v>
      </c>
      <c r="AM18" s="7">
        <v>11.6</v>
      </c>
      <c r="AN18" s="7">
        <v>57.1</v>
      </c>
      <c r="AO18" s="7">
        <v>60.4</v>
      </c>
      <c r="AP18" s="7">
        <v>29.1</v>
      </c>
      <c r="AQ18" s="7">
        <v>100.62</v>
      </c>
      <c r="AR18" s="7">
        <v>16.899999999999999</v>
      </c>
      <c r="AS18" s="7">
        <v>5129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1"/>
    </row>
    <row r="19" spans="1:70" ht="15.75" customHeight="1">
      <c r="A19" s="6" t="s">
        <v>75</v>
      </c>
      <c r="B19" s="6" t="s">
        <v>76</v>
      </c>
      <c r="C19" s="7">
        <v>28</v>
      </c>
      <c r="D19" s="7">
        <v>71</v>
      </c>
      <c r="E19" s="7">
        <v>55</v>
      </c>
      <c r="F19" s="7">
        <v>16</v>
      </c>
      <c r="G19" s="7">
        <v>31.4</v>
      </c>
      <c r="H19" s="8">
        <v>1704</v>
      </c>
      <c r="I19" s="9">
        <v>582</v>
      </c>
      <c r="J19" s="9">
        <v>1321</v>
      </c>
      <c r="K19" s="8">
        <v>44.3</v>
      </c>
      <c r="L19" s="9">
        <v>234</v>
      </c>
      <c r="M19" s="9">
        <v>632</v>
      </c>
      <c r="N19" s="8">
        <v>36.799999999999997</v>
      </c>
      <c r="O19" s="8">
        <v>298</v>
      </c>
      <c r="P19" s="8">
        <v>362</v>
      </c>
      <c r="Q19" s="8">
        <v>82.3</v>
      </c>
      <c r="R19" s="9">
        <v>57</v>
      </c>
      <c r="S19" s="9">
        <v>263</v>
      </c>
      <c r="T19" s="9">
        <v>320</v>
      </c>
      <c r="U19" s="9">
        <v>355</v>
      </c>
      <c r="V19" s="9">
        <v>149</v>
      </c>
      <c r="W19" s="9">
        <v>92</v>
      </c>
      <c r="X19" s="9">
        <v>14</v>
      </c>
      <c r="Y19" s="9">
        <v>142</v>
      </c>
      <c r="Z19" s="8">
        <v>2805</v>
      </c>
      <c r="AA19" s="8">
        <v>6</v>
      </c>
      <c r="AB19" s="8">
        <v>0</v>
      </c>
      <c r="AC19" s="7">
        <v>7.4</v>
      </c>
      <c r="AD19" s="7">
        <v>119.7</v>
      </c>
      <c r="AE19" s="7">
        <v>109.1</v>
      </c>
      <c r="AF19" s="7">
        <v>10.5</v>
      </c>
      <c r="AG19" s="7">
        <v>23.8</v>
      </c>
      <c r="AH19" s="7">
        <v>2.38</v>
      </c>
      <c r="AI19" s="7">
        <v>18</v>
      </c>
      <c r="AJ19" s="7">
        <v>2.5</v>
      </c>
      <c r="AK19" s="7">
        <v>11.2</v>
      </c>
      <c r="AL19" s="7">
        <v>6.9</v>
      </c>
      <c r="AM19" s="7">
        <v>7.6</v>
      </c>
      <c r="AN19" s="7">
        <v>53.1</v>
      </c>
      <c r="AO19" s="7">
        <v>57.5</v>
      </c>
      <c r="AP19" s="7">
        <v>29.8</v>
      </c>
      <c r="AQ19" s="7">
        <v>102.21</v>
      </c>
      <c r="AR19" s="7">
        <v>13.7</v>
      </c>
      <c r="AS19" s="7">
        <v>4762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1"/>
    </row>
    <row r="20" spans="1:70" ht="15.75" customHeight="1">
      <c r="A20" s="6" t="s">
        <v>77</v>
      </c>
      <c r="B20" s="6" t="s">
        <v>78</v>
      </c>
      <c r="C20" s="7">
        <v>28</v>
      </c>
      <c r="D20" s="7">
        <v>65</v>
      </c>
      <c r="E20" s="7">
        <v>40</v>
      </c>
      <c r="F20" s="7">
        <v>25</v>
      </c>
      <c r="G20" s="7">
        <v>35.4</v>
      </c>
      <c r="H20" s="8">
        <v>1690</v>
      </c>
      <c r="I20" s="9">
        <v>585</v>
      </c>
      <c r="J20" s="9">
        <v>1203</v>
      </c>
      <c r="K20" s="8">
        <v>48.8</v>
      </c>
      <c r="L20" s="9">
        <v>150</v>
      </c>
      <c r="M20" s="9">
        <v>397</v>
      </c>
      <c r="N20" s="8">
        <v>38.299999999999997</v>
      </c>
      <c r="O20" s="8">
        <v>371</v>
      </c>
      <c r="P20" s="8">
        <v>449</v>
      </c>
      <c r="Q20" s="8">
        <v>82.1</v>
      </c>
      <c r="R20" s="9">
        <v>26</v>
      </c>
      <c r="S20" s="9">
        <v>163</v>
      </c>
      <c r="T20" s="9">
        <v>189</v>
      </c>
      <c r="U20" s="9">
        <v>475</v>
      </c>
      <c r="V20" s="9">
        <v>163</v>
      </c>
      <c r="W20" s="9">
        <v>59</v>
      </c>
      <c r="X20" s="9">
        <v>7</v>
      </c>
      <c r="Y20" s="9">
        <v>137</v>
      </c>
      <c r="Z20" s="8">
        <v>2665</v>
      </c>
      <c r="AA20" s="8">
        <v>14</v>
      </c>
      <c r="AB20" s="8">
        <v>0</v>
      </c>
      <c r="AC20" s="7">
        <v>2.2000000000000002</v>
      </c>
      <c r="AD20" s="7">
        <v>118.3</v>
      </c>
      <c r="AE20" s="7">
        <v>115.7</v>
      </c>
      <c r="AF20" s="7">
        <v>2.6</v>
      </c>
      <c r="AG20" s="7">
        <v>31.8</v>
      </c>
      <c r="AH20" s="7">
        <v>2.9</v>
      </c>
      <c r="AI20" s="7">
        <v>23.5</v>
      </c>
      <c r="AJ20" s="7">
        <v>1.2</v>
      </c>
      <c r="AK20" s="7">
        <v>7.2</v>
      </c>
      <c r="AL20" s="7">
        <v>4.2</v>
      </c>
      <c r="AM20" s="7">
        <v>8.1</v>
      </c>
      <c r="AN20" s="7">
        <v>55.1</v>
      </c>
      <c r="AO20" s="7">
        <v>60.5</v>
      </c>
      <c r="AP20" s="7">
        <v>28.9</v>
      </c>
      <c r="AQ20" s="7">
        <v>97.79</v>
      </c>
      <c r="AR20" s="7">
        <v>13.8</v>
      </c>
      <c r="AS20" s="7">
        <v>4697</v>
      </c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1"/>
    </row>
    <row r="21" spans="1:70" ht="15.75" customHeight="1">
      <c r="A21" s="6" t="s">
        <v>79</v>
      </c>
      <c r="B21" s="6" t="s">
        <v>80</v>
      </c>
      <c r="C21" s="7">
        <v>36</v>
      </c>
      <c r="D21" s="7">
        <v>62</v>
      </c>
      <c r="E21" s="7">
        <v>33</v>
      </c>
      <c r="F21" s="7">
        <v>29</v>
      </c>
      <c r="G21" s="7">
        <v>36.5</v>
      </c>
      <c r="H21" s="8">
        <v>1649</v>
      </c>
      <c r="I21" s="9">
        <v>589</v>
      </c>
      <c r="J21" s="9">
        <v>1122</v>
      </c>
      <c r="K21" s="8">
        <v>52.7</v>
      </c>
      <c r="L21" s="9">
        <v>161</v>
      </c>
      <c r="M21" s="9">
        <v>372</v>
      </c>
      <c r="N21" s="8">
        <v>43</v>
      </c>
      <c r="O21" s="8">
        <v>304</v>
      </c>
      <c r="P21" s="8">
        <v>360</v>
      </c>
      <c r="Q21" s="8">
        <v>83.9</v>
      </c>
      <c r="R21" s="9">
        <v>25</v>
      </c>
      <c r="S21" s="9">
        <v>353</v>
      </c>
      <c r="T21" s="9">
        <v>372</v>
      </c>
      <c r="U21" s="9">
        <v>260</v>
      </c>
      <c r="V21" s="9">
        <v>192</v>
      </c>
      <c r="W21" s="9">
        <v>50</v>
      </c>
      <c r="X21" s="9">
        <v>74</v>
      </c>
      <c r="Y21" s="9">
        <v>105</v>
      </c>
      <c r="Z21" s="8">
        <v>2678</v>
      </c>
      <c r="AA21" s="8">
        <v>5</v>
      </c>
      <c r="AB21" s="8">
        <v>0</v>
      </c>
      <c r="AC21" s="7">
        <v>-0.6</v>
      </c>
      <c r="AD21" s="7">
        <v>116.5</v>
      </c>
      <c r="AE21" s="7">
        <v>117.4</v>
      </c>
      <c r="AF21" s="7">
        <v>-1</v>
      </c>
      <c r="AG21" s="7">
        <v>18.8</v>
      </c>
      <c r="AH21" s="7">
        <v>1.38</v>
      </c>
      <c r="AI21" s="7">
        <v>15.2</v>
      </c>
      <c r="AJ21" s="7">
        <v>1.1000000000000001</v>
      </c>
      <c r="AK21" s="7">
        <v>14.7</v>
      </c>
      <c r="AL21" s="7">
        <v>8.4</v>
      </c>
      <c r="AM21" s="7">
        <v>11</v>
      </c>
      <c r="AN21" s="7">
        <v>59.8</v>
      </c>
      <c r="AO21" s="7">
        <v>64.2</v>
      </c>
      <c r="AP21" s="7">
        <v>28.3</v>
      </c>
      <c r="AQ21" s="7">
        <v>99.49</v>
      </c>
      <c r="AR21" s="7">
        <v>14.2</v>
      </c>
      <c r="AS21" s="7">
        <v>4697</v>
      </c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1"/>
    </row>
    <row r="22" spans="1:70" ht="15.75" customHeight="1">
      <c r="A22" s="13" t="s">
        <v>81</v>
      </c>
      <c r="B22" s="6" t="s">
        <v>82</v>
      </c>
      <c r="C22" s="7">
        <v>25</v>
      </c>
      <c r="D22" s="7">
        <v>74</v>
      </c>
      <c r="E22" s="7">
        <v>42</v>
      </c>
      <c r="F22" s="7">
        <v>32</v>
      </c>
      <c r="G22" s="7">
        <v>29.8</v>
      </c>
      <c r="H22" s="8">
        <v>1643</v>
      </c>
      <c r="I22" s="9">
        <v>592</v>
      </c>
      <c r="J22" s="9">
        <v>1214</v>
      </c>
      <c r="K22" s="8">
        <v>48.8</v>
      </c>
      <c r="L22" s="9">
        <v>148</v>
      </c>
      <c r="M22" s="9">
        <v>392</v>
      </c>
      <c r="N22" s="8">
        <v>37.5</v>
      </c>
      <c r="O22" s="8">
        <v>311</v>
      </c>
      <c r="P22" s="8">
        <v>400</v>
      </c>
      <c r="Q22" s="8">
        <v>78.099999999999994</v>
      </c>
      <c r="R22" s="9">
        <v>89</v>
      </c>
      <c r="S22" s="9">
        <v>326</v>
      </c>
      <c r="T22" s="9">
        <v>414</v>
      </c>
      <c r="U22" s="9">
        <v>148</v>
      </c>
      <c r="V22" s="9">
        <v>155</v>
      </c>
      <c r="W22" s="9">
        <v>89</v>
      </c>
      <c r="X22" s="9">
        <v>111</v>
      </c>
      <c r="Y22" s="9">
        <v>259</v>
      </c>
      <c r="Z22" s="8">
        <v>2827</v>
      </c>
      <c r="AA22" s="8">
        <v>6</v>
      </c>
      <c r="AB22" s="8">
        <v>0</v>
      </c>
      <c r="AC22" s="7">
        <v>4.5</v>
      </c>
      <c r="AD22" s="7">
        <v>115.2</v>
      </c>
      <c r="AE22" s="7">
        <v>108.8</v>
      </c>
      <c r="AF22" s="7">
        <v>6.4</v>
      </c>
      <c r="AG22" s="7">
        <v>10.199999999999999</v>
      </c>
      <c r="AH22" s="7">
        <v>0.97</v>
      </c>
      <c r="AI22" s="7">
        <v>8.8000000000000007</v>
      </c>
      <c r="AJ22" s="7">
        <v>3.8</v>
      </c>
      <c r="AK22" s="7">
        <v>13.4</v>
      </c>
      <c r="AL22" s="7">
        <v>8.6999999999999993</v>
      </c>
      <c r="AM22" s="7">
        <v>9.1</v>
      </c>
      <c r="AN22" s="7">
        <v>54.8</v>
      </c>
      <c r="AO22" s="7">
        <v>59.1</v>
      </c>
      <c r="AP22" s="7">
        <v>27.4</v>
      </c>
      <c r="AQ22" s="7">
        <v>105.56</v>
      </c>
      <c r="AR22" s="7">
        <v>12.4</v>
      </c>
      <c r="AS22" s="7">
        <v>4863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1"/>
    </row>
    <row r="23" spans="1:70" ht="15.75" customHeight="1">
      <c r="A23" s="6" t="s">
        <v>83</v>
      </c>
      <c r="B23" s="6" t="s">
        <v>84</v>
      </c>
      <c r="C23" s="7">
        <v>31</v>
      </c>
      <c r="D23" s="7">
        <v>78</v>
      </c>
      <c r="E23" s="7">
        <v>47</v>
      </c>
      <c r="F23" s="7">
        <v>31</v>
      </c>
      <c r="G23" s="7">
        <v>32.700000000000003</v>
      </c>
      <c r="H23" s="8">
        <v>1576</v>
      </c>
      <c r="I23" s="9">
        <v>616</v>
      </c>
      <c r="J23" s="9">
        <v>1186</v>
      </c>
      <c r="K23" s="8">
        <v>51.9</v>
      </c>
      <c r="L23" s="9">
        <v>125</v>
      </c>
      <c r="M23" s="9">
        <v>328</v>
      </c>
      <c r="N23" s="8">
        <v>38.9</v>
      </c>
      <c r="O23" s="8">
        <v>226</v>
      </c>
      <c r="P23" s="8">
        <v>304</v>
      </c>
      <c r="Q23" s="8">
        <v>73.400000000000006</v>
      </c>
      <c r="R23" s="9">
        <v>133</v>
      </c>
      <c r="S23" s="9">
        <v>406</v>
      </c>
      <c r="T23" s="9">
        <v>538</v>
      </c>
      <c r="U23" s="9">
        <v>265</v>
      </c>
      <c r="V23" s="9">
        <v>109</v>
      </c>
      <c r="W23" s="9">
        <v>70</v>
      </c>
      <c r="X23" s="9">
        <v>39</v>
      </c>
      <c r="Y23" s="9">
        <v>187</v>
      </c>
      <c r="Z23" s="8">
        <v>2847</v>
      </c>
      <c r="AA23" s="8">
        <v>11</v>
      </c>
      <c r="AB23" s="8">
        <v>0</v>
      </c>
      <c r="AC23" s="7">
        <v>4</v>
      </c>
      <c r="AD23" s="7">
        <v>114.5</v>
      </c>
      <c r="AE23" s="7">
        <v>108.9</v>
      </c>
      <c r="AF23" s="7">
        <v>5.5</v>
      </c>
      <c r="AG23" s="7">
        <v>15.5</v>
      </c>
      <c r="AH23" s="7">
        <v>2.41</v>
      </c>
      <c r="AI23" s="7">
        <v>15.6</v>
      </c>
      <c r="AJ23" s="7">
        <v>5.3</v>
      </c>
      <c r="AK23" s="7">
        <v>15.4</v>
      </c>
      <c r="AL23" s="7">
        <v>10.4</v>
      </c>
      <c r="AM23" s="7">
        <v>6.5</v>
      </c>
      <c r="AN23" s="7">
        <v>57.2</v>
      </c>
      <c r="AO23" s="7">
        <v>59.9</v>
      </c>
      <c r="AP23" s="7">
        <v>23.7</v>
      </c>
      <c r="AQ23" s="7">
        <v>101.43</v>
      </c>
      <c r="AR23" s="7">
        <v>13</v>
      </c>
      <c r="AS23" s="7">
        <v>5390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1"/>
    </row>
    <row r="24" spans="1:70" ht="15.75" customHeight="1">
      <c r="A24" s="6" t="s">
        <v>85</v>
      </c>
      <c r="B24" s="6" t="s">
        <v>86</v>
      </c>
      <c r="C24" s="7">
        <v>25</v>
      </c>
      <c r="D24" s="7">
        <v>75</v>
      </c>
      <c r="E24" s="7">
        <v>60</v>
      </c>
      <c r="F24" s="7">
        <v>15</v>
      </c>
      <c r="G24" s="7">
        <v>30.7</v>
      </c>
      <c r="H24" s="8">
        <v>1545</v>
      </c>
      <c r="I24" s="9">
        <v>555</v>
      </c>
      <c r="J24" s="9">
        <v>1178</v>
      </c>
      <c r="K24" s="8">
        <v>47.2</v>
      </c>
      <c r="L24" s="9">
        <v>210</v>
      </c>
      <c r="M24" s="9">
        <v>533</v>
      </c>
      <c r="N24" s="8">
        <v>40.1</v>
      </c>
      <c r="O24" s="8">
        <v>225</v>
      </c>
      <c r="P24" s="8">
        <v>255</v>
      </c>
      <c r="Q24" s="8">
        <v>87.8</v>
      </c>
      <c r="R24" s="9">
        <v>45</v>
      </c>
      <c r="S24" s="9">
        <v>165</v>
      </c>
      <c r="T24" s="9">
        <v>218</v>
      </c>
      <c r="U24" s="9">
        <v>503</v>
      </c>
      <c r="V24" s="9">
        <v>188</v>
      </c>
      <c r="W24" s="9">
        <v>90</v>
      </c>
      <c r="X24" s="9">
        <v>8</v>
      </c>
      <c r="Y24" s="9">
        <v>143</v>
      </c>
      <c r="Z24" s="8">
        <v>2678</v>
      </c>
      <c r="AA24" s="8">
        <v>7</v>
      </c>
      <c r="AB24" s="8">
        <v>0</v>
      </c>
      <c r="AC24" s="7">
        <v>6.7</v>
      </c>
      <c r="AD24" s="7">
        <v>123.2</v>
      </c>
      <c r="AE24" s="7">
        <v>113.4</v>
      </c>
      <c r="AF24" s="7">
        <v>9.9</v>
      </c>
      <c r="AG24" s="7">
        <v>30.9</v>
      </c>
      <c r="AH24" s="7">
        <v>2.68</v>
      </c>
      <c r="AI24" s="7">
        <v>25.6</v>
      </c>
      <c r="AJ24" s="7">
        <v>2.1</v>
      </c>
      <c r="AK24" s="7">
        <v>6.8</v>
      </c>
      <c r="AL24" s="7">
        <v>4.5</v>
      </c>
      <c r="AM24" s="7">
        <v>9.6</v>
      </c>
      <c r="AN24" s="7">
        <v>56.2</v>
      </c>
      <c r="AO24" s="7">
        <v>60</v>
      </c>
      <c r="AP24" s="7">
        <v>26.5</v>
      </c>
      <c r="AQ24" s="7">
        <v>101.32</v>
      </c>
      <c r="AR24" s="7">
        <v>12.6</v>
      </c>
      <c r="AS24" s="7">
        <v>4865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1"/>
    </row>
    <row r="25" spans="1:70" ht="15.75" customHeight="1">
      <c r="A25" s="6" t="s">
        <v>87</v>
      </c>
      <c r="B25" s="6" t="s">
        <v>88</v>
      </c>
      <c r="C25" s="7">
        <v>25</v>
      </c>
      <c r="D25" s="7">
        <v>74</v>
      </c>
      <c r="E25" s="7">
        <v>35</v>
      </c>
      <c r="F25" s="7">
        <v>39</v>
      </c>
      <c r="G25" s="7">
        <v>33.1</v>
      </c>
      <c r="H25" s="8">
        <v>1510</v>
      </c>
      <c r="I25" s="9">
        <v>511</v>
      </c>
      <c r="J25" s="9">
        <v>1117</v>
      </c>
      <c r="K25" s="8">
        <v>45.3</v>
      </c>
      <c r="L25" s="9">
        <v>215</v>
      </c>
      <c r="M25" s="9">
        <v>585</v>
      </c>
      <c r="N25" s="8">
        <v>37</v>
      </c>
      <c r="O25" s="8">
        <v>274</v>
      </c>
      <c r="P25" s="8">
        <v>303</v>
      </c>
      <c r="Q25" s="8">
        <v>90.2</v>
      </c>
      <c r="R25" s="9">
        <v>22</v>
      </c>
      <c r="S25" s="9">
        <v>252</v>
      </c>
      <c r="T25" s="9">
        <v>274</v>
      </c>
      <c r="U25" s="9">
        <v>333</v>
      </c>
      <c r="V25" s="9">
        <v>178</v>
      </c>
      <c r="W25" s="9">
        <v>67</v>
      </c>
      <c r="X25" s="9">
        <v>15</v>
      </c>
      <c r="Y25" s="9">
        <v>155</v>
      </c>
      <c r="Z25" s="8">
        <v>2412</v>
      </c>
      <c r="AA25" s="8">
        <v>2</v>
      </c>
      <c r="AB25" s="8">
        <v>0</v>
      </c>
      <c r="AC25" s="7">
        <v>-1.9</v>
      </c>
      <c r="AD25" s="7">
        <v>111.5</v>
      </c>
      <c r="AE25" s="7">
        <v>113.9</v>
      </c>
      <c r="AF25" s="7">
        <v>-2.5</v>
      </c>
      <c r="AG25" s="7">
        <v>19.7</v>
      </c>
      <c r="AH25" s="7">
        <v>1.86</v>
      </c>
      <c r="AI25" s="7">
        <v>18.8</v>
      </c>
      <c r="AJ25" s="7">
        <v>1</v>
      </c>
      <c r="AK25" s="7">
        <v>9.5</v>
      </c>
      <c r="AL25" s="7">
        <v>5.3</v>
      </c>
      <c r="AM25" s="7">
        <v>10.1</v>
      </c>
      <c r="AN25" s="7">
        <v>55</v>
      </c>
      <c r="AO25" s="7">
        <v>60.1</v>
      </c>
      <c r="AP25" s="7">
        <v>23.7</v>
      </c>
      <c r="AQ25" s="7">
        <v>105.37</v>
      </c>
      <c r="AR25" s="7">
        <v>10.3</v>
      </c>
      <c r="AS25" s="7">
        <v>5375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1"/>
    </row>
    <row r="26" spans="1:70" ht="15.75" customHeight="1">
      <c r="A26" s="6" t="s">
        <v>89</v>
      </c>
      <c r="B26" s="6" t="s">
        <v>90</v>
      </c>
      <c r="C26" s="7">
        <v>24</v>
      </c>
      <c r="D26" s="7">
        <v>69</v>
      </c>
      <c r="E26" s="7">
        <v>55</v>
      </c>
      <c r="F26" s="7">
        <v>14</v>
      </c>
      <c r="G26" s="7">
        <v>32.4</v>
      </c>
      <c r="H26" s="8">
        <v>1490</v>
      </c>
      <c r="I26" s="9">
        <v>566</v>
      </c>
      <c r="J26" s="9">
        <v>1166</v>
      </c>
      <c r="K26" s="8">
        <v>48.4</v>
      </c>
      <c r="L26" s="9">
        <v>124</v>
      </c>
      <c r="M26" s="9">
        <v>338</v>
      </c>
      <c r="N26" s="8">
        <v>36.5</v>
      </c>
      <c r="O26" s="8">
        <v>235</v>
      </c>
      <c r="P26" s="8">
        <v>297</v>
      </c>
      <c r="Q26" s="8">
        <v>78.900000000000006</v>
      </c>
      <c r="R26" s="9">
        <v>62</v>
      </c>
      <c r="S26" s="9">
        <v>311</v>
      </c>
      <c r="T26" s="9">
        <v>366</v>
      </c>
      <c r="U26" s="9">
        <v>352</v>
      </c>
      <c r="V26" s="9">
        <v>152</v>
      </c>
      <c r="W26" s="9">
        <v>110</v>
      </c>
      <c r="X26" s="9">
        <v>48</v>
      </c>
      <c r="Y26" s="9">
        <v>159</v>
      </c>
      <c r="Z26" s="8">
        <v>2788</v>
      </c>
      <c r="AA26" s="8">
        <v>3</v>
      </c>
      <c r="AB26" s="8">
        <v>0</v>
      </c>
      <c r="AC26" s="7">
        <v>6.6</v>
      </c>
      <c r="AD26" s="7">
        <v>116.7</v>
      </c>
      <c r="AE26" s="7">
        <v>106.5</v>
      </c>
      <c r="AF26" s="7">
        <v>10.199999999999999</v>
      </c>
      <c r="AG26" s="7">
        <v>23.4</v>
      </c>
      <c r="AH26" s="7">
        <v>2.37</v>
      </c>
      <c r="AI26" s="7">
        <v>19.7</v>
      </c>
      <c r="AJ26" s="7">
        <v>2.6</v>
      </c>
      <c r="AK26" s="7">
        <v>13.1</v>
      </c>
      <c r="AL26" s="7">
        <v>7.9</v>
      </c>
      <c r="AM26" s="7">
        <v>8.3000000000000007</v>
      </c>
      <c r="AN26" s="7">
        <v>53.7</v>
      </c>
      <c r="AO26" s="7">
        <v>57.3</v>
      </c>
      <c r="AP26" s="7">
        <v>27</v>
      </c>
      <c r="AQ26" s="7">
        <v>102.44</v>
      </c>
      <c r="AR26" s="7">
        <v>13.8</v>
      </c>
      <c r="AS26" s="7">
        <v>4760</v>
      </c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1"/>
    </row>
    <row r="27" spans="1:70" ht="15.75" customHeight="1">
      <c r="A27" s="6" t="s">
        <v>91</v>
      </c>
      <c r="B27" s="6" t="s">
        <v>92</v>
      </c>
      <c r="C27" s="7">
        <v>27</v>
      </c>
      <c r="D27" s="7">
        <v>73</v>
      </c>
      <c r="E27" s="7">
        <v>46</v>
      </c>
      <c r="F27" s="7">
        <v>27</v>
      </c>
      <c r="G27" s="7">
        <v>34.9</v>
      </c>
      <c r="H27" s="8">
        <v>1475</v>
      </c>
      <c r="I27" s="9">
        <v>475</v>
      </c>
      <c r="J27" s="9">
        <v>1037</v>
      </c>
      <c r="K27" s="8">
        <v>46</v>
      </c>
      <c r="L27" s="9">
        <v>197</v>
      </c>
      <c r="M27" s="9">
        <v>533</v>
      </c>
      <c r="N27" s="8">
        <v>37.700000000000003</v>
      </c>
      <c r="O27" s="8">
        <v>321</v>
      </c>
      <c r="P27" s="8">
        <v>365</v>
      </c>
      <c r="Q27" s="8">
        <v>87.7</v>
      </c>
      <c r="R27" s="9">
        <v>58</v>
      </c>
      <c r="S27" s="9">
        <v>270</v>
      </c>
      <c r="T27" s="9">
        <v>329</v>
      </c>
      <c r="U27" s="9">
        <v>423</v>
      </c>
      <c r="V27" s="9">
        <v>175</v>
      </c>
      <c r="W27" s="9">
        <v>80</v>
      </c>
      <c r="X27" s="9">
        <v>22</v>
      </c>
      <c r="Y27" s="9">
        <v>153</v>
      </c>
      <c r="Z27" s="8">
        <v>2635</v>
      </c>
      <c r="AA27" s="8">
        <v>9</v>
      </c>
      <c r="AB27" s="8">
        <v>1</v>
      </c>
      <c r="AC27" s="7">
        <v>2.7</v>
      </c>
      <c r="AD27" s="7">
        <v>117.1</v>
      </c>
      <c r="AE27" s="7">
        <v>113.3</v>
      </c>
      <c r="AF27" s="7">
        <v>3.8</v>
      </c>
      <c r="AG27" s="7">
        <v>24.1</v>
      </c>
      <c r="AH27" s="7">
        <v>2.38</v>
      </c>
      <c r="AI27" s="7">
        <v>23.6</v>
      </c>
      <c r="AJ27" s="7">
        <v>2.5</v>
      </c>
      <c r="AK27" s="7">
        <v>10.1</v>
      </c>
      <c r="AL27" s="7">
        <v>6.5</v>
      </c>
      <c r="AM27" s="7">
        <v>9.9</v>
      </c>
      <c r="AN27" s="7">
        <v>55.6</v>
      </c>
      <c r="AO27" s="7">
        <v>61.6</v>
      </c>
      <c r="AP27" s="7">
        <v>23</v>
      </c>
      <c r="AQ27" s="7">
        <v>99.86</v>
      </c>
      <c r="AR27" s="7">
        <v>11.8</v>
      </c>
      <c r="AS27" s="7">
        <v>5303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1"/>
    </row>
    <row r="28" spans="1:70" ht="15.75" customHeight="1">
      <c r="A28" s="6" t="s">
        <v>93</v>
      </c>
      <c r="B28" s="6" t="s">
        <v>94</v>
      </c>
      <c r="C28" s="7">
        <v>27</v>
      </c>
      <c r="D28" s="7">
        <v>62</v>
      </c>
      <c r="E28" s="7">
        <v>27</v>
      </c>
      <c r="F28" s="7">
        <v>35</v>
      </c>
      <c r="G28" s="7">
        <v>36.1</v>
      </c>
      <c r="H28" s="8">
        <v>1457</v>
      </c>
      <c r="I28" s="9">
        <v>539</v>
      </c>
      <c r="J28" s="9">
        <v>1166</v>
      </c>
      <c r="K28" s="8">
        <v>46.3</v>
      </c>
      <c r="L28" s="9">
        <v>118</v>
      </c>
      <c r="M28" s="9">
        <v>378</v>
      </c>
      <c r="N28" s="8">
        <v>31</v>
      </c>
      <c r="O28" s="8">
        <v>260</v>
      </c>
      <c r="P28" s="8">
        <v>316</v>
      </c>
      <c r="Q28" s="8">
        <v>82.7</v>
      </c>
      <c r="R28" s="9">
        <v>56</v>
      </c>
      <c r="S28" s="9">
        <v>242</v>
      </c>
      <c r="T28" s="9">
        <v>298</v>
      </c>
      <c r="U28" s="9">
        <v>391</v>
      </c>
      <c r="V28" s="9">
        <v>174</v>
      </c>
      <c r="W28" s="9">
        <v>93</v>
      </c>
      <c r="X28" s="9">
        <v>25</v>
      </c>
      <c r="Y28" s="9">
        <v>161</v>
      </c>
      <c r="Z28" s="8">
        <v>2579</v>
      </c>
      <c r="AA28" s="8">
        <v>9</v>
      </c>
      <c r="AB28" s="8">
        <v>0</v>
      </c>
      <c r="AC28" s="7">
        <v>-1.1000000000000001</v>
      </c>
      <c r="AD28" s="7">
        <v>113.7</v>
      </c>
      <c r="AE28" s="7">
        <v>114.9</v>
      </c>
      <c r="AF28" s="7">
        <v>-1.2</v>
      </c>
      <c r="AG28" s="7">
        <v>26.2</v>
      </c>
      <c r="AH28" s="7">
        <v>2.25</v>
      </c>
      <c r="AI28" s="7">
        <v>21</v>
      </c>
      <c r="AJ28" s="7">
        <v>2.2999999999999998</v>
      </c>
      <c r="AK28" s="7">
        <v>10.6</v>
      </c>
      <c r="AL28" s="7">
        <v>6.4</v>
      </c>
      <c r="AM28" s="7">
        <v>9.3000000000000007</v>
      </c>
      <c r="AN28" s="7">
        <v>51.4</v>
      </c>
      <c r="AO28" s="7">
        <v>56</v>
      </c>
      <c r="AP28" s="7">
        <v>27.4</v>
      </c>
      <c r="AQ28" s="7">
        <v>102.22</v>
      </c>
      <c r="AR28" s="7">
        <v>11.9</v>
      </c>
      <c r="AS28" s="7">
        <v>4768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1"/>
    </row>
    <row r="29" spans="1:70" ht="15.75" customHeight="1">
      <c r="A29" s="6" t="s">
        <v>95</v>
      </c>
      <c r="B29" s="6" t="s">
        <v>96</v>
      </c>
      <c r="C29" s="7">
        <v>22</v>
      </c>
      <c r="D29" s="7">
        <v>76</v>
      </c>
      <c r="E29" s="7">
        <v>52</v>
      </c>
      <c r="F29" s="7">
        <v>24</v>
      </c>
      <c r="G29" s="7">
        <v>31.5</v>
      </c>
      <c r="H29" s="8">
        <v>1452</v>
      </c>
      <c r="I29" s="9">
        <v>570</v>
      </c>
      <c r="J29" s="9">
        <v>1140</v>
      </c>
      <c r="K29" s="8">
        <v>49.6</v>
      </c>
      <c r="L29" s="9">
        <v>23</v>
      </c>
      <c r="M29" s="9">
        <v>91</v>
      </c>
      <c r="N29" s="8">
        <v>23.3</v>
      </c>
      <c r="O29" s="8">
        <v>296</v>
      </c>
      <c r="P29" s="8">
        <v>426</v>
      </c>
      <c r="Q29" s="8">
        <v>69.2</v>
      </c>
      <c r="R29" s="9">
        <v>258</v>
      </c>
      <c r="S29" s="9">
        <v>524</v>
      </c>
      <c r="T29" s="9">
        <v>783</v>
      </c>
      <c r="U29" s="9">
        <v>372</v>
      </c>
      <c r="V29" s="9">
        <v>198</v>
      </c>
      <c r="W29" s="9">
        <v>84</v>
      </c>
      <c r="X29" s="9">
        <v>61</v>
      </c>
      <c r="Y29" s="9">
        <v>213</v>
      </c>
      <c r="Z29" s="8">
        <v>3192</v>
      </c>
      <c r="AA29" s="8">
        <v>45</v>
      </c>
      <c r="AB29" s="8">
        <v>4</v>
      </c>
      <c r="AC29" s="7">
        <v>5.4</v>
      </c>
      <c r="AD29" s="7">
        <v>114.9</v>
      </c>
      <c r="AE29" s="7">
        <v>107.4</v>
      </c>
      <c r="AF29" s="7">
        <v>7.6</v>
      </c>
      <c r="AG29" s="7">
        <v>23.8</v>
      </c>
      <c r="AH29" s="7">
        <v>1.92</v>
      </c>
      <c r="AI29" s="7">
        <v>19.600000000000001</v>
      </c>
      <c r="AJ29" s="7">
        <v>9.9</v>
      </c>
      <c r="AK29" s="7">
        <v>21</v>
      </c>
      <c r="AL29" s="7">
        <v>15.3</v>
      </c>
      <c r="AM29" s="7">
        <v>10.199999999999999</v>
      </c>
      <c r="AN29" s="7">
        <v>50.5</v>
      </c>
      <c r="AO29" s="7">
        <v>54.5</v>
      </c>
      <c r="AP29" s="7">
        <v>25.9</v>
      </c>
      <c r="AQ29" s="7">
        <v>99.47</v>
      </c>
      <c r="AR29" s="7">
        <v>15.3</v>
      </c>
      <c r="AS29" s="7">
        <v>4978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1"/>
    </row>
    <row r="30" spans="1:70" ht="15.75" customHeight="1">
      <c r="A30" s="6" t="s">
        <v>97</v>
      </c>
      <c r="B30" s="6" t="s">
        <v>98</v>
      </c>
      <c r="C30" s="7">
        <v>23</v>
      </c>
      <c r="D30" s="7">
        <v>60</v>
      </c>
      <c r="E30" s="7">
        <v>33</v>
      </c>
      <c r="F30" s="7">
        <v>27</v>
      </c>
      <c r="G30" s="7">
        <v>33.700000000000003</v>
      </c>
      <c r="H30" s="8">
        <v>1452</v>
      </c>
      <c r="I30" s="9">
        <v>540</v>
      </c>
      <c r="J30" s="9">
        <v>1164</v>
      </c>
      <c r="K30" s="8">
        <v>46.3</v>
      </c>
      <c r="L30" s="9">
        <v>102</v>
      </c>
      <c r="M30" s="9">
        <v>354</v>
      </c>
      <c r="N30" s="8">
        <v>29.5</v>
      </c>
      <c r="O30" s="8">
        <v>270</v>
      </c>
      <c r="P30" s="8">
        <v>312</v>
      </c>
      <c r="Q30" s="8">
        <v>87.1</v>
      </c>
      <c r="R30" s="9">
        <v>54</v>
      </c>
      <c r="S30" s="9">
        <v>288</v>
      </c>
      <c r="T30" s="9">
        <v>342</v>
      </c>
      <c r="U30" s="9">
        <v>282</v>
      </c>
      <c r="V30" s="9">
        <v>138</v>
      </c>
      <c r="W30" s="9">
        <v>78</v>
      </c>
      <c r="X30" s="9">
        <v>24</v>
      </c>
      <c r="Y30" s="9">
        <v>150</v>
      </c>
      <c r="Z30" s="8">
        <v>2436</v>
      </c>
      <c r="AA30" s="8">
        <v>3</v>
      </c>
      <c r="AB30" s="8">
        <v>0</v>
      </c>
      <c r="AC30" s="7">
        <v>4.0999999999999996</v>
      </c>
      <c r="AD30" s="7">
        <v>111.8</v>
      </c>
      <c r="AE30" s="7">
        <v>105.8</v>
      </c>
      <c r="AF30" s="7">
        <v>6</v>
      </c>
      <c r="AG30" s="7">
        <v>24.7</v>
      </c>
      <c r="AH30" s="7">
        <v>2.06</v>
      </c>
      <c r="AI30" s="7">
        <v>16.5</v>
      </c>
      <c r="AJ30" s="7">
        <v>2.7</v>
      </c>
      <c r="AK30" s="7">
        <v>14.6</v>
      </c>
      <c r="AL30" s="7">
        <v>8.5</v>
      </c>
      <c r="AM30" s="7">
        <v>8</v>
      </c>
      <c r="AN30" s="7">
        <v>50.7</v>
      </c>
      <c r="AO30" s="7">
        <v>55.8</v>
      </c>
      <c r="AP30" s="7">
        <v>30.6</v>
      </c>
      <c r="AQ30" s="7">
        <v>97.65</v>
      </c>
      <c r="AR30" s="7">
        <v>15.3</v>
      </c>
      <c r="AS30" s="7">
        <v>4116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1"/>
    </row>
    <row r="31" spans="1:70" ht="15.75" customHeight="1">
      <c r="A31" s="6" t="s">
        <v>99</v>
      </c>
      <c r="B31" s="6" t="s">
        <v>100</v>
      </c>
      <c r="C31" s="7">
        <v>34</v>
      </c>
      <c r="D31" s="7">
        <v>58</v>
      </c>
      <c r="E31" s="7">
        <v>32</v>
      </c>
      <c r="F31" s="7">
        <v>26</v>
      </c>
      <c r="G31" s="7">
        <v>36.1</v>
      </c>
      <c r="H31" s="8">
        <v>1444</v>
      </c>
      <c r="I31" s="9">
        <v>447</v>
      </c>
      <c r="J31" s="9">
        <v>992</v>
      </c>
      <c r="K31" s="8">
        <v>44.8</v>
      </c>
      <c r="L31" s="9">
        <v>197</v>
      </c>
      <c r="M31" s="9">
        <v>522</v>
      </c>
      <c r="N31" s="8">
        <v>37.6</v>
      </c>
      <c r="O31" s="8">
        <v>360</v>
      </c>
      <c r="P31" s="8">
        <v>394</v>
      </c>
      <c r="Q31" s="8">
        <v>92.1</v>
      </c>
      <c r="R31" s="9">
        <v>29</v>
      </c>
      <c r="S31" s="9">
        <v>244</v>
      </c>
      <c r="T31" s="9">
        <v>273</v>
      </c>
      <c r="U31" s="9">
        <v>412</v>
      </c>
      <c r="V31" s="9">
        <v>162</v>
      </c>
      <c r="W31" s="9">
        <v>70</v>
      </c>
      <c r="X31" s="9">
        <v>12</v>
      </c>
      <c r="Y31" s="9">
        <v>99</v>
      </c>
      <c r="Z31" s="8">
        <v>2465</v>
      </c>
      <c r="AA31" s="8">
        <v>14</v>
      </c>
      <c r="AB31" s="8">
        <v>2</v>
      </c>
      <c r="AC31" s="7">
        <v>0.9</v>
      </c>
      <c r="AD31" s="7">
        <v>115.3</v>
      </c>
      <c r="AE31" s="7">
        <v>114.6</v>
      </c>
      <c r="AF31" s="7">
        <v>0.7</v>
      </c>
      <c r="AG31" s="7">
        <v>29.9</v>
      </c>
      <c r="AH31" s="7">
        <v>2.5299999999999998</v>
      </c>
      <c r="AI31" s="7">
        <v>23.8</v>
      </c>
      <c r="AJ31" s="7">
        <v>1.4</v>
      </c>
      <c r="AK31" s="7">
        <v>10.8</v>
      </c>
      <c r="AL31" s="7">
        <v>6.3</v>
      </c>
      <c r="AM31" s="7">
        <v>9.4</v>
      </c>
      <c r="AN31" s="7">
        <v>54.7</v>
      </c>
      <c r="AO31" s="7">
        <v>62.1</v>
      </c>
      <c r="AP31" s="7">
        <v>26.9</v>
      </c>
      <c r="AQ31" s="7">
        <v>100.86</v>
      </c>
      <c r="AR31" s="7">
        <v>14.4</v>
      </c>
      <c r="AS31" s="7">
        <v>4407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1"/>
    </row>
    <row r="32" spans="1:70" ht="15.75" customHeight="1">
      <c r="A32" s="6" t="s">
        <v>101</v>
      </c>
      <c r="B32" s="6" t="s">
        <v>102</v>
      </c>
      <c r="C32" s="7">
        <v>28</v>
      </c>
      <c r="D32" s="7">
        <v>82</v>
      </c>
      <c r="E32" s="7">
        <v>51</v>
      </c>
      <c r="F32" s="7">
        <v>31</v>
      </c>
      <c r="G32" s="7">
        <v>37</v>
      </c>
      <c r="H32" s="8">
        <v>1443</v>
      </c>
      <c r="I32" s="9">
        <v>590</v>
      </c>
      <c r="J32" s="9">
        <v>1181</v>
      </c>
      <c r="K32" s="8">
        <v>50</v>
      </c>
      <c r="L32" s="9">
        <v>164</v>
      </c>
      <c r="M32" s="9">
        <v>459</v>
      </c>
      <c r="N32" s="8">
        <v>35.4</v>
      </c>
      <c r="O32" s="8">
        <v>98</v>
      </c>
      <c r="P32" s="8">
        <v>115</v>
      </c>
      <c r="Q32" s="8">
        <v>81.400000000000006</v>
      </c>
      <c r="R32" s="9">
        <v>74</v>
      </c>
      <c r="S32" s="9">
        <v>189</v>
      </c>
      <c r="T32" s="9">
        <v>262</v>
      </c>
      <c r="U32" s="9">
        <v>303</v>
      </c>
      <c r="V32" s="9">
        <v>131</v>
      </c>
      <c r="W32" s="9">
        <v>74</v>
      </c>
      <c r="X32" s="9">
        <v>41</v>
      </c>
      <c r="Y32" s="9">
        <v>123</v>
      </c>
      <c r="Z32" s="8">
        <v>2435</v>
      </c>
      <c r="AA32" s="8">
        <v>1</v>
      </c>
      <c r="AB32" s="8">
        <v>0</v>
      </c>
      <c r="AC32" s="7">
        <v>4.0999999999999996</v>
      </c>
      <c r="AD32" s="7">
        <v>118.4</v>
      </c>
      <c r="AE32" s="7">
        <v>112.9</v>
      </c>
      <c r="AF32" s="7">
        <v>5.6</v>
      </c>
      <c r="AG32" s="7">
        <v>14.1</v>
      </c>
      <c r="AH32" s="7">
        <v>2.3199999999999998</v>
      </c>
      <c r="AI32" s="7">
        <v>18.3</v>
      </c>
      <c r="AJ32" s="7">
        <v>2.4</v>
      </c>
      <c r="AK32" s="7">
        <v>6.3</v>
      </c>
      <c r="AL32" s="7">
        <v>4.3</v>
      </c>
      <c r="AM32" s="7">
        <v>7.9</v>
      </c>
      <c r="AN32" s="7">
        <v>57</v>
      </c>
      <c r="AO32" s="7">
        <v>58.5</v>
      </c>
      <c r="AP32" s="7">
        <v>19.2</v>
      </c>
      <c r="AQ32" s="7">
        <v>98.1</v>
      </c>
      <c r="AR32" s="7">
        <v>9</v>
      </c>
      <c r="AS32" s="7">
        <v>6200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1"/>
    </row>
    <row r="33" spans="1:70" ht="15.75" customHeight="1">
      <c r="A33" s="6" t="s">
        <v>103</v>
      </c>
      <c r="B33" s="6" t="s">
        <v>104</v>
      </c>
      <c r="C33" s="7">
        <v>28</v>
      </c>
      <c r="D33" s="7">
        <v>67</v>
      </c>
      <c r="E33" s="7">
        <v>41</v>
      </c>
      <c r="F33" s="7">
        <v>26</v>
      </c>
      <c r="G33" s="7">
        <v>36.1</v>
      </c>
      <c r="H33" s="8">
        <v>1434</v>
      </c>
      <c r="I33" s="9">
        <v>529</v>
      </c>
      <c r="J33" s="9">
        <v>1119</v>
      </c>
      <c r="K33" s="8">
        <v>47.4</v>
      </c>
      <c r="L33" s="9">
        <v>154</v>
      </c>
      <c r="M33" s="9">
        <v>395</v>
      </c>
      <c r="N33" s="8">
        <v>39.299999999999997</v>
      </c>
      <c r="O33" s="8">
        <v>221</v>
      </c>
      <c r="P33" s="8">
        <v>248</v>
      </c>
      <c r="Q33" s="8">
        <v>88.6</v>
      </c>
      <c r="R33" s="9">
        <v>47</v>
      </c>
      <c r="S33" s="9">
        <v>214</v>
      </c>
      <c r="T33" s="9">
        <v>261</v>
      </c>
      <c r="U33" s="9">
        <v>402</v>
      </c>
      <c r="V33" s="9">
        <v>141</v>
      </c>
      <c r="W33" s="9">
        <v>94</v>
      </c>
      <c r="X33" s="9">
        <v>34</v>
      </c>
      <c r="Y33" s="9">
        <v>127</v>
      </c>
      <c r="Z33" s="8">
        <v>2586</v>
      </c>
      <c r="AA33" s="8">
        <v>5</v>
      </c>
      <c r="AB33" s="8">
        <v>0</v>
      </c>
      <c r="AC33" s="7">
        <v>4.9000000000000004</v>
      </c>
      <c r="AD33" s="7">
        <v>122</v>
      </c>
      <c r="AE33" s="7">
        <v>115.5</v>
      </c>
      <c r="AF33" s="7">
        <v>6.5</v>
      </c>
      <c r="AG33" s="7">
        <v>22.3</v>
      </c>
      <c r="AH33" s="7">
        <v>2.92</v>
      </c>
      <c r="AI33" s="7">
        <v>22.9</v>
      </c>
      <c r="AJ33" s="7">
        <v>1.9</v>
      </c>
      <c r="AK33" s="7">
        <v>8.4</v>
      </c>
      <c r="AL33" s="7">
        <v>5.3</v>
      </c>
      <c r="AM33" s="7">
        <v>7.8</v>
      </c>
      <c r="AN33" s="7">
        <v>54.3</v>
      </c>
      <c r="AO33" s="7">
        <v>58.4</v>
      </c>
      <c r="AP33" s="7">
        <v>23.5</v>
      </c>
      <c r="AQ33" s="7">
        <v>100.72</v>
      </c>
      <c r="AR33" s="7">
        <v>11.1</v>
      </c>
      <c r="AS33" s="7">
        <v>5075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1"/>
    </row>
    <row r="34" spans="1:70" ht="15.75" customHeight="1">
      <c r="A34" s="6" t="s">
        <v>105</v>
      </c>
      <c r="B34" s="6" t="s">
        <v>106</v>
      </c>
      <c r="C34" s="7">
        <v>27</v>
      </c>
      <c r="D34" s="7">
        <v>78</v>
      </c>
      <c r="E34" s="7">
        <v>36</v>
      </c>
      <c r="F34" s="7">
        <v>42</v>
      </c>
      <c r="G34" s="7">
        <v>34.299999999999997</v>
      </c>
      <c r="H34" s="8">
        <v>1412</v>
      </c>
      <c r="I34" s="9">
        <v>538</v>
      </c>
      <c r="J34" s="9">
        <v>1115</v>
      </c>
      <c r="K34" s="8">
        <v>48.5</v>
      </c>
      <c r="L34" s="9">
        <v>78</v>
      </c>
      <c r="M34" s="9">
        <v>218</v>
      </c>
      <c r="N34" s="8">
        <v>35.700000000000003</v>
      </c>
      <c r="O34" s="8">
        <v>250</v>
      </c>
      <c r="P34" s="8">
        <v>328</v>
      </c>
      <c r="Q34" s="8">
        <v>76.5</v>
      </c>
      <c r="R34" s="9">
        <v>187</v>
      </c>
      <c r="S34" s="9">
        <v>562</v>
      </c>
      <c r="T34" s="9">
        <v>749</v>
      </c>
      <c r="U34" s="9">
        <v>335</v>
      </c>
      <c r="V34" s="9">
        <v>164</v>
      </c>
      <c r="W34" s="9">
        <v>101</v>
      </c>
      <c r="X34" s="9">
        <v>55</v>
      </c>
      <c r="Y34" s="9">
        <v>164</v>
      </c>
      <c r="Z34" s="8">
        <v>3104</v>
      </c>
      <c r="AA34" s="8">
        <v>38</v>
      </c>
      <c r="AB34" s="8">
        <v>1</v>
      </c>
      <c r="AC34" s="7">
        <v>0.3</v>
      </c>
      <c r="AD34" s="7">
        <v>110.9</v>
      </c>
      <c r="AE34" s="7">
        <v>110.8</v>
      </c>
      <c r="AF34" s="7">
        <v>0.1</v>
      </c>
      <c r="AG34" s="7">
        <v>20.399999999999999</v>
      </c>
      <c r="AH34" s="7">
        <v>2.09</v>
      </c>
      <c r="AI34" s="7">
        <v>19.2</v>
      </c>
      <c r="AJ34" s="7">
        <v>6.9</v>
      </c>
      <c r="AK34" s="7">
        <v>21.4</v>
      </c>
      <c r="AL34" s="7">
        <v>14.1</v>
      </c>
      <c r="AM34" s="7">
        <v>9.1999999999999993</v>
      </c>
      <c r="AN34" s="7">
        <v>52.1</v>
      </c>
      <c r="AO34" s="7">
        <v>56.1</v>
      </c>
      <c r="AP34" s="7">
        <v>23.2</v>
      </c>
      <c r="AQ34" s="7">
        <v>97.02</v>
      </c>
      <c r="AR34" s="7">
        <v>13.7</v>
      </c>
      <c r="AS34" s="7">
        <v>5414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1"/>
    </row>
    <row r="35" spans="1:70" ht="15.75" customHeight="1">
      <c r="A35" s="6" t="s">
        <v>107</v>
      </c>
      <c r="B35" s="6" t="s">
        <v>108</v>
      </c>
      <c r="C35" s="7">
        <v>26</v>
      </c>
      <c r="D35" s="7">
        <v>50</v>
      </c>
      <c r="E35" s="7">
        <v>31</v>
      </c>
      <c r="F35" s="7">
        <v>19</v>
      </c>
      <c r="G35" s="7">
        <v>35.4</v>
      </c>
      <c r="H35" s="8">
        <v>1410</v>
      </c>
      <c r="I35" s="9">
        <v>460</v>
      </c>
      <c r="J35" s="9">
        <v>1025</v>
      </c>
      <c r="K35" s="8">
        <v>45</v>
      </c>
      <c r="L35" s="9">
        <v>175</v>
      </c>
      <c r="M35" s="9">
        <v>480</v>
      </c>
      <c r="N35" s="8">
        <v>36.799999999999997</v>
      </c>
      <c r="O35" s="8">
        <v>310</v>
      </c>
      <c r="P35" s="8">
        <v>395</v>
      </c>
      <c r="Q35" s="8">
        <v>78.2</v>
      </c>
      <c r="R35" s="9">
        <v>40</v>
      </c>
      <c r="S35" s="9">
        <v>370</v>
      </c>
      <c r="T35" s="9">
        <v>410</v>
      </c>
      <c r="U35" s="9">
        <v>385</v>
      </c>
      <c r="V35" s="9">
        <v>180</v>
      </c>
      <c r="W35" s="9">
        <v>90</v>
      </c>
      <c r="X35" s="9">
        <v>20</v>
      </c>
      <c r="Y35" s="9">
        <v>125</v>
      </c>
      <c r="Z35" s="8">
        <v>2625</v>
      </c>
      <c r="AA35" s="8">
        <v>21</v>
      </c>
      <c r="AB35" s="8">
        <v>5</v>
      </c>
      <c r="AC35" s="7">
        <v>6.9</v>
      </c>
      <c r="AD35" s="7">
        <v>119.6</v>
      </c>
      <c r="AE35" s="7">
        <v>110.5</v>
      </c>
      <c r="AF35" s="7">
        <v>9.1</v>
      </c>
      <c r="AG35" s="7">
        <v>34.200000000000003</v>
      </c>
      <c r="AH35" s="7">
        <v>2.14</v>
      </c>
      <c r="AI35" s="7">
        <v>21.8</v>
      </c>
      <c r="AJ35" s="7">
        <v>2.2999999999999998</v>
      </c>
      <c r="AK35" s="7">
        <v>19.8</v>
      </c>
      <c r="AL35" s="7">
        <v>11.2</v>
      </c>
      <c r="AM35" s="7">
        <v>10.199999999999999</v>
      </c>
      <c r="AN35" s="7">
        <v>53.6</v>
      </c>
      <c r="AO35" s="7">
        <v>58.7</v>
      </c>
      <c r="AP35" s="7">
        <v>32.799999999999997</v>
      </c>
      <c r="AQ35" s="7">
        <v>100.22</v>
      </c>
      <c r="AR35" s="7">
        <v>17</v>
      </c>
      <c r="AS35" s="7">
        <v>3696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1"/>
    </row>
    <row r="36" spans="1:70" ht="15.75" customHeight="1">
      <c r="A36" s="13" t="s">
        <v>109</v>
      </c>
      <c r="B36" s="6" t="s">
        <v>110</v>
      </c>
      <c r="C36" s="7">
        <v>26</v>
      </c>
      <c r="D36" s="7">
        <v>77</v>
      </c>
      <c r="E36" s="7">
        <v>47</v>
      </c>
      <c r="F36" s="7">
        <v>30</v>
      </c>
      <c r="G36" s="7">
        <v>33.700000000000003</v>
      </c>
      <c r="H36" s="8">
        <v>1401</v>
      </c>
      <c r="I36" s="9">
        <v>531</v>
      </c>
      <c r="J36" s="9">
        <v>1047</v>
      </c>
      <c r="K36" s="8">
        <v>50.4</v>
      </c>
      <c r="L36" s="9">
        <v>193</v>
      </c>
      <c r="M36" s="9">
        <v>493</v>
      </c>
      <c r="N36" s="8">
        <v>39.5</v>
      </c>
      <c r="O36" s="8">
        <v>146</v>
      </c>
      <c r="P36" s="8">
        <v>193</v>
      </c>
      <c r="Q36" s="8">
        <v>76.8</v>
      </c>
      <c r="R36" s="9">
        <v>139</v>
      </c>
      <c r="S36" s="9">
        <v>400</v>
      </c>
      <c r="T36" s="9">
        <v>539</v>
      </c>
      <c r="U36" s="9">
        <v>162</v>
      </c>
      <c r="V36" s="9">
        <v>108</v>
      </c>
      <c r="W36" s="9">
        <v>46</v>
      </c>
      <c r="X36" s="9">
        <v>39</v>
      </c>
      <c r="Y36" s="9">
        <v>154</v>
      </c>
      <c r="Z36" s="8">
        <v>2456</v>
      </c>
      <c r="AA36" s="8">
        <v>15</v>
      </c>
      <c r="AB36" s="8">
        <v>0</v>
      </c>
      <c r="AC36" s="7">
        <v>3.4</v>
      </c>
      <c r="AD36" s="7">
        <v>119.8</v>
      </c>
      <c r="AE36" s="7">
        <v>115.4</v>
      </c>
      <c r="AF36" s="7">
        <v>4.4000000000000004</v>
      </c>
      <c r="AG36" s="7">
        <v>8.4</v>
      </c>
      <c r="AH36" s="7">
        <v>1.59</v>
      </c>
      <c r="AI36" s="7">
        <v>11.8</v>
      </c>
      <c r="AJ36" s="7">
        <v>5.5</v>
      </c>
      <c r="AK36" s="7">
        <v>14.6</v>
      </c>
      <c r="AL36" s="7">
        <v>10.3</v>
      </c>
      <c r="AM36" s="7">
        <v>7.4</v>
      </c>
      <c r="AN36" s="7">
        <v>59.6</v>
      </c>
      <c r="AO36" s="7">
        <v>61.7</v>
      </c>
      <c r="AP36" s="7">
        <v>19.7</v>
      </c>
      <c r="AQ36" s="7">
        <v>101.52</v>
      </c>
      <c r="AR36" s="7">
        <v>10.1</v>
      </c>
      <c r="AS36" s="7">
        <v>5494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1"/>
    </row>
    <row r="37" spans="1:70" ht="15.75" customHeight="1">
      <c r="A37" s="6" t="s">
        <v>111</v>
      </c>
      <c r="B37" s="6" t="s">
        <v>112</v>
      </c>
      <c r="C37" s="7">
        <v>28</v>
      </c>
      <c r="D37" s="7">
        <v>63</v>
      </c>
      <c r="E37" s="7">
        <v>46</v>
      </c>
      <c r="F37" s="7">
        <v>17</v>
      </c>
      <c r="G37" s="7">
        <v>34.299999999999997</v>
      </c>
      <c r="H37" s="8">
        <v>1399</v>
      </c>
      <c r="I37" s="9">
        <v>517</v>
      </c>
      <c r="J37" s="9">
        <v>1115</v>
      </c>
      <c r="K37" s="8">
        <v>46.3</v>
      </c>
      <c r="L37" s="9">
        <v>113</v>
      </c>
      <c r="M37" s="9">
        <v>359</v>
      </c>
      <c r="N37" s="8">
        <v>32.4</v>
      </c>
      <c r="O37" s="8">
        <v>246</v>
      </c>
      <c r="P37" s="8">
        <v>321</v>
      </c>
      <c r="Q37" s="8">
        <v>76.400000000000006</v>
      </c>
      <c r="R37" s="9">
        <v>82</v>
      </c>
      <c r="S37" s="9">
        <v>284</v>
      </c>
      <c r="T37" s="9">
        <v>365</v>
      </c>
      <c r="U37" s="9">
        <v>284</v>
      </c>
      <c r="V37" s="9">
        <v>164</v>
      </c>
      <c r="W37" s="9">
        <v>76</v>
      </c>
      <c r="X37" s="9">
        <v>19</v>
      </c>
      <c r="Y37" s="9">
        <v>151</v>
      </c>
      <c r="Z37" s="8">
        <v>2381</v>
      </c>
      <c r="AA37" s="8">
        <v>5</v>
      </c>
      <c r="AB37" s="8">
        <v>0</v>
      </c>
      <c r="AC37" s="7">
        <v>6.4</v>
      </c>
      <c r="AD37" s="7">
        <v>121.1</v>
      </c>
      <c r="AE37" s="7">
        <v>111.7</v>
      </c>
      <c r="AF37" s="7">
        <v>9.5</v>
      </c>
      <c r="AG37" s="7">
        <v>20.399999999999999</v>
      </c>
      <c r="AH37" s="7">
        <v>1.77</v>
      </c>
      <c r="AI37" s="7">
        <v>16.8</v>
      </c>
      <c r="AJ37" s="7">
        <v>3.7</v>
      </c>
      <c r="AK37" s="7">
        <v>12.6</v>
      </c>
      <c r="AL37" s="7">
        <v>8.1999999999999993</v>
      </c>
      <c r="AM37" s="7">
        <v>9.5</v>
      </c>
      <c r="AN37" s="7">
        <v>51.5</v>
      </c>
      <c r="AO37" s="7">
        <v>55.5</v>
      </c>
      <c r="AP37" s="7">
        <v>28.2</v>
      </c>
      <c r="AQ37" s="7">
        <v>98.57</v>
      </c>
      <c r="AR37" s="7">
        <v>11.4</v>
      </c>
      <c r="AS37" s="7">
        <v>4424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1"/>
    </row>
    <row r="38" spans="1:70" ht="15.75" customHeight="1">
      <c r="A38" s="6" t="s">
        <v>113</v>
      </c>
      <c r="B38" s="6" t="s">
        <v>114</v>
      </c>
      <c r="C38" s="7">
        <v>25</v>
      </c>
      <c r="D38" s="7">
        <v>68</v>
      </c>
      <c r="E38" s="7">
        <v>15</v>
      </c>
      <c r="F38" s="7">
        <v>53</v>
      </c>
      <c r="G38" s="7">
        <v>29.4</v>
      </c>
      <c r="H38" s="8">
        <v>1394</v>
      </c>
      <c r="I38" s="9">
        <v>456</v>
      </c>
      <c r="J38" s="9">
        <v>1054</v>
      </c>
      <c r="K38" s="8">
        <v>43.2</v>
      </c>
      <c r="L38" s="9">
        <v>238</v>
      </c>
      <c r="M38" s="9">
        <v>619</v>
      </c>
      <c r="N38" s="8">
        <v>37.799999999999997</v>
      </c>
      <c r="O38" s="8">
        <v>245</v>
      </c>
      <c r="P38" s="8">
        <v>272</v>
      </c>
      <c r="Q38" s="8">
        <v>88.3</v>
      </c>
      <c r="R38" s="9">
        <v>34</v>
      </c>
      <c r="S38" s="9">
        <v>170</v>
      </c>
      <c r="T38" s="9">
        <v>204</v>
      </c>
      <c r="U38" s="9">
        <v>306</v>
      </c>
      <c r="V38" s="9">
        <v>204</v>
      </c>
      <c r="W38" s="9">
        <v>88</v>
      </c>
      <c r="X38" s="9">
        <v>27</v>
      </c>
      <c r="Y38" s="9">
        <v>204</v>
      </c>
      <c r="Z38" s="8">
        <v>2224</v>
      </c>
      <c r="AA38" s="8">
        <v>1</v>
      </c>
      <c r="AB38" s="8">
        <v>0</v>
      </c>
      <c r="AC38" s="7">
        <v>-8.1999999999999993</v>
      </c>
      <c r="AD38" s="7">
        <v>104.8</v>
      </c>
      <c r="AE38" s="7">
        <v>117.9</v>
      </c>
      <c r="AF38" s="7">
        <v>-13.1</v>
      </c>
      <c r="AG38" s="7">
        <v>25.4</v>
      </c>
      <c r="AH38" s="7">
        <v>1.49</v>
      </c>
      <c r="AI38" s="7">
        <v>18</v>
      </c>
      <c r="AJ38" s="7">
        <v>1.4</v>
      </c>
      <c r="AK38" s="7">
        <v>8</v>
      </c>
      <c r="AL38" s="7">
        <v>4.5999999999999996</v>
      </c>
      <c r="AM38" s="7">
        <v>12.1</v>
      </c>
      <c r="AN38" s="7">
        <v>54.4</v>
      </c>
      <c r="AO38" s="7">
        <v>59.1</v>
      </c>
      <c r="AP38" s="7">
        <v>28.1</v>
      </c>
      <c r="AQ38" s="7">
        <v>103.95</v>
      </c>
      <c r="AR38" s="7">
        <v>10.7</v>
      </c>
      <c r="AS38" s="7">
        <v>4337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1"/>
    </row>
    <row r="39" spans="1:70" ht="15.75" customHeight="1">
      <c r="A39" s="6" t="s">
        <v>115</v>
      </c>
      <c r="B39" s="6" t="s">
        <v>116</v>
      </c>
      <c r="C39" s="7">
        <v>24</v>
      </c>
      <c r="D39" s="7">
        <v>52</v>
      </c>
      <c r="E39" s="7">
        <v>20</v>
      </c>
      <c r="F39" s="7">
        <v>32</v>
      </c>
      <c r="G39" s="7">
        <v>37.700000000000003</v>
      </c>
      <c r="H39" s="8">
        <v>1368</v>
      </c>
      <c r="I39" s="9">
        <v>478</v>
      </c>
      <c r="J39" s="9">
        <v>1092</v>
      </c>
      <c r="K39" s="8">
        <v>43.7</v>
      </c>
      <c r="L39" s="9">
        <v>161</v>
      </c>
      <c r="M39" s="9">
        <v>478</v>
      </c>
      <c r="N39" s="8">
        <v>33.700000000000003</v>
      </c>
      <c r="O39" s="8">
        <v>255</v>
      </c>
      <c r="P39" s="8">
        <v>291</v>
      </c>
      <c r="Q39" s="8">
        <v>87.9</v>
      </c>
      <c r="R39" s="9">
        <v>16</v>
      </c>
      <c r="S39" s="9">
        <v>161</v>
      </c>
      <c r="T39" s="9">
        <v>172</v>
      </c>
      <c r="U39" s="9">
        <v>317</v>
      </c>
      <c r="V39" s="9">
        <v>125</v>
      </c>
      <c r="W39" s="9">
        <v>94</v>
      </c>
      <c r="X39" s="9">
        <v>21</v>
      </c>
      <c r="Y39" s="9">
        <v>114</v>
      </c>
      <c r="Z39" s="8">
        <v>2267</v>
      </c>
      <c r="AA39" s="8">
        <v>8</v>
      </c>
      <c r="AB39" s="8">
        <v>1</v>
      </c>
      <c r="AC39" s="7">
        <v>-2.4</v>
      </c>
      <c r="AD39" s="7">
        <v>113.8</v>
      </c>
      <c r="AE39" s="7">
        <v>117.4</v>
      </c>
      <c r="AF39" s="7">
        <v>-3.5</v>
      </c>
      <c r="AG39" s="7">
        <v>27.6</v>
      </c>
      <c r="AH39" s="7">
        <v>2.56</v>
      </c>
      <c r="AI39" s="7">
        <v>19.2</v>
      </c>
      <c r="AJ39" s="7">
        <v>0.7</v>
      </c>
      <c r="AK39" s="7">
        <v>8.6999999999999993</v>
      </c>
      <c r="AL39" s="7">
        <v>4.5</v>
      </c>
      <c r="AM39" s="7">
        <v>7.5</v>
      </c>
      <c r="AN39" s="7">
        <v>51.1</v>
      </c>
      <c r="AO39" s="7">
        <v>56.2</v>
      </c>
      <c r="AP39" s="7">
        <v>29.3</v>
      </c>
      <c r="AQ39" s="7">
        <v>98.34</v>
      </c>
      <c r="AR39" s="7">
        <v>12.7</v>
      </c>
      <c r="AS39" s="7">
        <v>4024</v>
      </c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1"/>
    </row>
    <row r="40" spans="1:70" ht="15.75" customHeight="1">
      <c r="A40" s="6" t="s">
        <v>117</v>
      </c>
      <c r="B40" s="6" t="s">
        <v>118</v>
      </c>
      <c r="C40" s="7">
        <v>25</v>
      </c>
      <c r="D40" s="7">
        <v>73</v>
      </c>
      <c r="E40" s="7">
        <v>46</v>
      </c>
      <c r="F40" s="7">
        <v>27</v>
      </c>
      <c r="G40" s="7">
        <v>33.6</v>
      </c>
      <c r="H40" s="8">
        <v>1358</v>
      </c>
      <c r="I40" s="9">
        <v>475</v>
      </c>
      <c r="J40" s="9">
        <v>1007</v>
      </c>
      <c r="K40" s="8">
        <v>47.3</v>
      </c>
      <c r="L40" s="9">
        <v>219</v>
      </c>
      <c r="M40" s="9">
        <v>562</v>
      </c>
      <c r="N40" s="8">
        <v>38.799999999999997</v>
      </c>
      <c r="O40" s="8">
        <v>190</v>
      </c>
      <c r="P40" s="8">
        <v>219</v>
      </c>
      <c r="Q40" s="8">
        <v>85.1</v>
      </c>
      <c r="R40" s="9">
        <v>44</v>
      </c>
      <c r="S40" s="9">
        <v>219</v>
      </c>
      <c r="T40" s="9">
        <v>256</v>
      </c>
      <c r="U40" s="9">
        <v>672</v>
      </c>
      <c r="V40" s="9">
        <v>117</v>
      </c>
      <c r="W40" s="9">
        <v>102</v>
      </c>
      <c r="X40" s="9">
        <v>51</v>
      </c>
      <c r="Y40" s="9">
        <v>95</v>
      </c>
      <c r="Z40" s="8">
        <v>3022</v>
      </c>
      <c r="AA40" s="8">
        <v>31</v>
      </c>
      <c r="AB40" s="8">
        <v>0</v>
      </c>
      <c r="AC40" s="7">
        <v>3</v>
      </c>
      <c r="AD40" s="7">
        <v>117.7</v>
      </c>
      <c r="AE40" s="7">
        <v>114.2</v>
      </c>
      <c r="AF40" s="7">
        <v>3.5</v>
      </c>
      <c r="AG40" s="7">
        <v>38.4</v>
      </c>
      <c r="AH40" s="7">
        <v>5.61</v>
      </c>
      <c r="AI40" s="7">
        <v>35.799999999999997</v>
      </c>
      <c r="AJ40" s="7">
        <v>1.7</v>
      </c>
      <c r="AK40" s="7">
        <v>8.6999999999999993</v>
      </c>
      <c r="AL40" s="7">
        <v>5.2</v>
      </c>
      <c r="AM40" s="7">
        <v>6.4</v>
      </c>
      <c r="AN40" s="7">
        <v>58.2</v>
      </c>
      <c r="AO40" s="7">
        <v>61.6</v>
      </c>
      <c r="AP40" s="7">
        <v>21</v>
      </c>
      <c r="AQ40" s="7">
        <v>100.82</v>
      </c>
      <c r="AR40" s="7">
        <v>14.3</v>
      </c>
      <c r="AS40" s="7">
        <v>5165</v>
      </c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1"/>
    </row>
    <row r="41" spans="1:70" ht="15.75" customHeight="1">
      <c r="A41" s="6" t="s">
        <v>119</v>
      </c>
      <c r="B41" s="6" t="s">
        <v>120</v>
      </c>
      <c r="C41" s="7">
        <v>34</v>
      </c>
      <c r="D41" s="7">
        <v>73</v>
      </c>
      <c r="E41" s="7">
        <v>34</v>
      </c>
      <c r="F41" s="7">
        <v>39</v>
      </c>
      <c r="G41" s="7">
        <v>31.2</v>
      </c>
      <c r="H41" s="8">
        <v>1351</v>
      </c>
      <c r="I41" s="9">
        <v>548</v>
      </c>
      <c r="J41" s="9">
        <v>1037</v>
      </c>
      <c r="K41" s="8">
        <v>53</v>
      </c>
      <c r="L41" s="9">
        <v>131</v>
      </c>
      <c r="M41" s="9">
        <v>321</v>
      </c>
      <c r="N41" s="8">
        <v>40.200000000000003</v>
      </c>
      <c r="O41" s="8">
        <v>117</v>
      </c>
      <c r="P41" s="8">
        <v>146</v>
      </c>
      <c r="Q41" s="8">
        <v>80.5</v>
      </c>
      <c r="R41" s="9">
        <v>175</v>
      </c>
      <c r="S41" s="9">
        <v>555</v>
      </c>
      <c r="T41" s="9">
        <v>737</v>
      </c>
      <c r="U41" s="9">
        <v>256</v>
      </c>
      <c r="V41" s="9">
        <v>117</v>
      </c>
      <c r="W41" s="9">
        <v>58</v>
      </c>
      <c r="X41" s="9">
        <v>51</v>
      </c>
      <c r="Y41" s="9">
        <v>161</v>
      </c>
      <c r="Z41" s="8">
        <v>2832</v>
      </c>
      <c r="AA41" s="8">
        <v>45</v>
      </c>
      <c r="AB41" s="8">
        <v>1</v>
      </c>
      <c r="AC41" s="7">
        <v>-1.3</v>
      </c>
      <c r="AD41" s="7">
        <v>113.6</v>
      </c>
      <c r="AE41" s="7">
        <v>116</v>
      </c>
      <c r="AF41" s="7">
        <v>-2.4</v>
      </c>
      <c r="AG41" s="7">
        <v>16.5</v>
      </c>
      <c r="AH41" s="7">
        <v>2.15</v>
      </c>
      <c r="AI41" s="7">
        <v>17.3</v>
      </c>
      <c r="AJ41" s="7">
        <v>7.6</v>
      </c>
      <c r="AK41" s="7">
        <v>22.8</v>
      </c>
      <c r="AL41" s="7">
        <v>15.4</v>
      </c>
      <c r="AM41" s="7">
        <v>8.1</v>
      </c>
      <c r="AN41" s="7">
        <v>59.2</v>
      </c>
      <c r="AO41" s="7">
        <v>61.1</v>
      </c>
      <c r="AP41" s="7">
        <v>22.1</v>
      </c>
      <c r="AQ41" s="7">
        <v>104.11</v>
      </c>
      <c r="AR41" s="7">
        <v>13.6</v>
      </c>
      <c r="AS41" s="7">
        <v>4950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1"/>
    </row>
    <row r="42" spans="1:70" ht="15.75" customHeight="1">
      <c r="A42" s="6" t="s">
        <v>121</v>
      </c>
      <c r="B42" s="6" t="s">
        <v>122</v>
      </c>
      <c r="C42" s="7">
        <v>26</v>
      </c>
      <c r="D42" s="7">
        <v>70</v>
      </c>
      <c r="E42" s="7">
        <v>28</v>
      </c>
      <c r="F42" s="7">
        <v>42</v>
      </c>
      <c r="G42" s="7">
        <v>32.700000000000003</v>
      </c>
      <c r="H42" s="8">
        <v>1351</v>
      </c>
      <c r="I42" s="9">
        <v>476</v>
      </c>
      <c r="J42" s="9">
        <v>1127</v>
      </c>
      <c r="K42" s="8">
        <v>42.6</v>
      </c>
      <c r="L42" s="9">
        <v>217</v>
      </c>
      <c r="M42" s="9">
        <v>595</v>
      </c>
      <c r="N42" s="8">
        <v>36.299999999999997</v>
      </c>
      <c r="O42" s="8">
        <v>175</v>
      </c>
      <c r="P42" s="8">
        <v>196</v>
      </c>
      <c r="Q42" s="8">
        <v>90.2</v>
      </c>
      <c r="R42" s="9">
        <v>28</v>
      </c>
      <c r="S42" s="9">
        <v>161</v>
      </c>
      <c r="T42" s="9">
        <v>189</v>
      </c>
      <c r="U42" s="9">
        <v>336</v>
      </c>
      <c r="V42" s="9">
        <v>140</v>
      </c>
      <c r="W42" s="9">
        <v>63</v>
      </c>
      <c r="X42" s="9">
        <v>7</v>
      </c>
      <c r="Y42" s="9">
        <v>119</v>
      </c>
      <c r="Z42" s="8">
        <v>2135</v>
      </c>
      <c r="AA42" s="8">
        <v>2</v>
      </c>
      <c r="AB42" s="8">
        <v>0</v>
      </c>
      <c r="AC42" s="7">
        <v>-3.1</v>
      </c>
      <c r="AD42" s="7">
        <v>108.8</v>
      </c>
      <c r="AE42" s="7">
        <v>113.4</v>
      </c>
      <c r="AF42" s="7">
        <v>-4.5999999999999996</v>
      </c>
      <c r="AG42" s="7">
        <v>24.1</v>
      </c>
      <c r="AH42" s="7">
        <v>2.36</v>
      </c>
      <c r="AI42" s="7">
        <v>20.100000000000001</v>
      </c>
      <c r="AJ42" s="7">
        <v>1</v>
      </c>
      <c r="AK42" s="7">
        <v>6.9</v>
      </c>
      <c r="AL42" s="7">
        <v>3.9</v>
      </c>
      <c r="AM42" s="7">
        <v>8.5</v>
      </c>
      <c r="AN42" s="7">
        <v>52.1</v>
      </c>
      <c r="AO42" s="7">
        <v>55.7</v>
      </c>
      <c r="AP42" s="7">
        <v>24.1</v>
      </c>
      <c r="AQ42" s="7">
        <v>99.72</v>
      </c>
      <c r="AR42" s="7">
        <v>10.6</v>
      </c>
      <c r="AS42" s="7">
        <v>4760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1"/>
    </row>
    <row r="43" spans="1:70" ht="15.75" customHeight="1">
      <c r="A43" s="6" t="s">
        <v>123</v>
      </c>
      <c r="B43" s="6" t="s">
        <v>124</v>
      </c>
      <c r="C43" s="7">
        <v>28</v>
      </c>
      <c r="D43" s="7">
        <v>80</v>
      </c>
      <c r="E43" s="7">
        <v>50</v>
      </c>
      <c r="F43" s="7">
        <v>30</v>
      </c>
      <c r="G43" s="7">
        <v>32.799999999999997</v>
      </c>
      <c r="H43" s="8">
        <v>1344</v>
      </c>
      <c r="I43" s="9">
        <v>592</v>
      </c>
      <c r="J43" s="9">
        <v>944</v>
      </c>
      <c r="K43" s="8">
        <v>62.8</v>
      </c>
      <c r="L43" s="8">
        <v>0</v>
      </c>
      <c r="M43" s="8">
        <v>0</v>
      </c>
      <c r="N43" s="8">
        <v>0</v>
      </c>
      <c r="O43" s="8">
        <v>160</v>
      </c>
      <c r="P43" s="8">
        <v>240</v>
      </c>
      <c r="Q43" s="8">
        <v>66.099999999999994</v>
      </c>
      <c r="R43" s="9">
        <v>304</v>
      </c>
      <c r="S43" s="9">
        <v>712</v>
      </c>
      <c r="T43" s="9">
        <v>1008</v>
      </c>
      <c r="U43" s="9">
        <v>216</v>
      </c>
      <c r="V43" s="9">
        <v>128</v>
      </c>
      <c r="W43" s="9">
        <v>56</v>
      </c>
      <c r="X43" s="9">
        <v>88</v>
      </c>
      <c r="Y43" s="9">
        <v>168</v>
      </c>
      <c r="Z43" s="8">
        <v>3184</v>
      </c>
      <c r="AA43" s="8">
        <v>59</v>
      </c>
      <c r="AB43" s="8">
        <v>1</v>
      </c>
      <c r="AC43" s="7">
        <v>6.4</v>
      </c>
      <c r="AD43" s="7">
        <v>116.5</v>
      </c>
      <c r="AE43" s="7">
        <v>107.1</v>
      </c>
      <c r="AF43" s="7">
        <v>9.4</v>
      </c>
      <c r="AG43" s="7">
        <v>12.1</v>
      </c>
      <c r="AH43" s="7">
        <v>1.69</v>
      </c>
      <c r="AI43" s="7">
        <v>15.5</v>
      </c>
      <c r="AJ43" s="7">
        <v>12.2</v>
      </c>
      <c r="AK43" s="7">
        <v>27.1</v>
      </c>
      <c r="AL43" s="7">
        <v>19.899999999999999</v>
      </c>
      <c r="AM43" s="7">
        <v>9.1999999999999993</v>
      </c>
      <c r="AN43" s="7">
        <v>62.8</v>
      </c>
      <c r="AO43" s="7">
        <v>64.099999999999994</v>
      </c>
      <c r="AP43" s="7">
        <v>19.2</v>
      </c>
      <c r="AQ43" s="7">
        <v>98.55</v>
      </c>
      <c r="AR43" s="7">
        <v>15.7</v>
      </c>
      <c r="AS43" s="7">
        <v>5392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1"/>
    </row>
    <row r="44" spans="1:70" ht="15.75" customHeight="1">
      <c r="A44" s="6" t="s">
        <v>125</v>
      </c>
      <c r="B44" s="6" t="s">
        <v>126</v>
      </c>
      <c r="C44" s="7">
        <v>28</v>
      </c>
      <c r="D44" s="7">
        <v>82</v>
      </c>
      <c r="E44" s="7">
        <v>44</v>
      </c>
      <c r="F44" s="7">
        <v>38</v>
      </c>
      <c r="G44" s="7">
        <v>27.8</v>
      </c>
      <c r="H44" s="8">
        <v>1337</v>
      </c>
      <c r="I44" s="9">
        <v>459</v>
      </c>
      <c r="J44" s="9">
        <v>1074</v>
      </c>
      <c r="K44" s="8">
        <v>43</v>
      </c>
      <c r="L44" s="9">
        <v>320</v>
      </c>
      <c r="M44" s="9">
        <v>763</v>
      </c>
      <c r="N44" s="8">
        <v>41.6</v>
      </c>
      <c r="O44" s="8">
        <v>98</v>
      </c>
      <c r="P44" s="8">
        <v>139</v>
      </c>
      <c r="Q44" s="8">
        <v>67.900000000000006</v>
      </c>
      <c r="R44" s="9">
        <v>49</v>
      </c>
      <c r="S44" s="9">
        <v>164</v>
      </c>
      <c r="T44" s="9">
        <v>213</v>
      </c>
      <c r="U44" s="9">
        <v>139</v>
      </c>
      <c r="V44" s="9">
        <v>82</v>
      </c>
      <c r="W44" s="9">
        <v>74</v>
      </c>
      <c r="X44" s="9">
        <v>8</v>
      </c>
      <c r="Y44" s="9">
        <v>123</v>
      </c>
      <c r="Z44" s="8">
        <v>1952</v>
      </c>
      <c r="AA44" s="8">
        <v>1</v>
      </c>
      <c r="AB44" s="8">
        <v>0</v>
      </c>
      <c r="AC44" s="7">
        <v>2.1</v>
      </c>
      <c r="AD44" s="7">
        <v>113.3</v>
      </c>
      <c r="AE44" s="7">
        <v>110.2</v>
      </c>
      <c r="AF44" s="7">
        <v>3.1</v>
      </c>
      <c r="AG44" s="7">
        <v>8.9</v>
      </c>
      <c r="AH44" s="7">
        <v>1.67</v>
      </c>
      <c r="AI44" s="7">
        <v>10.3</v>
      </c>
      <c r="AJ44" s="7">
        <v>2</v>
      </c>
      <c r="AK44" s="7">
        <v>6.9</v>
      </c>
      <c r="AL44" s="7">
        <v>4.5</v>
      </c>
      <c r="AM44" s="7">
        <v>6.2</v>
      </c>
      <c r="AN44" s="7">
        <v>57.9</v>
      </c>
      <c r="AO44" s="7">
        <v>59</v>
      </c>
      <c r="AP44" s="7">
        <v>21.5</v>
      </c>
      <c r="AQ44" s="7">
        <v>102.76</v>
      </c>
      <c r="AR44" s="7">
        <v>9.1</v>
      </c>
      <c r="AS44" s="7">
        <v>4898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1"/>
    </row>
    <row r="45" spans="1:70" ht="15.75" customHeight="1">
      <c r="A45" s="6" t="s">
        <v>127</v>
      </c>
      <c r="B45" s="6" t="s">
        <v>128</v>
      </c>
      <c r="C45" s="7">
        <v>29</v>
      </c>
      <c r="D45" s="7">
        <v>70</v>
      </c>
      <c r="E45" s="7">
        <v>36</v>
      </c>
      <c r="F45" s="7">
        <v>34</v>
      </c>
      <c r="G45" s="7">
        <v>34.700000000000003</v>
      </c>
      <c r="H45" s="8">
        <v>1337</v>
      </c>
      <c r="I45" s="9">
        <v>525</v>
      </c>
      <c r="J45" s="9">
        <v>896</v>
      </c>
      <c r="K45" s="8">
        <v>59</v>
      </c>
      <c r="L45" s="9">
        <v>63</v>
      </c>
      <c r="M45" s="9">
        <v>154</v>
      </c>
      <c r="N45" s="8">
        <v>41.7</v>
      </c>
      <c r="O45" s="8">
        <v>217</v>
      </c>
      <c r="P45" s="8">
        <v>287</v>
      </c>
      <c r="Q45" s="8">
        <v>75.400000000000006</v>
      </c>
      <c r="R45" s="9">
        <v>266</v>
      </c>
      <c r="S45" s="9">
        <v>707</v>
      </c>
      <c r="T45" s="9">
        <v>973</v>
      </c>
      <c r="U45" s="9">
        <v>420</v>
      </c>
      <c r="V45" s="9">
        <v>203</v>
      </c>
      <c r="W45" s="9">
        <v>49</v>
      </c>
      <c r="X45" s="9">
        <v>28</v>
      </c>
      <c r="Y45" s="9">
        <v>231</v>
      </c>
      <c r="Z45" s="8">
        <v>3157</v>
      </c>
      <c r="AA45" s="8">
        <v>61</v>
      </c>
      <c r="AB45" s="8">
        <v>10</v>
      </c>
      <c r="AC45" s="7">
        <v>2.1</v>
      </c>
      <c r="AD45" s="7">
        <v>116.5</v>
      </c>
      <c r="AE45" s="7">
        <v>113.9</v>
      </c>
      <c r="AF45" s="7">
        <v>2.6</v>
      </c>
      <c r="AG45" s="7">
        <v>25.1</v>
      </c>
      <c r="AH45" s="7">
        <v>2.09</v>
      </c>
      <c r="AI45" s="7">
        <v>25.7</v>
      </c>
      <c r="AJ45" s="7">
        <v>11</v>
      </c>
      <c r="AK45" s="7">
        <v>28.6</v>
      </c>
      <c r="AL45" s="7">
        <v>19.899999999999999</v>
      </c>
      <c r="AM45" s="7">
        <v>12.3</v>
      </c>
      <c r="AN45" s="7">
        <v>62.7</v>
      </c>
      <c r="AO45" s="7">
        <v>65.5</v>
      </c>
      <c r="AP45" s="7">
        <v>21.3</v>
      </c>
      <c r="AQ45" s="7">
        <v>99.78</v>
      </c>
      <c r="AR45" s="7">
        <v>16.399999999999999</v>
      </c>
      <c r="AS45" s="7">
        <v>5054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1"/>
    </row>
    <row r="46" spans="1:70" ht="15.75" customHeight="1">
      <c r="A46" s="6" t="s">
        <v>129</v>
      </c>
      <c r="B46" s="6" t="s">
        <v>130</v>
      </c>
      <c r="C46" s="7">
        <v>27</v>
      </c>
      <c r="D46" s="7">
        <v>74</v>
      </c>
      <c r="E46" s="7">
        <v>45</v>
      </c>
      <c r="F46" s="7">
        <v>29</v>
      </c>
      <c r="G46" s="7">
        <v>36.6</v>
      </c>
      <c r="H46" s="8">
        <v>1332</v>
      </c>
      <c r="I46" s="9">
        <v>488</v>
      </c>
      <c r="J46" s="9">
        <v>1029</v>
      </c>
      <c r="K46" s="8">
        <v>47.6</v>
      </c>
      <c r="L46" s="9">
        <v>170</v>
      </c>
      <c r="M46" s="9">
        <v>459</v>
      </c>
      <c r="N46" s="8">
        <v>37.200000000000003</v>
      </c>
      <c r="O46" s="8">
        <v>185</v>
      </c>
      <c r="P46" s="8">
        <v>229</v>
      </c>
      <c r="Q46" s="8">
        <v>81</v>
      </c>
      <c r="R46" s="9">
        <v>96</v>
      </c>
      <c r="S46" s="9">
        <v>259</v>
      </c>
      <c r="T46" s="9">
        <v>355</v>
      </c>
      <c r="U46" s="9">
        <v>163</v>
      </c>
      <c r="V46" s="9">
        <v>104</v>
      </c>
      <c r="W46" s="9">
        <v>111</v>
      </c>
      <c r="X46" s="9">
        <v>67</v>
      </c>
      <c r="Y46" s="9">
        <v>170</v>
      </c>
      <c r="Z46" s="8">
        <v>2427</v>
      </c>
      <c r="AA46" s="8">
        <v>1</v>
      </c>
      <c r="AB46" s="8">
        <v>0</v>
      </c>
      <c r="AC46" s="7">
        <v>4.0999999999999996</v>
      </c>
      <c r="AD46" s="7">
        <v>117.7</v>
      </c>
      <c r="AE46" s="7">
        <v>112.3</v>
      </c>
      <c r="AF46" s="7">
        <v>5.4</v>
      </c>
      <c r="AG46" s="7">
        <v>8.4</v>
      </c>
      <c r="AH46" s="7">
        <v>1.61</v>
      </c>
      <c r="AI46" s="7">
        <v>11.8</v>
      </c>
      <c r="AJ46" s="7">
        <v>3.7</v>
      </c>
      <c r="AK46" s="7">
        <v>9.8000000000000007</v>
      </c>
      <c r="AL46" s="7">
        <v>6.7</v>
      </c>
      <c r="AM46" s="7">
        <v>7.3</v>
      </c>
      <c r="AN46" s="7">
        <v>55.9</v>
      </c>
      <c r="AO46" s="7">
        <v>59.1</v>
      </c>
      <c r="AP46" s="7">
        <v>19.5</v>
      </c>
      <c r="AQ46" s="7">
        <v>97.73</v>
      </c>
      <c r="AR46" s="7">
        <v>9.3000000000000007</v>
      </c>
      <c r="AS46" s="7">
        <v>5511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1"/>
    </row>
    <row r="47" spans="1:70" ht="15.75" customHeight="1">
      <c r="A47" s="6" t="s">
        <v>131</v>
      </c>
      <c r="B47" s="6" t="s">
        <v>132</v>
      </c>
      <c r="C47" s="7">
        <v>22</v>
      </c>
      <c r="D47" s="7">
        <v>72</v>
      </c>
      <c r="E47" s="7">
        <v>32</v>
      </c>
      <c r="F47" s="7">
        <v>40</v>
      </c>
      <c r="G47" s="7">
        <v>31.3</v>
      </c>
      <c r="H47" s="8">
        <v>1332</v>
      </c>
      <c r="I47" s="9">
        <v>497</v>
      </c>
      <c r="J47" s="9">
        <v>1102</v>
      </c>
      <c r="K47" s="8">
        <v>45.2</v>
      </c>
      <c r="L47" s="9">
        <v>144</v>
      </c>
      <c r="M47" s="9">
        <v>475</v>
      </c>
      <c r="N47" s="8">
        <v>31.1</v>
      </c>
      <c r="O47" s="8">
        <v>187</v>
      </c>
      <c r="P47" s="8">
        <v>245</v>
      </c>
      <c r="Q47" s="8">
        <v>78.5</v>
      </c>
      <c r="R47" s="9">
        <v>65</v>
      </c>
      <c r="S47" s="9">
        <v>259</v>
      </c>
      <c r="T47" s="9">
        <v>324</v>
      </c>
      <c r="U47" s="9">
        <v>202</v>
      </c>
      <c r="V47" s="9">
        <v>151</v>
      </c>
      <c r="W47" s="9">
        <v>65</v>
      </c>
      <c r="X47" s="9">
        <v>14</v>
      </c>
      <c r="Y47" s="9">
        <v>122</v>
      </c>
      <c r="Z47" s="8">
        <v>2102</v>
      </c>
      <c r="AA47" s="8">
        <v>3</v>
      </c>
      <c r="AB47" s="8">
        <v>0</v>
      </c>
      <c r="AC47" s="7">
        <v>-1.9</v>
      </c>
      <c r="AD47" s="7">
        <v>111.4</v>
      </c>
      <c r="AE47" s="7">
        <v>114.4</v>
      </c>
      <c r="AF47" s="7">
        <v>-3</v>
      </c>
      <c r="AG47" s="7">
        <v>13.8</v>
      </c>
      <c r="AH47" s="7">
        <v>1.32</v>
      </c>
      <c r="AI47" s="7">
        <v>12.7</v>
      </c>
      <c r="AJ47" s="7">
        <v>2.9</v>
      </c>
      <c r="AK47" s="7">
        <v>11.4</v>
      </c>
      <c r="AL47" s="7">
        <v>7</v>
      </c>
      <c r="AM47" s="7">
        <v>9.6999999999999993</v>
      </c>
      <c r="AN47" s="7">
        <v>51.9</v>
      </c>
      <c r="AO47" s="7">
        <v>55.1</v>
      </c>
      <c r="AP47" s="7">
        <v>25</v>
      </c>
      <c r="AQ47" s="7">
        <v>99.88</v>
      </c>
      <c r="AR47" s="7">
        <v>10.199999999999999</v>
      </c>
      <c r="AS47" s="7">
        <v>4688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1"/>
    </row>
    <row r="48" spans="1:70" ht="15.75" customHeight="1">
      <c r="A48" s="6" t="s">
        <v>133</v>
      </c>
      <c r="B48" s="6" t="s">
        <v>134</v>
      </c>
      <c r="C48" s="7">
        <v>26</v>
      </c>
      <c r="D48" s="7">
        <v>69</v>
      </c>
      <c r="E48" s="7">
        <v>38</v>
      </c>
      <c r="F48" s="7">
        <v>31</v>
      </c>
      <c r="G48" s="7">
        <v>32</v>
      </c>
      <c r="H48" s="8">
        <v>1325</v>
      </c>
      <c r="I48" s="9">
        <v>490</v>
      </c>
      <c r="J48" s="9">
        <v>1021</v>
      </c>
      <c r="K48" s="8">
        <v>48.4</v>
      </c>
      <c r="L48" s="9">
        <v>166</v>
      </c>
      <c r="M48" s="9">
        <v>421</v>
      </c>
      <c r="N48" s="8">
        <v>39.200000000000003</v>
      </c>
      <c r="O48" s="8">
        <v>179</v>
      </c>
      <c r="P48" s="8">
        <v>200</v>
      </c>
      <c r="Q48" s="8">
        <v>89.4</v>
      </c>
      <c r="R48" s="9">
        <v>62</v>
      </c>
      <c r="S48" s="9">
        <v>359</v>
      </c>
      <c r="T48" s="9">
        <v>421</v>
      </c>
      <c r="U48" s="9">
        <v>366</v>
      </c>
      <c r="V48" s="9">
        <v>166</v>
      </c>
      <c r="W48" s="9">
        <v>83</v>
      </c>
      <c r="X48" s="9">
        <v>28</v>
      </c>
      <c r="Y48" s="9">
        <v>166</v>
      </c>
      <c r="Z48" s="8">
        <v>2539</v>
      </c>
      <c r="AA48" s="8">
        <v>10</v>
      </c>
      <c r="AB48" s="8">
        <v>1</v>
      </c>
      <c r="AC48" s="7">
        <v>2.1</v>
      </c>
      <c r="AD48" s="7">
        <v>116.1</v>
      </c>
      <c r="AE48" s="7">
        <v>113.3</v>
      </c>
      <c r="AF48" s="7">
        <v>2.8</v>
      </c>
      <c r="AG48" s="7">
        <v>23.5</v>
      </c>
      <c r="AH48" s="7">
        <v>2.1800000000000002</v>
      </c>
      <c r="AI48" s="7">
        <v>22.7</v>
      </c>
      <c r="AJ48" s="7">
        <v>2.6</v>
      </c>
      <c r="AK48" s="7">
        <v>15</v>
      </c>
      <c r="AL48" s="7">
        <v>8.8000000000000007</v>
      </c>
      <c r="AM48" s="7">
        <v>10.4</v>
      </c>
      <c r="AN48" s="7">
        <v>56.5</v>
      </c>
      <c r="AO48" s="7">
        <v>60</v>
      </c>
      <c r="AP48" s="7">
        <v>22.7</v>
      </c>
      <c r="AQ48" s="7">
        <v>104.58</v>
      </c>
      <c r="AR48" s="7">
        <v>13.1</v>
      </c>
      <c r="AS48" s="7">
        <v>4809</v>
      </c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1"/>
    </row>
    <row r="49" spans="1:70" ht="15.75" customHeight="1">
      <c r="A49" s="6" t="s">
        <v>135</v>
      </c>
      <c r="B49" s="6" t="s">
        <v>136</v>
      </c>
      <c r="C49" s="7">
        <v>23</v>
      </c>
      <c r="D49" s="7">
        <v>71</v>
      </c>
      <c r="E49" s="7">
        <v>58</v>
      </c>
      <c r="F49" s="7">
        <v>13</v>
      </c>
      <c r="G49" s="7">
        <v>30.5</v>
      </c>
      <c r="H49" s="8">
        <v>1314</v>
      </c>
      <c r="I49" s="9">
        <v>504</v>
      </c>
      <c r="J49" s="9">
        <v>909</v>
      </c>
      <c r="K49" s="8">
        <v>55.7</v>
      </c>
      <c r="L49" s="9">
        <v>85</v>
      </c>
      <c r="M49" s="9">
        <v>227</v>
      </c>
      <c r="N49" s="8">
        <v>37</v>
      </c>
      <c r="O49" s="8">
        <v>220</v>
      </c>
      <c r="P49" s="8">
        <v>305</v>
      </c>
      <c r="Q49" s="8">
        <v>72.5</v>
      </c>
      <c r="R49" s="9">
        <v>163</v>
      </c>
      <c r="S49" s="9">
        <v>497</v>
      </c>
      <c r="T49" s="9">
        <v>660</v>
      </c>
      <c r="U49" s="9">
        <v>227</v>
      </c>
      <c r="V49" s="9">
        <v>142</v>
      </c>
      <c r="W49" s="9">
        <v>64</v>
      </c>
      <c r="X49" s="9">
        <v>114</v>
      </c>
      <c r="Y49" s="9">
        <v>142</v>
      </c>
      <c r="Z49" s="8">
        <v>2826</v>
      </c>
      <c r="AA49" s="8">
        <v>37</v>
      </c>
      <c r="AB49" s="8">
        <v>0</v>
      </c>
      <c r="AC49" s="7">
        <v>7.7</v>
      </c>
      <c r="AD49" s="7">
        <v>120.5</v>
      </c>
      <c r="AE49" s="7">
        <v>108.6</v>
      </c>
      <c r="AF49" s="7">
        <v>11.9</v>
      </c>
      <c r="AG49" s="7">
        <v>14.9</v>
      </c>
      <c r="AH49" s="7">
        <v>1.56</v>
      </c>
      <c r="AI49" s="7">
        <v>16.100000000000001</v>
      </c>
      <c r="AJ49" s="7">
        <v>7.6</v>
      </c>
      <c r="AK49" s="7">
        <v>21.3</v>
      </c>
      <c r="AL49" s="7">
        <v>14.7</v>
      </c>
      <c r="AM49" s="7">
        <v>10.3</v>
      </c>
      <c r="AN49" s="7">
        <v>60.4</v>
      </c>
      <c r="AO49" s="7">
        <v>63.3</v>
      </c>
      <c r="AP49" s="7">
        <v>22.6</v>
      </c>
      <c r="AQ49" s="7">
        <v>102.16</v>
      </c>
      <c r="AR49" s="7">
        <v>15.1</v>
      </c>
      <c r="AS49" s="7">
        <v>4609</v>
      </c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1"/>
    </row>
    <row r="50" spans="1:70" ht="15.75" customHeight="1">
      <c r="A50" s="6" t="s">
        <v>137</v>
      </c>
      <c r="B50" s="6" t="s">
        <v>138</v>
      </c>
      <c r="C50" s="7">
        <v>32</v>
      </c>
      <c r="D50" s="7">
        <v>60</v>
      </c>
      <c r="E50" s="7">
        <v>39</v>
      </c>
      <c r="F50" s="7">
        <v>21</v>
      </c>
      <c r="G50" s="7">
        <v>32.6</v>
      </c>
      <c r="H50" s="8">
        <v>1308</v>
      </c>
      <c r="I50" s="9">
        <v>456</v>
      </c>
      <c r="J50" s="9">
        <v>948</v>
      </c>
      <c r="K50" s="8">
        <v>48.4</v>
      </c>
      <c r="L50" s="9">
        <v>180</v>
      </c>
      <c r="M50" s="9">
        <v>426</v>
      </c>
      <c r="N50" s="8">
        <v>41.8</v>
      </c>
      <c r="O50" s="8">
        <v>216</v>
      </c>
      <c r="P50" s="8">
        <v>264</v>
      </c>
      <c r="Q50" s="8">
        <v>80.400000000000006</v>
      </c>
      <c r="R50" s="9">
        <v>24</v>
      </c>
      <c r="S50" s="9">
        <v>168</v>
      </c>
      <c r="T50" s="9">
        <v>192</v>
      </c>
      <c r="U50" s="9">
        <v>126</v>
      </c>
      <c r="V50" s="9">
        <v>108</v>
      </c>
      <c r="W50" s="9">
        <v>72</v>
      </c>
      <c r="X50" s="9">
        <v>12</v>
      </c>
      <c r="Y50" s="9">
        <v>114</v>
      </c>
      <c r="Z50" s="8">
        <v>1860</v>
      </c>
      <c r="AA50" s="8">
        <v>1</v>
      </c>
      <c r="AB50" s="8">
        <v>0</v>
      </c>
      <c r="AC50" s="7">
        <v>5.9</v>
      </c>
      <c r="AD50" s="7">
        <v>116.2</v>
      </c>
      <c r="AE50" s="7">
        <v>107.4</v>
      </c>
      <c r="AF50" s="7">
        <v>8.8000000000000007</v>
      </c>
      <c r="AG50" s="7">
        <v>9.6</v>
      </c>
      <c r="AH50" s="7">
        <v>1.1599999999999999</v>
      </c>
      <c r="AI50" s="7">
        <v>9.6999999999999993</v>
      </c>
      <c r="AJ50" s="7">
        <v>1.1000000000000001</v>
      </c>
      <c r="AK50" s="7">
        <v>8.5</v>
      </c>
      <c r="AL50" s="7">
        <v>4.9000000000000004</v>
      </c>
      <c r="AM50" s="7">
        <v>8.4</v>
      </c>
      <c r="AN50" s="7">
        <v>57.8</v>
      </c>
      <c r="AO50" s="7">
        <v>61.5</v>
      </c>
      <c r="AP50" s="7">
        <v>25.5</v>
      </c>
      <c r="AQ50" s="7">
        <v>99.69</v>
      </c>
      <c r="AR50" s="7">
        <v>11</v>
      </c>
      <c r="AS50" s="7">
        <v>4063</v>
      </c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1"/>
    </row>
    <row r="51" spans="1:70" ht="13">
      <c r="A51" s="6" t="s">
        <v>139</v>
      </c>
      <c r="B51" s="6" t="s">
        <v>140</v>
      </c>
      <c r="C51" s="7">
        <v>27</v>
      </c>
      <c r="D51" s="7">
        <v>64</v>
      </c>
      <c r="E51" s="7">
        <v>16</v>
      </c>
      <c r="F51" s="7">
        <v>48</v>
      </c>
      <c r="G51" s="7">
        <v>31.7</v>
      </c>
      <c r="H51" s="8">
        <v>1299</v>
      </c>
      <c r="I51" s="9">
        <v>467</v>
      </c>
      <c r="J51" s="9">
        <v>1088</v>
      </c>
      <c r="K51" s="8">
        <v>43.1</v>
      </c>
      <c r="L51" s="9">
        <v>141</v>
      </c>
      <c r="M51" s="9">
        <v>448</v>
      </c>
      <c r="N51" s="8">
        <v>31.3</v>
      </c>
      <c r="O51" s="8">
        <v>224</v>
      </c>
      <c r="P51" s="8">
        <v>256</v>
      </c>
      <c r="Q51" s="8">
        <v>87</v>
      </c>
      <c r="R51" s="9">
        <v>70</v>
      </c>
      <c r="S51" s="9">
        <v>410</v>
      </c>
      <c r="T51" s="9">
        <v>480</v>
      </c>
      <c r="U51" s="9">
        <v>250</v>
      </c>
      <c r="V51" s="9">
        <v>134</v>
      </c>
      <c r="W51" s="9">
        <v>45</v>
      </c>
      <c r="X51" s="9">
        <v>45</v>
      </c>
      <c r="Y51" s="9">
        <v>96</v>
      </c>
      <c r="Z51" s="8">
        <v>2381</v>
      </c>
      <c r="AA51" s="8">
        <v>14</v>
      </c>
      <c r="AB51" s="8">
        <v>1</v>
      </c>
      <c r="AC51" s="7">
        <v>-4</v>
      </c>
      <c r="AD51" s="7">
        <v>108.2</v>
      </c>
      <c r="AE51" s="7">
        <v>113.6</v>
      </c>
      <c r="AF51" s="7">
        <v>-5.5</v>
      </c>
      <c r="AG51" s="7">
        <v>20.3</v>
      </c>
      <c r="AH51" s="7">
        <v>1.82</v>
      </c>
      <c r="AI51" s="7">
        <v>15.7</v>
      </c>
      <c r="AJ51" s="7">
        <v>3.3</v>
      </c>
      <c r="AK51" s="7">
        <v>18.899999999999999</v>
      </c>
      <c r="AL51" s="7">
        <v>11</v>
      </c>
      <c r="AM51" s="7">
        <v>8.6</v>
      </c>
      <c r="AN51" s="7">
        <v>49.5</v>
      </c>
      <c r="AO51" s="7">
        <v>54.1</v>
      </c>
      <c r="AP51" s="7">
        <v>27.3</v>
      </c>
      <c r="AQ51" s="7">
        <v>100.58</v>
      </c>
      <c r="AR51" s="7">
        <v>13.5</v>
      </c>
      <c r="AS51" s="7">
        <v>4239</v>
      </c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1"/>
    </row>
    <row r="52" spans="1:70" ht="13">
      <c r="A52" s="6" t="s">
        <v>141</v>
      </c>
      <c r="B52" s="6" t="s">
        <v>142</v>
      </c>
      <c r="C52" s="7">
        <v>30</v>
      </c>
      <c r="D52" s="7">
        <v>69</v>
      </c>
      <c r="E52" s="7">
        <v>44</v>
      </c>
      <c r="F52" s="7">
        <v>25</v>
      </c>
      <c r="G52" s="7">
        <v>32.299999999999997</v>
      </c>
      <c r="H52" s="8">
        <v>1290</v>
      </c>
      <c r="I52" s="9">
        <v>455</v>
      </c>
      <c r="J52" s="9">
        <v>938</v>
      </c>
      <c r="K52" s="8">
        <v>48.5</v>
      </c>
      <c r="L52" s="9">
        <v>110</v>
      </c>
      <c r="M52" s="9">
        <v>317</v>
      </c>
      <c r="N52" s="8">
        <v>34.4</v>
      </c>
      <c r="O52" s="8">
        <v>269</v>
      </c>
      <c r="P52" s="8">
        <v>338</v>
      </c>
      <c r="Q52" s="8">
        <v>80.599999999999994</v>
      </c>
      <c r="R52" s="9">
        <v>145</v>
      </c>
      <c r="S52" s="9">
        <v>345</v>
      </c>
      <c r="T52" s="9">
        <v>490</v>
      </c>
      <c r="U52" s="9">
        <v>324</v>
      </c>
      <c r="V52" s="9">
        <v>193</v>
      </c>
      <c r="W52" s="9">
        <v>48</v>
      </c>
      <c r="X52" s="9">
        <v>14</v>
      </c>
      <c r="Y52" s="9">
        <v>173</v>
      </c>
      <c r="Z52" s="8">
        <v>2353</v>
      </c>
      <c r="AA52" s="8">
        <v>14</v>
      </c>
      <c r="AB52" s="8">
        <v>0</v>
      </c>
      <c r="AC52" s="7">
        <v>2.4</v>
      </c>
      <c r="AD52" s="7">
        <v>115</v>
      </c>
      <c r="AE52" s="7">
        <v>111.6</v>
      </c>
      <c r="AF52" s="7">
        <v>3.4</v>
      </c>
      <c r="AG52" s="7">
        <v>22.8</v>
      </c>
      <c r="AH52" s="7">
        <v>1.65</v>
      </c>
      <c r="AI52" s="7">
        <v>20.100000000000001</v>
      </c>
      <c r="AJ52" s="7">
        <v>6.5</v>
      </c>
      <c r="AK52" s="7">
        <v>14.9</v>
      </c>
      <c r="AL52" s="7">
        <v>10.8</v>
      </c>
      <c r="AM52" s="7">
        <v>12.2</v>
      </c>
      <c r="AN52" s="7">
        <v>54.2</v>
      </c>
      <c r="AO52" s="7">
        <v>59.3</v>
      </c>
      <c r="AP52" s="7">
        <v>24.6</v>
      </c>
      <c r="AQ52" s="7">
        <v>98.45</v>
      </c>
      <c r="AR52" s="7">
        <v>12.4</v>
      </c>
      <c r="AS52" s="7">
        <v>4569</v>
      </c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1"/>
    </row>
    <row r="53" spans="1:70" ht="13">
      <c r="A53" s="6" t="s">
        <v>143</v>
      </c>
      <c r="B53" s="6" t="s">
        <v>144</v>
      </c>
      <c r="C53" s="7">
        <v>32</v>
      </c>
      <c r="D53" s="7">
        <v>51</v>
      </c>
      <c r="E53" s="7">
        <v>30</v>
      </c>
      <c r="F53" s="7">
        <v>21</v>
      </c>
      <c r="G53" s="7">
        <v>33.4</v>
      </c>
      <c r="H53" s="8">
        <v>1260</v>
      </c>
      <c r="I53" s="9">
        <v>469</v>
      </c>
      <c r="J53" s="9">
        <v>908</v>
      </c>
      <c r="K53" s="8">
        <v>51.6</v>
      </c>
      <c r="L53" s="9">
        <v>36</v>
      </c>
      <c r="M53" s="9">
        <v>122</v>
      </c>
      <c r="N53" s="8">
        <v>28.2</v>
      </c>
      <c r="O53" s="8">
        <v>286</v>
      </c>
      <c r="P53" s="8">
        <v>367</v>
      </c>
      <c r="Q53" s="8">
        <v>77.5</v>
      </c>
      <c r="R53" s="9">
        <v>133</v>
      </c>
      <c r="S53" s="9">
        <v>454</v>
      </c>
      <c r="T53" s="9">
        <v>592</v>
      </c>
      <c r="U53" s="9">
        <v>179</v>
      </c>
      <c r="V53" s="9">
        <v>112</v>
      </c>
      <c r="W53" s="9">
        <v>61</v>
      </c>
      <c r="X53" s="9">
        <v>112</v>
      </c>
      <c r="Y53" s="9">
        <v>97</v>
      </c>
      <c r="Z53" s="8">
        <v>2637</v>
      </c>
      <c r="AA53" s="8">
        <v>36</v>
      </c>
      <c r="AB53" s="8">
        <v>1</v>
      </c>
      <c r="AC53" s="7">
        <v>0.5</v>
      </c>
      <c r="AD53" s="7">
        <v>113.3</v>
      </c>
      <c r="AE53" s="7">
        <v>112.9</v>
      </c>
      <c r="AF53" s="7">
        <v>0.5</v>
      </c>
      <c r="AG53" s="7">
        <v>18.2</v>
      </c>
      <c r="AH53" s="7">
        <v>1.6</v>
      </c>
      <c r="AI53" s="7">
        <v>13.3</v>
      </c>
      <c r="AJ53" s="7">
        <v>8.3000000000000007</v>
      </c>
      <c r="AK53" s="7">
        <v>25.4</v>
      </c>
      <c r="AL53" s="7">
        <v>17.3</v>
      </c>
      <c r="AM53" s="7">
        <v>8.3000000000000007</v>
      </c>
      <c r="AN53" s="7">
        <v>53.6</v>
      </c>
      <c r="AO53" s="7">
        <v>58.8</v>
      </c>
      <c r="AP53" s="7">
        <v>30.1</v>
      </c>
      <c r="AQ53" s="7">
        <v>98.83</v>
      </c>
      <c r="AR53" s="7">
        <v>17.899999999999999</v>
      </c>
      <c r="AS53" s="7">
        <v>3515</v>
      </c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1"/>
    </row>
    <row r="54" spans="1:70" ht="13">
      <c r="A54" s="6" t="s">
        <v>145</v>
      </c>
      <c r="B54" s="6" t="s">
        <v>146</v>
      </c>
      <c r="C54" s="7">
        <v>23</v>
      </c>
      <c r="D54" s="7">
        <v>65</v>
      </c>
      <c r="E54" s="7">
        <v>26</v>
      </c>
      <c r="F54" s="7">
        <v>39</v>
      </c>
      <c r="G54" s="7">
        <v>32.799999999999997</v>
      </c>
      <c r="H54" s="8">
        <v>1255</v>
      </c>
      <c r="I54" s="9">
        <v>475</v>
      </c>
      <c r="J54" s="9">
        <v>1066</v>
      </c>
      <c r="K54" s="8">
        <v>44.6</v>
      </c>
      <c r="L54" s="9">
        <v>78</v>
      </c>
      <c r="M54" s="9">
        <v>280</v>
      </c>
      <c r="N54" s="8">
        <v>27.1</v>
      </c>
      <c r="O54" s="8">
        <v>228</v>
      </c>
      <c r="P54" s="8">
        <v>299</v>
      </c>
      <c r="Q54" s="8">
        <v>75.5</v>
      </c>
      <c r="R54" s="9">
        <v>111</v>
      </c>
      <c r="S54" s="9">
        <v>390</v>
      </c>
      <c r="T54" s="9">
        <v>501</v>
      </c>
      <c r="U54" s="9">
        <v>377</v>
      </c>
      <c r="V54" s="9">
        <v>182</v>
      </c>
      <c r="W54" s="9">
        <v>91</v>
      </c>
      <c r="X54" s="9">
        <v>65</v>
      </c>
      <c r="Y54" s="9">
        <v>111</v>
      </c>
      <c r="Z54" s="8">
        <v>2704</v>
      </c>
      <c r="AA54" s="8">
        <v>26</v>
      </c>
      <c r="AB54" s="8">
        <v>1</v>
      </c>
      <c r="AC54" s="7">
        <v>-2</v>
      </c>
      <c r="AD54" s="7">
        <v>107.4</v>
      </c>
      <c r="AE54" s="7">
        <v>110.1</v>
      </c>
      <c r="AF54" s="7">
        <v>-2.7</v>
      </c>
      <c r="AG54" s="7">
        <v>27.9</v>
      </c>
      <c r="AH54" s="7">
        <v>2.04</v>
      </c>
      <c r="AI54" s="7">
        <v>21.5</v>
      </c>
      <c r="AJ54" s="7">
        <v>4.7</v>
      </c>
      <c r="AK54" s="7">
        <v>17.600000000000001</v>
      </c>
      <c r="AL54" s="7">
        <v>11.1</v>
      </c>
      <c r="AM54" s="7">
        <v>10.5</v>
      </c>
      <c r="AN54" s="7">
        <v>48.2</v>
      </c>
      <c r="AO54" s="7">
        <v>52.3</v>
      </c>
      <c r="AP54" s="7">
        <v>26.2</v>
      </c>
      <c r="AQ54" s="7">
        <v>102.48</v>
      </c>
      <c r="AR54" s="7">
        <v>13.9</v>
      </c>
      <c r="AS54" s="7">
        <v>4554</v>
      </c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1"/>
    </row>
    <row r="55" spans="1:70" ht="13">
      <c r="A55" s="6" t="s">
        <v>147</v>
      </c>
      <c r="B55" s="6" t="s">
        <v>148</v>
      </c>
      <c r="C55" s="7">
        <v>30</v>
      </c>
      <c r="D55" s="7">
        <v>76</v>
      </c>
      <c r="E55" s="7">
        <v>58</v>
      </c>
      <c r="F55" s="7">
        <v>18</v>
      </c>
      <c r="G55" s="7">
        <v>33.9</v>
      </c>
      <c r="H55" s="8">
        <v>1246</v>
      </c>
      <c r="I55" s="9">
        <v>426</v>
      </c>
      <c r="J55" s="9">
        <v>958</v>
      </c>
      <c r="K55" s="8">
        <v>44.2</v>
      </c>
      <c r="L55" s="9">
        <v>266</v>
      </c>
      <c r="M55" s="9">
        <v>692</v>
      </c>
      <c r="N55" s="8">
        <v>38.4</v>
      </c>
      <c r="O55" s="8">
        <v>137</v>
      </c>
      <c r="P55" s="8">
        <v>160</v>
      </c>
      <c r="Q55" s="8">
        <v>83.9</v>
      </c>
      <c r="R55" s="9">
        <v>68</v>
      </c>
      <c r="S55" s="9">
        <v>274</v>
      </c>
      <c r="T55" s="9">
        <v>342</v>
      </c>
      <c r="U55" s="9">
        <v>365</v>
      </c>
      <c r="V55" s="9">
        <v>129</v>
      </c>
      <c r="W55" s="9">
        <v>68</v>
      </c>
      <c r="X55" s="9">
        <v>84</v>
      </c>
      <c r="Y55" s="9">
        <v>137</v>
      </c>
      <c r="Z55" s="8">
        <v>2523</v>
      </c>
      <c r="AA55" s="8">
        <v>4</v>
      </c>
      <c r="AB55" s="8">
        <v>0</v>
      </c>
      <c r="AC55" s="7">
        <v>7.1</v>
      </c>
      <c r="AD55" s="7">
        <v>119.7</v>
      </c>
      <c r="AE55" s="7">
        <v>109.5</v>
      </c>
      <c r="AF55" s="7">
        <v>10.199999999999999</v>
      </c>
      <c r="AG55" s="7">
        <v>19.899999999999999</v>
      </c>
      <c r="AH55" s="7">
        <v>2.76</v>
      </c>
      <c r="AI55" s="7">
        <v>23.7</v>
      </c>
      <c r="AJ55" s="7">
        <v>2.5</v>
      </c>
      <c r="AK55" s="7">
        <v>10.1</v>
      </c>
      <c r="AL55" s="7">
        <v>6.4</v>
      </c>
      <c r="AM55" s="7">
        <v>8.6</v>
      </c>
      <c r="AN55" s="7">
        <v>58</v>
      </c>
      <c r="AO55" s="7">
        <v>60.6</v>
      </c>
      <c r="AP55" s="7">
        <v>19.5</v>
      </c>
      <c r="AQ55" s="7">
        <v>97.89</v>
      </c>
      <c r="AR55" s="7">
        <v>10.6</v>
      </c>
      <c r="AS55" s="7">
        <v>5251</v>
      </c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1"/>
    </row>
    <row r="56" spans="1:70" ht="13">
      <c r="A56" s="6" t="s">
        <v>149</v>
      </c>
      <c r="B56" s="6" t="s">
        <v>150</v>
      </c>
      <c r="C56" s="7">
        <v>33</v>
      </c>
      <c r="D56" s="7">
        <v>50</v>
      </c>
      <c r="E56" s="7">
        <v>28</v>
      </c>
      <c r="F56" s="7">
        <v>22</v>
      </c>
      <c r="G56" s="7">
        <v>36.1</v>
      </c>
      <c r="H56" s="8">
        <v>1235</v>
      </c>
      <c r="I56" s="9">
        <v>445</v>
      </c>
      <c r="J56" s="9">
        <v>945</v>
      </c>
      <c r="K56" s="8">
        <v>47.3</v>
      </c>
      <c r="L56" s="9">
        <v>145</v>
      </c>
      <c r="M56" s="9">
        <v>360</v>
      </c>
      <c r="N56" s="8">
        <v>40.1</v>
      </c>
      <c r="O56" s="8">
        <v>195</v>
      </c>
      <c r="P56" s="8">
        <v>215</v>
      </c>
      <c r="Q56" s="8">
        <v>91.6</v>
      </c>
      <c r="R56" s="9">
        <v>60</v>
      </c>
      <c r="S56" s="9">
        <v>180</v>
      </c>
      <c r="T56" s="9">
        <v>240</v>
      </c>
      <c r="U56" s="9">
        <v>230</v>
      </c>
      <c r="V56" s="9">
        <v>110</v>
      </c>
      <c r="W56" s="9">
        <v>65</v>
      </c>
      <c r="X56" s="9">
        <v>25</v>
      </c>
      <c r="Y56" s="9">
        <v>100</v>
      </c>
      <c r="Z56" s="8">
        <v>2025</v>
      </c>
      <c r="AA56" s="8">
        <v>0</v>
      </c>
      <c r="AB56" s="8">
        <v>0</v>
      </c>
      <c r="AC56" s="7">
        <v>2.5</v>
      </c>
      <c r="AD56" s="7">
        <v>116.5</v>
      </c>
      <c r="AE56" s="7">
        <v>113.9</v>
      </c>
      <c r="AF56" s="7">
        <v>2.6</v>
      </c>
      <c r="AG56" s="7">
        <v>19.8</v>
      </c>
      <c r="AH56" s="7">
        <v>2.08</v>
      </c>
      <c r="AI56" s="7">
        <v>16.899999999999999</v>
      </c>
      <c r="AJ56" s="7">
        <v>3.3</v>
      </c>
      <c r="AK56" s="7">
        <v>9.3000000000000007</v>
      </c>
      <c r="AL56" s="7">
        <v>6.4</v>
      </c>
      <c r="AM56" s="7">
        <v>8.1</v>
      </c>
      <c r="AN56" s="7">
        <v>54.9</v>
      </c>
      <c r="AO56" s="7">
        <v>59.4</v>
      </c>
      <c r="AP56" s="7">
        <v>26.4</v>
      </c>
      <c r="AQ56" s="7">
        <v>99.98</v>
      </c>
      <c r="AR56" s="7">
        <v>12.9</v>
      </c>
      <c r="AS56" s="7">
        <v>3768</v>
      </c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1"/>
    </row>
    <row r="57" spans="1:70" ht="13">
      <c r="A57" s="6" t="s">
        <v>151</v>
      </c>
      <c r="B57" s="6" t="s">
        <v>152</v>
      </c>
      <c r="C57" s="7">
        <v>24</v>
      </c>
      <c r="D57" s="7">
        <v>58</v>
      </c>
      <c r="E57" s="7">
        <v>23</v>
      </c>
      <c r="F57" s="7">
        <v>35</v>
      </c>
      <c r="G57" s="7">
        <v>32.200000000000003</v>
      </c>
      <c r="H57" s="8">
        <v>1224</v>
      </c>
      <c r="I57" s="9">
        <v>458</v>
      </c>
      <c r="J57" s="9">
        <v>980</v>
      </c>
      <c r="K57" s="8">
        <v>46.8</v>
      </c>
      <c r="L57" s="9">
        <v>104</v>
      </c>
      <c r="M57" s="9">
        <v>307</v>
      </c>
      <c r="N57" s="8">
        <v>35</v>
      </c>
      <c r="O57" s="8">
        <v>197</v>
      </c>
      <c r="P57" s="8">
        <v>313</v>
      </c>
      <c r="Q57" s="8">
        <v>63</v>
      </c>
      <c r="R57" s="9">
        <v>64</v>
      </c>
      <c r="S57" s="9">
        <v>307</v>
      </c>
      <c r="T57" s="9">
        <v>365</v>
      </c>
      <c r="U57" s="9">
        <v>313</v>
      </c>
      <c r="V57" s="9">
        <v>162</v>
      </c>
      <c r="W57" s="9">
        <v>46</v>
      </c>
      <c r="X57" s="9">
        <v>17</v>
      </c>
      <c r="Y57" s="9">
        <v>139</v>
      </c>
      <c r="Z57" s="8">
        <v>2158</v>
      </c>
      <c r="AA57" s="8">
        <v>10</v>
      </c>
      <c r="AB57" s="8">
        <v>2</v>
      </c>
      <c r="AC57" s="7">
        <v>-2.4</v>
      </c>
      <c r="AD57" s="7">
        <v>110.1</v>
      </c>
      <c r="AE57" s="7">
        <v>113.4</v>
      </c>
      <c r="AF57" s="7">
        <v>-3.4</v>
      </c>
      <c r="AG57" s="7">
        <v>25.7</v>
      </c>
      <c r="AH57" s="7">
        <v>1.9</v>
      </c>
      <c r="AI57" s="7">
        <v>19.600000000000001</v>
      </c>
      <c r="AJ57" s="7">
        <v>3.1</v>
      </c>
      <c r="AK57" s="7">
        <v>15.9</v>
      </c>
      <c r="AL57" s="7">
        <v>9.4</v>
      </c>
      <c r="AM57" s="7">
        <v>10.3</v>
      </c>
      <c r="AN57" s="7">
        <v>52.3</v>
      </c>
      <c r="AO57" s="7">
        <v>54.7</v>
      </c>
      <c r="AP57" s="7">
        <v>28</v>
      </c>
      <c r="AQ57" s="7">
        <v>102.74</v>
      </c>
      <c r="AR57" s="7">
        <v>12.1</v>
      </c>
      <c r="AS57" s="7">
        <v>3998</v>
      </c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1"/>
    </row>
    <row r="58" spans="1:70" ht="13">
      <c r="A58" s="6" t="s">
        <v>153</v>
      </c>
      <c r="B58" s="6" t="s">
        <v>154</v>
      </c>
      <c r="C58" s="7">
        <v>24</v>
      </c>
      <c r="D58" s="7">
        <v>79</v>
      </c>
      <c r="E58" s="7">
        <v>48</v>
      </c>
      <c r="F58" s="7">
        <v>31</v>
      </c>
      <c r="G58" s="7">
        <v>33.9</v>
      </c>
      <c r="H58" s="8">
        <v>1217</v>
      </c>
      <c r="I58" s="9">
        <v>474</v>
      </c>
      <c r="J58" s="9">
        <v>822</v>
      </c>
      <c r="K58" s="8">
        <v>58</v>
      </c>
      <c r="L58" s="9">
        <v>87</v>
      </c>
      <c r="M58" s="9">
        <v>221</v>
      </c>
      <c r="N58" s="8">
        <v>39.700000000000003</v>
      </c>
      <c r="O58" s="8">
        <v>174</v>
      </c>
      <c r="P58" s="8">
        <v>213</v>
      </c>
      <c r="Q58" s="8">
        <v>82.7</v>
      </c>
      <c r="R58" s="9">
        <v>95</v>
      </c>
      <c r="S58" s="9">
        <v>308</v>
      </c>
      <c r="T58" s="9">
        <v>411</v>
      </c>
      <c r="U58" s="9">
        <v>205</v>
      </c>
      <c r="V58" s="9">
        <v>79</v>
      </c>
      <c r="W58" s="9">
        <v>87</v>
      </c>
      <c r="X58" s="9">
        <v>40</v>
      </c>
      <c r="Y58" s="9">
        <v>174</v>
      </c>
      <c r="Z58" s="8">
        <v>2299</v>
      </c>
      <c r="AA58" s="8">
        <v>6</v>
      </c>
      <c r="AB58" s="8">
        <v>0</v>
      </c>
      <c r="AC58" s="7">
        <v>6.1</v>
      </c>
      <c r="AD58" s="7">
        <v>122.7</v>
      </c>
      <c r="AE58" s="7">
        <v>114.5</v>
      </c>
      <c r="AF58" s="7">
        <v>8.1999999999999993</v>
      </c>
      <c r="AG58" s="7">
        <v>9.6</v>
      </c>
      <c r="AH58" s="7">
        <v>2.5299999999999998</v>
      </c>
      <c r="AI58" s="7">
        <v>17.100000000000001</v>
      </c>
      <c r="AJ58" s="7">
        <v>3.9</v>
      </c>
      <c r="AK58" s="7">
        <v>10.9</v>
      </c>
      <c r="AL58" s="7">
        <v>7.7</v>
      </c>
      <c r="AM58" s="7">
        <v>6.8</v>
      </c>
      <c r="AN58" s="7">
        <v>63.4</v>
      </c>
      <c r="AO58" s="7">
        <v>66.5</v>
      </c>
      <c r="AP58" s="7">
        <v>15.5</v>
      </c>
      <c r="AQ58" s="7">
        <v>101.04</v>
      </c>
      <c r="AR58" s="7">
        <v>9.6</v>
      </c>
      <c r="AS58" s="7">
        <v>5639</v>
      </c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1"/>
    </row>
    <row r="59" spans="1:70" ht="13">
      <c r="A59" s="6" t="s">
        <v>155</v>
      </c>
      <c r="B59" s="6" t="s">
        <v>156</v>
      </c>
      <c r="C59" s="7">
        <v>24</v>
      </c>
      <c r="D59" s="7">
        <v>72</v>
      </c>
      <c r="E59" s="7">
        <v>33</v>
      </c>
      <c r="F59" s="7">
        <v>39</v>
      </c>
      <c r="G59" s="7">
        <v>30</v>
      </c>
      <c r="H59" s="8">
        <v>1217</v>
      </c>
      <c r="I59" s="9">
        <v>403</v>
      </c>
      <c r="J59" s="9">
        <v>842</v>
      </c>
      <c r="K59" s="8">
        <v>47.6</v>
      </c>
      <c r="L59" s="9">
        <v>122</v>
      </c>
      <c r="M59" s="9">
        <v>346</v>
      </c>
      <c r="N59" s="8">
        <v>36.5</v>
      </c>
      <c r="O59" s="8">
        <v>288</v>
      </c>
      <c r="P59" s="8">
        <v>374</v>
      </c>
      <c r="Q59" s="8">
        <v>78</v>
      </c>
      <c r="R59" s="9">
        <v>108</v>
      </c>
      <c r="S59" s="9">
        <v>410</v>
      </c>
      <c r="T59" s="9">
        <v>526</v>
      </c>
      <c r="U59" s="9">
        <v>281</v>
      </c>
      <c r="V59" s="9">
        <v>194</v>
      </c>
      <c r="W59" s="9">
        <v>72</v>
      </c>
      <c r="X59" s="9">
        <v>36</v>
      </c>
      <c r="Y59" s="9">
        <v>173</v>
      </c>
      <c r="Z59" s="8">
        <v>2390</v>
      </c>
      <c r="AA59" s="8">
        <v>17</v>
      </c>
      <c r="AB59" s="8">
        <v>2</v>
      </c>
      <c r="AC59" s="7">
        <v>-1.1000000000000001</v>
      </c>
      <c r="AD59" s="7">
        <v>113.6</v>
      </c>
      <c r="AE59" s="7">
        <v>114.5</v>
      </c>
      <c r="AF59" s="7">
        <v>-0.9</v>
      </c>
      <c r="AG59" s="7">
        <v>19.3</v>
      </c>
      <c r="AH59" s="7">
        <v>1.43</v>
      </c>
      <c r="AI59" s="7">
        <v>19</v>
      </c>
      <c r="AJ59" s="7">
        <v>4.8</v>
      </c>
      <c r="AK59" s="7">
        <v>19</v>
      </c>
      <c r="AL59" s="7">
        <v>11.7</v>
      </c>
      <c r="AM59" s="7">
        <v>13.3</v>
      </c>
      <c r="AN59" s="7">
        <v>55</v>
      </c>
      <c r="AO59" s="7">
        <v>60.5</v>
      </c>
      <c r="AP59" s="7">
        <v>22.8</v>
      </c>
      <c r="AQ59" s="7">
        <v>99.86</v>
      </c>
      <c r="AR59" s="7">
        <v>12.6</v>
      </c>
      <c r="AS59" s="7">
        <v>4479</v>
      </c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1"/>
    </row>
    <row r="60" spans="1:70" ht="13">
      <c r="A60" s="6" t="s">
        <v>157</v>
      </c>
      <c r="B60" s="6" t="s">
        <v>158</v>
      </c>
      <c r="C60" s="7">
        <v>22</v>
      </c>
      <c r="D60" s="7">
        <v>46</v>
      </c>
      <c r="E60" s="7">
        <v>21</v>
      </c>
      <c r="F60" s="7">
        <v>25</v>
      </c>
      <c r="G60" s="7">
        <v>34.4</v>
      </c>
      <c r="H60" s="8">
        <v>1191</v>
      </c>
      <c r="I60" s="9">
        <v>414</v>
      </c>
      <c r="J60" s="9">
        <v>911</v>
      </c>
      <c r="K60" s="8">
        <v>45.2</v>
      </c>
      <c r="L60" s="9">
        <v>87</v>
      </c>
      <c r="M60" s="9">
        <v>271</v>
      </c>
      <c r="N60" s="8">
        <v>32</v>
      </c>
      <c r="O60" s="8">
        <v>281</v>
      </c>
      <c r="P60" s="8">
        <v>386</v>
      </c>
      <c r="Q60" s="8">
        <v>72.7</v>
      </c>
      <c r="R60" s="9">
        <v>51</v>
      </c>
      <c r="S60" s="9">
        <v>294</v>
      </c>
      <c r="T60" s="9">
        <v>345</v>
      </c>
      <c r="U60" s="9">
        <v>221</v>
      </c>
      <c r="V60" s="9">
        <v>138</v>
      </c>
      <c r="W60" s="9">
        <v>37</v>
      </c>
      <c r="X60" s="9">
        <v>28</v>
      </c>
      <c r="Y60" s="9">
        <v>97</v>
      </c>
      <c r="Z60" s="8">
        <v>1992</v>
      </c>
      <c r="AA60" s="8">
        <v>11</v>
      </c>
      <c r="AB60" s="8">
        <v>0</v>
      </c>
      <c r="AC60" s="7">
        <v>-0.5</v>
      </c>
      <c r="AD60" s="7">
        <v>109.1</v>
      </c>
      <c r="AE60" s="7">
        <v>109.6</v>
      </c>
      <c r="AF60" s="7">
        <v>-0.6</v>
      </c>
      <c r="AG60" s="7">
        <v>26.2</v>
      </c>
      <c r="AH60" s="7">
        <v>1.61</v>
      </c>
      <c r="AI60" s="7">
        <v>15.3</v>
      </c>
      <c r="AJ60" s="7">
        <v>3.1</v>
      </c>
      <c r="AK60" s="7">
        <v>19.2</v>
      </c>
      <c r="AL60" s="7">
        <v>10.8</v>
      </c>
      <c r="AM60" s="7">
        <v>9.5</v>
      </c>
      <c r="AN60" s="7">
        <v>50</v>
      </c>
      <c r="AO60" s="7">
        <v>55.1</v>
      </c>
      <c r="AP60" s="7">
        <v>33</v>
      </c>
      <c r="AQ60" s="7">
        <v>97.29</v>
      </c>
      <c r="AR60" s="7">
        <v>15.7</v>
      </c>
      <c r="AS60" s="7">
        <v>3204</v>
      </c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1"/>
    </row>
    <row r="61" spans="1:70" ht="13">
      <c r="A61" s="6" t="s">
        <v>159</v>
      </c>
      <c r="B61" s="6" t="s">
        <v>160</v>
      </c>
      <c r="C61" s="7">
        <v>20</v>
      </c>
      <c r="D61" s="7">
        <v>81</v>
      </c>
      <c r="E61" s="7">
        <v>33</v>
      </c>
      <c r="F61" s="7">
        <v>48</v>
      </c>
      <c r="G61" s="7">
        <v>26.7</v>
      </c>
      <c r="H61" s="8">
        <v>1191</v>
      </c>
      <c r="I61" s="9">
        <v>421</v>
      </c>
      <c r="J61" s="9">
        <v>988</v>
      </c>
      <c r="K61" s="8">
        <v>42.8</v>
      </c>
      <c r="L61" s="9">
        <v>97</v>
      </c>
      <c r="M61" s="9">
        <v>332</v>
      </c>
      <c r="N61" s="8">
        <v>28.5</v>
      </c>
      <c r="O61" s="8">
        <v>251</v>
      </c>
      <c r="P61" s="8">
        <v>340</v>
      </c>
      <c r="Q61" s="8">
        <v>72.400000000000006</v>
      </c>
      <c r="R61" s="9">
        <v>89</v>
      </c>
      <c r="S61" s="9">
        <v>211</v>
      </c>
      <c r="T61" s="9">
        <v>300</v>
      </c>
      <c r="U61" s="9">
        <v>332</v>
      </c>
      <c r="V61" s="9">
        <v>178</v>
      </c>
      <c r="W61" s="9">
        <v>73</v>
      </c>
      <c r="X61" s="9">
        <v>24</v>
      </c>
      <c r="Y61" s="9">
        <v>162</v>
      </c>
      <c r="Z61" s="8">
        <v>2155</v>
      </c>
      <c r="AA61" s="8">
        <v>6</v>
      </c>
      <c r="AB61" s="8">
        <v>0</v>
      </c>
      <c r="AC61" s="7">
        <v>-3</v>
      </c>
      <c r="AD61" s="7">
        <v>111.8</v>
      </c>
      <c r="AE61" s="7">
        <v>116.6</v>
      </c>
      <c r="AF61" s="7">
        <v>-4.7</v>
      </c>
      <c r="AG61" s="7">
        <v>23.1</v>
      </c>
      <c r="AH61" s="7">
        <v>1.88</v>
      </c>
      <c r="AI61" s="7">
        <v>20.100000000000001</v>
      </c>
      <c r="AJ61" s="7">
        <v>3.9</v>
      </c>
      <c r="AK61" s="7">
        <v>9.1999999999999993</v>
      </c>
      <c r="AL61" s="7">
        <v>6.6</v>
      </c>
      <c r="AM61" s="7">
        <v>10.7</v>
      </c>
      <c r="AN61" s="7">
        <v>47.6</v>
      </c>
      <c r="AO61" s="7">
        <v>52.2</v>
      </c>
      <c r="AP61" s="7">
        <v>25.3</v>
      </c>
      <c r="AQ61" s="7">
        <v>101.89</v>
      </c>
      <c r="AR61" s="7">
        <v>8.6999999999999993</v>
      </c>
      <c r="AS61" s="7">
        <v>4580</v>
      </c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1"/>
    </row>
    <row r="62" spans="1:70" ht="13">
      <c r="A62" s="6" t="s">
        <v>161</v>
      </c>
      <c r="B62" s="6" t="s">
        <v>162</v>
      </c>
      <c r="C62" s="7">
        <v>23</v>
      </c>
      <c r="D62" s="7">
        <v>47</v>
      </c>
      <c r="E62" s="7">
        <v>16</v>
      </c>
      <c r="F62" s="7">
        <v>31</v>
      </c>
      <c r="G62" s="7">
        <v>32</v>
      </c>
      <c r="H62" s="8">
        <v>1184</v>
      </c>
      <c r="I62" s="9">
        <v>404</v>
      </c>
      <c r="J62" s="9">
        <v>1001</v>
      </c>
      <c r="K62" s="8">
        <v>40.5</v>
      </c>
      <c r="L62" s="9">
        <v>179</v>
      </c>
      <c r="M62" s="9">
        <v>526</v>
      </c>
      <c r="N62" s="8">
        <v>33.9</v>
      </c>
      <c r="O62" s="8">
        <v>193</v>
      </c>
      <c r="P62" s="8">
        <v>230</v>
      </c>
      <c r="Q62" s="8">
        <v>84.3</v>
      </c>
      <c r="R62" s="9">
        <v>47</v>
      </c>
      <c r="S62" s="9">
        <v>183</v>
      </c>
      <c r="T62" s="9">
        <v>230</v>
      </c>
      <c r="U62" s="9">
        <v>348</v>
      </c>
      <c r="V62" s="9">
        <v>169</v>
      </c>
      <c r="W62" s="9">
        <v>52</v>
      </c>
      <c r="X62" s="9">
        <v>14</v>
      </c>
      <c r="Y62" s="9">
        <v>155</v>
      </c>
      <c r="Z62" s="8">
        <v>2016</v>
      </c>
      <c r="AA62" s="8">
        <v>13</v>
      </c>
      <c r="AB62" s="8">
        <v>0</v>
      </c>
      <c r="AC62" s="7">
        <v>-2.8</v>
      </c>
      <c r="AD62" s="7">
        <v>112.7</v>
      </c>
      <c r="AE62" s="7">
        <v>116.5</v>
      </c>
      <c r="AF62" s="7">
        <v>-3.9</v>
      </c>
      <c r="AG62" s="7">
        <v>39</v>
      </c>
      <c r="AH62" s="7">
        <v>2.0699999999999998</v>
      </c>
      <c r="AI62" s="7">
        <v>21.5</v>
      </c>
      <c r="AJ62" s="7">
        <v>2.8</v>
      </c>
      <c r="AK62" s="7">
        <v>12.1</v>
      </c>
      <c r="AL62" s="7">
        <v>7.2</v>
      </c>
      <c r="AM62" s="7">
        <v>10.4</v>
      </c>
      <c r="AN62" s="7">
        <v>49.4</v>
      </c>
      <c r="AO62" s="7">
        <v>53.6</v>
      </c>
      <c r="AP62" s="7">
        <v>34.200000000000003</v>
      </c>
      <c r="AQ62" s="7">
        <v>101.33</v>
      </c>
      <c r="AR62" s="7">
        <v>12.7</v>
      </c>
      <c r="AS62" s="7">
        <v>3173</v>
      </c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1"/>
    </row>
    <row r="63" spans="1:70" ht="13">
      <c r="A63" s="6" t="s">
        <v>163</v>
      </c>
      <c r="B63" s="6" t="s">
        <v>164</v>
      </c>
      <c r="C63" s="7">
        <v>33</v>
      </c>
      <c r="D63" s="7">
        <v>56</v>
      </c>
      <c r="E63" s="7">
        <v>17</v>
      </c>
      <c r="F63" s="7">
        <v>39</v>
      </c>
      <c r="G63" s="7">
        <v>32.700000000000003</v>
      </c>
      <c r="H63" s="8">
        <v>1182</v>
      </c>
      <c r="I63" s="9">
        <v>442</v>
      </c>
      <c r="J63" s="9">
        <v>1002</v>
      </c>
      <c r="K63" s="8">
        <v>44.4</v>
      </c>
      <c r="L63" s="9">
        <v>174</v>
      </c>
      <c r="M63" s="9">
        <v>459</v>
      </c>
      <c r="N63" s="8">
        <v>37.299999999999997</v>
      </c>
      <c r="O63" s="8">
        <v>123</v>
      </c>
      <c r="P63" s="8">
        <v>174</v>
      </c>
      <c r="Q63" s="8">
        <v>71.7</v>
      </c>
      <c r="R63" s="9">
        <v>45</v>
      </c>
      <c r="S63" s="9">
        <v>168</v>
      </c>
      <c r="T63" s="9">
        <v>213</v>
      </c>
      <c r="U63" s="9">
        <v>230</v>
      </c>
      <c r="V63" s="9">
        <v>106</v>
      </c>
      <c r="W63" s="9">
        <v>45</v>
      </c>
      <c r="X63" s="9">
        <v>22</v>
      </c>
      <c r="Y63" s="9">
        <v>123</v>
      </c>
      <c r="Z63" s="8">
        <v>1882</v>
      </c>
      <c r="AA63" s="8">
        <v>0</v>
      </c>
      <c r="AB63" s="8">
        <v>0</v>
      </c>
      <c r="AC63" s="7">
        <v>-5</v>
      </c>
      <c r="AD63" s="7">
        <v>112.3</v>
      </c>
      <c r="AE63" s="7">
        <v>119.4</v>
      </c>
      <c r="AF63" s="7">
        <v>-7.1</v>
      </c>
      <c r="AG63" s="7">
        <v>19.2</v>
      </c>
      <c r="AH63" s="7">
        <v>2.14</v>
      </c>
      <c r="AI63" s="7">
        <v>16.100000000000001</v>
      </c>
      <c r="AJ63" s="7">
        <v>2.2000000000000002</v>
      </c>
      <c r="AK63" s="7">
        <v>9.1</v>
      </c>
      <c r="AL63" s="7">
        <v>5.6</v>
      </c>
      <c r="AM63" s="7">
        <v>7.5</v>
      </c>
      <c r="AN63" s="7">
        <v>53</v>
      </c>
      <c r="AO63" s="7">
        <v>55</v>
      </c>
      <c r="AP63" s="7">
        <v>26.6</v>
      </c>
      <c r="AQ63" s="7">
        <v>101.56</v>
      </c>
      <c r="AR63" s="7">
        <v>9.6999999999999993</v>
      </c>
      <c r="AS63" s="7">
        <v>3874</v>
      </c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1"/>
    </row>
    <row r="64" spans="1:70" ht="13">
      <c r="A64" s="6" t="s">
        <v>165</v>
      </c>
      <c r="B64" s="6" t="s">
        <v>166</v>
      </c>
      <c r="C64" s="7">
        <v>25</v>
      </c>
      <c r="D64" s="7">
        <v>50</v>
      </c>
      <c r="E64" s="7">
        <v>30</v>
      </c>
      <c r="F64" s="7">
        <v>20</v>
      </c>
      <c r="G64" s="7">
        <v>30.4</v>
      </c>
      <c r="H64" s="8">
        <v>1160</v>
      </c>
      <c r="I64" s="9">
        <v>405</v>
      </c>
      <c r="J64" s="9">
        <v>890</v>
      </c>
      <c r="K64" s="8">
        <v>45.4</v>
      </c>
      <c r="L64" s="9">
        <v>90</v>
      </c>
      <c r="M64" s="9">
        <v>285</v>
      </c>
      <c r="N64" s="8">
        <v>30.9</v>
      </c>
      <c r="O64" s="8">
        <v>265</v>
      </c>
      <c r="P64" s="8">
        <v>320</v>
      </c>
      <c r="Q64" s="8">
        <v>82.4</v>
      </c>
      <c r="R64" s="9">
        <v>35</v>
      </c>
      <c r="S64" s="9">
        <v>170</v>
      </c>
      <c r="T64" s="9">
        <v>205</v>
      </c>
      <c r="U64" s="9">
        <v>365</v>
      </c>
      <c r="V64" s="9">
        <v>185</v>
      </c>
      <c r="W64" s="9">
        <v>60</v>
      </c>
      <c r="X64" s="9">
        <v>10</v>
      </c>
      <c r="Y64" s="9">
        <v>115</v>
      </c>
      <c r="Z64" s="8">
        <v>1985</v>
      </c>
      <c r="AA64" s="8">
        <v>13</v>
      </c>
      <c r="AB64" s="8">
        <v>1</v>
      </c>
      <c r="AC64" s="7">
        <v>4.5</v>
      </c>
      <c r="AD64" s="7">
        <v>116.4</v>
      </c>
      <c r="AE64" s="7">
        <v>109.6</v>
      </c>
      <c r="AF64" s="7">
        <v>6.8</v>
      </c>
      <c r="AG64" s="7">
        <v>35.5</v>
      </c>
      <c r="AH64" s="7">
        <v>1.97</v>
      </c>
      <c r="AI64" s="7">
        <v>23.1</v>
      </c>
      <c r="AJ64" s="7">
        <v>2.1</v>
      </c>
      <c r="AK64" s="7">
        <v>10.1</v>
      </c>
      <c r="AL64" s="7">
        <v>6.2</v>
      </c>
      <c r="AM64" s="7">
        <v>11.8</v>
      </c>
      <c r="AN64" s="7">
        <v>50.4</v>
      </c>
      <c r="AO64" s="7">
        <v>56.3</v>
      </c>
      <c r="AP64" s="7">
        <v>31.2</v>
      </c>
      <c r="AQ64" s="7">
        <v>105.74</v>
      </c>
      <c r="AR64" s="7">
        <v>14.1</v>
      </c>
      <c r="AS64" s="7">
        <v>3346</v>
      </c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1"/>
    </row>
    <row r="65" spans="1:70" ht="13">
      <c r="A65" s="6" t="s">
        <v>167</v>
      </c>
      <c r="B65" s="6" t="s">
        <v>168</v>
      </c>
      <c r="C65" s="7">
        <v>22</v>
      </c>
      <c r="D65" s="7">
        <v>72</v>
      </c>
      <c r="E65" s="7">
        <v>43</v>
      </c>
      <c r="F65" s="7">
        <v>29</v>
      </c>
      <c r="G65" s="7">
        <v>29.9</v>
      </c>
      <c r="H65" s="8">
        <v>1159</v>
      </c>
      <c r="I65" s="9">
        <v>389</v>
      </c>
      <c r="J65" s="9">
        <v>850</v>
      </c>
      <c r="K65" s="8">
        <v>45.8</v>
      </c>
      <c r="L65" s="9">
        <v>101</v>
      </c>
      <c r="M65" s="9">
        <v>288</v>
      </c>
      <c r="N65" s="8">
        <v>34</v>
      </c>
      <c r="O65" s="8">
        <v>274</v>
      </c>
      <c r="P65" s="8">
        <v>331</v>
      </c>
      <c r="Q65" s="8">
        <v>83.1</v>
      </c>
      <c r="R65" s="9">
        <v>86</v>
      </c>
      <c r="S65" s="9">
        <v>295</v>
      </c>
      <c r="T65" s="9">
        <v>382</v>
      </c>
      <c r="U65" s="9">
        <v>137</v>
      </c>
      <c r="V65" s="9">
        <v>137</v>
      </c>
      <c r="W65" s="9">
        <v>50</v>
      </c>
      <c r="X65" s="9">
        <v>22</v>
      </c>
      <c r="Y65" s="9">
        <v>166</v>
      </c>
      <c r="Z65" s="8">
        <v>1901</v>
      </c>
      <c r="AA65" s="8">
        <v>8</v>
      </c>
      <c r="AB65" s="8">
        <v>0</v>
      </c>
      <c r="AC65" s="7">
        <v>1.3</v>
      </c>
      <c r="AD65" s="7">
        <v>113.8</v>
      </c>
      <c r="AE65" s="7">
        <v>112.2</v>
      </c>
      <c r="AF65" s="7">
        <v>1.6</v>
      </c>
      <c r="AG65" s="7">
        <v>9</v>
      </c>
      <c r="AH65" s="7">
        <v>1.01</v>
      </c>
      <c r="AI65" s="7">
        <v>10.7</v>
      </c>
      <c r="AJ65" s="7">
        <v>4.0999999999999996</v>
      </c>
      <c r="AK65" s="7">
        <v>13.3</v>
      </c>
      <c r="AL65" s="7">
        <v>8.8000000000000007</v>
      </c>
      <c r="AM65" s="7">
        <v>10.6</v>
      </c>
      <c r="AN65" s="7">
        <v>51.6</v>
      </c>
      <c r="AO65" s="7">
        <v>57.9</v>
      </c>
      <c r="AP65" s="7">
        <v>22.2</v>
      </c>
      <c r="AQ65" s="7">
        <v>101.52</v>
      </c>
      <c r="AR65" s="7">
        <v>9.1999999999999993</v>
      </c>
      <c r="AS65" s="7">
        <v>4556</v>
      </c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1"/>
    </row>
    <row r="66" spans="1:70" ht="13">
      <c r="A66" s="6" t="s">
        <v>169</v>
      </c>
      <c r="B66" s="6" t="s">
        <v>170</v>
      </c>
      <c r="C66" s="7">
        <v>26</v>
      </c>
      <c r="D66" s="7">
        <v>63</v>
      </c>
      <c r="E66" s="7">
        <v>14</v>
      </c>
      <c r="F66" s="7">
        <v>49</v>
      </c>
      <c r="G66" s="7">
        <v>27.9</v>
      </c>
      <c r="H66" s="8">
        <v>1159</v>
      </c>
      <c r="I66" s="9">
        <v>416</v>
      </c>
      <c r="J66" s="9">
        <v>869</v>
      </c>
      <c r="K66" s="8">
        <v>48</v>
      </c>
      <c r="L66" s="9">
        <v>107</v>
      </c>
      <c r="M66" s="9">
        <v>271</v>
      </c>
      <c r="N66" s="8">
        <v>40.6</v>
      </c>
      <c r="O66" s="8">
        <v>214</v>
      </c>
      <c r="P66" s="8">
        <v>252</v>
      </c>
      <c r="Q66" s="8">
        <v>86.5</v>
      </c>
      <c r="R66" s="9">
        <v>63</v>
      </c>
      <c r="S66" s="9">
        <v>113</v>
      </c>
      <c r="T66" s="9">
        <v>170</v>
      </c>
      <c r="U66" s="9">
        <v>265</v>
      </c>
      <c r="V66" s="9">
        <v>158</v>
      </c>
      <c r="W66" s="9">
        <v>44</v>
      </c>
      <c r="X66" s="9">
        <v>6</v>
      </c>
      <c r="Y66" s="9">
        <v>145</v>
      </c>
      <c r="Z66" s="8">
        <v>1758</v>
      </c>
      <c r="AA66" s="8">
        <v>2</v>
      </c>
      <c r="AB66" s="8">
        <v>0</v>
      </c>
      <c r="AC66" s="7">
        <v>-4.5</v>
      </c>
      <c r="AD66" s="7">
        <v>110.4</v>
      </c>
      <c r="AE66" s="7">
        <v>117.9</v>
      </c>
      <c r="AF66" s="7">
        <v>-7.5</v>
      </c>
      <c r="AG66" s="7">
        <v>24.6</v>
      </c>
      <c r="AH66" s="7">
        <v>1.65</v>
      </c>
      <c r="AI66" s="7">
        <v>18.899999999999999</v>
      </c>
      <c r="AJ66" s="7">
        <v>3.3</v>
      </c>
      <c r="AK66" s="7">
        <v>6</v>
      </c>
      <c r="AL66" s="7">
        <v>4.7</v>
      </c>
      <c r="AM66" s="7">
        <v>11.5</v>
      </c>
      <c r="AN66" s="7">
        <v>54.3</v>
      </c>
      <c r="AO66" s="7">
        <v>59.3</v>
      </c>
      <c r="AP66" s="7">
        <v>26.4</v>
      </c>
      <c r="AQ66" s="7">
        <v>101.38</v>
      </c>
      <c r="AR66" s="7">
        <v>10.6</v>
      </c>
      <c r="AS66" s="7">
        <v>3709</v>
      </c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1"/>
    </row>
    <row r="67" spans="1:70" ht="13">
      <c r="A67" s="6" t="s">
        <v>171</v>
      </c>
      <c r="B67" s="6" t="s">
        <v>172</v>
      </c>
      <c r="C67" s="7">
        <v>27</v>
      </c>
      <c r="D67" s="7">
        <v>80</v>
      </c>
      <c r="E67" s="7">
        <v>59</v>
      </c>
      <c r="F67" s="7">
        <v>21</v>
      </c>
      <c r="G67" s="7">
        <v>28.4</v>
      </c>
      <c r="H67" s="8">
        <v>1144</v>
      </c>
      <c r="I67" s="9">
        <v>408</v>
      </c>
      <c r="J67" s="9">
        <v>864</v>
      </c>
      <c r="K67" s="8">
        <v>47.2</v>
      </c>
      <c r="L67" s="9">
        <v>256</v>
      </c>
      <c r="M67" s="9">
        <v>624</v>
      </c>
      <c r="N67" s="8">
        <v>40.700000000000003</v>
      </c>
      <c r="O67" s="8">
        <v>72</v>
      </c>
      <c r="P67" s="8">
        <v>88</v>
      </c>
      <c r="Q67" s="8">
        <v>84.5</v>
      </c>
      <c r="R67" s="9">
        <v>104</v>
      </c>
      <c r="S67" s="9">
        <v>208</v>
      </c>
      <c r="T67" s="9">
        <v>304</v>
      </c>
      <c r="U67" s="9">
        <v>280</v>
      </c>
      <c r="V67" s="9">
        <v>80</v>
      </c>
      <c r="W67" s="9">
        <v>72</v>
      </c>
      <c r="X67" s="9">
        <v>16</v>
      </c>
      <c r="Y67" s="9">
        <v>120</v>
      </c>
      <c r="Z67" s="8">
        <v>2096</v>
      </c>
      <c r="AA67" s="8">
        <v>5</v>
      </c>
      <c r="AB67" s="8">
        <v>0</v>
      </c>
      <c r="AC67" s="7">
        <v>5.4</v>
      </c>
      <c r="AD67" s="7">
        <v>118.4</v>
      </c>
      <c r="AE67" s="7">
        <v>108.9</v>
      </c>
      <c r="AF67" s="7">
        <v>9.5</v>
      </c>
      <c r="AG67" s="7">
        <v>18.399999999999999</v>
      </c>
      <c r="AH67" s="7">
        <v>3.36</v>
      </c>
      <c r="AI67" s="7">
        <v>22.1</v>
      </c>
      <c r="AJ67" s="7">
        <v>4.2</v>
      </c>
      <c r="AK67" s="7">
        <v>8.6999999999999993</v>
      </c>
      <c r="AL67" s="7">
        <v>6.5</v>
      </c>
      <c r="AM67" s="7">
        <v>6.6</v>
      </c>
      <c r="AN67" s="7">
        <v>62</v>
      </c>
      <c r="AO67" s="7">
        <v>63.3</v>
      </c>
      <c r="AP67" s="7">
        <v>18.600000000000001</v>
      </c>
      <c r="AQ67" s="7">
        <v>96.45</v>
      </c>
      <c r="AR67" s="7">
        <v>11.6</v>
      </c>
      <c r="AS67" s="7">
        <v>4561</v>
      </c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1"/>
    </row>
    <row r="68" spans="1:70" ht="13">
      <c r="A68" s="6" t="s">
        <v>173</v>
      </c>
      <c r="B68" s="6" t="s">
        <v>174</v>
      </c>
      <c r="C68" s="7">
        <v>25</v>
      </c>
      <c r="D68" s="7">
        <v>80</v>
      </c>
      <c r="E68" s="7">
        <v>47</v>
      </c>
      <c r="F68" s="7">
        <v>33</v>
      </c>
      <c r="G68" s="7">
        <v>27.5</v>
      </c>
      <c r="H68" s="8">
        <v>1136</v>
      </c>
      <c r="I68" s="9">
        <v>424</v>
      </c>
      <c r="J68" s="9">
        <v>920</v>
      </c>
      <c r="K68" s="8">
        <v>46.2</v>
      </c>
      <c r="L68" s="9">
        <v>176</v>
      </c>
      <c r="M68" s="9">
        <v>464</v>
      </c>
      <c r="N68" s="8">
        <v>37.9</v>
      </c>
      <c r="O68" s="8">
        <v>112</v>
      </c>
      <c r="P68" s="8">
        <v>144</v>
      </c>
      <c r="Q68" s="8">
        <v>77.599999999999994</v>
      </c>
      <c r="R68" s="9">
        <v>96</v>
      </c>
      <c r="S68" s="9">
        <v>392</v>
      </c>
      <c r="T68" s="9">
        <v>480</v>
      </c>
      <c r="U68" s="9">
        <v>184</v>
      </c>
      <c r="V68" s="9">
        <v>112</v>
      </c>
      <c r="W68" s="9">
        <v>56</v>
      </c>
      <c r="X68" s="9">
        <v>72</v>
      </c>
      <c r="Y68" s="9">
        <v>192</v>
      </c>
      <c r="Z68" s="8">
        <v>2264</v>
      </c>
      <c r="AA68" s="8">
        <v>10</v>
      </c>
      <c r="AB68" s="8">
        <v>0</v>
      </c>
      <c r="AC68" s="7">
        <v>4.3</v>
      </c>
      <c r="AD68" s="7">
        <v>116.2</v>
      </c>
      <c r="AE68" s="7">
        <v>108.8</v>
      </c>
      <c r="AF68" s="7">
        <v>7.4</v>
      </c>
      <c r="AG68" s="7">
        <v>12.3</v>
      </c>
      <c r="AH68" s="7">
        <v>1.68</v>
      </c>
      <c r="AI68" s="7">
        <v>14.2</v>
      </c>
      <c r="AJ68" s="7">
        <v>4.0999999999999996</v>
      </c>
      <c r="AK68" s="7">
        <v>17.100000000000001</v>
      </c>
      <c r="AL68" s="7">
        <v>10.6</v>
      </c>
      <c r="AM68" s="7">
        <v>8.5</v>
      </c>
      <c r="AN68" s="7">
        <v>55.6</v>
      </c>
      <c r="AO68" s="7">
        <v>57.7</v>
      </c>
      <c r="AP68" s="7">
        <v>21</v>
      </c>
      <c r="AQ68" s="7">
        <v>99.34</v>
      </c>
      <c r="AR68" s="7">
        <v>11</v>
      </c>
      <c r="AS68" s="7">
        <v>4554</v>
      </c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1"/>
    </row>
    <row r="69" spans="1:70" ht="13">
      <c r="A69" s="6" t="s">
        <v>175</v>
      </c>
      <c r="B69" s="6" t="s">
        <v>176</v>
      </c>
      <c r="C69" s="7">
        <v>21</v>
      </c>
      <c r="D69" s="7">
        <v>67</v>
      </c>
      <c r="E69" s="7">
        <v>13</v>
      </c>
      <c r="F69" s="7">
        <v>54</v>
      </c>
      <c r="G69" s="7">
        <v>31.5</v>
      </c>
      <c r="H69" s="8">
        <v>1126</v>
      </c>
      <c r="I69" s="9">
        <v>362</v>
      </c>
      <c r="J69" s="9">
        <v>918</v>
      </c>
      <c r="K69" s="8">
        <v>39.1</v>
      </c>
      <c r="L69" s="9">
        <v>174</v>
      </c>
      <c r="M69" s="9">
        <v>509</v>
      </c>
      <c r="N69" s="8">
        <v>34.299999999999997</v>
      </c>
      <c r="O69" s="8">
        <v>235</v>
      </c>
      <c r="P69" s="8">
        <v>288</v>
      </c>
      <c r="Q69" s="8">
        <v>81.8</v>
      </c>
      <c r="R69" s="9">
        <v>27</v>
      </c>
      <c r="S69" s="9">
        <v>228</v>
      </c>
      <c r="T69" s="9">
        <v>255</v>
      </c>
      <c r="U69" s="9">
        <v>375</v>
      </c>
      <c r="V69" s="9">
        <v>181</v>
      </c>
      <c r="W69" s="9">
        <v>47</v>
      </c>
      <c r="X69" s="9">
        <v>7</v>
      </c>
      <c r="Y69" s="9">
        <v>114</v>
      </c>
      <c r="Z69" s="8">
        <v>1977</v>
      </c>
      <c r="AA69" s="8">
        <v>4</v>
      </c>
      <c r="AB69" s="8">
        <v>0</v>
      </c>
      <c r="AC69" s="7">
        <v>-7.6</v>
      </c>
      <c r="AD69" s="7">
        <v>110.1</v>
      </c>
      <c r="AE69" s="7">
        <v>122</v>
      </c>
      <c r="AF69" s="7">
        <v>-11.9</v>
      </c>
      <c r="AG69" s="7">
        <v>27.2</v>
      </c>
      <c r="AH69" s="7">
        <v>2.06</v>
      </c>
      <c r="AI69" s="7">
        <v>23.6</v>
      </c>
      <c r="AJ69" s="7">
        <v>1.2</v>
      </c>
      <c r="AK69" s="7">
        <v>10.4</v>
      </c>
      <c r="AL69" s="7">
        <v>5.8</v>
      </c>
      <c r="AM69" s="7">
        <v>11.5</v>
      </c>
      <c r="AN69" s="7">
        <v>48.5</v>
      </c>
      <c r="AO69" s="7">
        <v>53.9</v>
      </c>
      <c r="AP69" s="7">
        <v>23.7</v>
      </c>
      <c r="AQ69" s="7">
        <v>101.25</v>
      </c>
      <c r="AR69" s="7">
        <v>9.3000000000000007</v>
      </c>
      <c r="AS69" s="7">
        <v>4454</v>
      </c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1"/>
    </row>
    <row r="70" spans="1:70" ht="13">
      <c r="A70" s="6" t="s">
        <v>177</v>
      </c>
      <c r="B70" s="6" t="s">
        <v>178</v>
      </c>
      <c r="C70" s="7">
        <v>24</v>
      </c>
      <c r="D70" s="7">
        <v>53</v>
      </c>
      <c r="E70" s="7">
        <v>14</v>
      </c>
      <c r="F70" s="7">
        <v>39</v>
      </c>
      <c r="G70" s="7">
        <v>35</v>
      </c>
      <c r="H70" s="8">
        <v>1124</v>
      </c>
      <c r="I70" s="9">
        <v>382</v>
      </c>
      <c r="J70" s="9">
        <v>837</v>
      </c>
      <c r="K70" s="8">
        <v>45.4</v>
      </c>
      <c r="L70" s="9">
        <v>159</v>
      </c>
      <c r="M70" s="9">
        <v>440</v>
      </c>
      <c r="N70" s="8">
        <v>36.1</v>
      </c>
      <c r="O70" s="8">
        <v>201</v>
      </c>
      <c r="P70" s="8">
        <v>228</v>
      </c>
      <c r="Q70" s="8">
        <v>88.7</v>
      </c>
      <c r="R70" s="9">
        <v>48</v>
      </c>
      <c r="S70" s="9">
        <v>223</v>
      </c>
      <c r="T70" s="9">
        <v>270</v>
      </c>
      <c r="U70" s="9">
        <v>186</v>
      </c>
      <c r="V70" s="9">
        <v>101</v>
      </c>
      <c r="W70" s="9">
        <v>58</v>
      </c>
      <c r="X70" s="9">
        <v>37</v>
      </c>
      <c r="Y70" s="9">
        <v>111</v>
      </c>
      <c r="Z70" s="8">
        <v>1908</v>
      </c>
      <c r="AA70" s="8">
        <v>2</v>
      </c>
      <c r="AB70" s="8">
        <v>0</v>
      </c>
      <c r="AC70" s="7">
        <v>-7.2</v>
      </c>
      <c r="AD70" s="7">
        <v>109</v>
      </c>
      <c r="AE70" s="7">
        <v>118.7</v>
      </c>
      <c r="AF70" s="7">
        <v>-9.6999999999999993</v>
      </c>
      <c r="AG70" s="7">
        <v>15.7</v>
      </c>
      <c r="AH70" s="7">
        <v>1.83</v>
      </c>
      <c r="AI70" s="7">
        <v>15.4</v>
      </c>
      <c r="AJ70" s="7">
        <v>2.4</v>
      </c>
      <c r="AK70" s="7">
        <v>11.7</v>
      </c>
      <c r="AL70" s="7">
        <v>6.9</v>
      </c>
      <c r="AM70" s="7">
        <v>8.4</v>
      </c>
      <c r="AN70" s="7">
        <v>54.8</v>
      </c>
      <c r="AO70" s="7">
        <v>59.8</v>
      </c>
      <c r="AP70" s="7">
        <v>22.9</v>
      </c>
      <c r="AQ70" s="7">
        <v>102.03</v>
      </c>
      <c r="AR70" s="7">
        <v>11</v>
      </c>
      <c r="AS70" s="7">
        <v>3941</v>
      </c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1"/>
    </row>
    <row r="71" spans="1:70" ht="13">
      <c r="A71" s="6" t="s">
        <v>179</v>
      </c>
      <c r="B71" s="6" t="s">
        <v>180</v>
      </c>
      <c r="C71" s="7">
        <v>29</v>
      </c>
      <c r="D71" s="7">
        <v>72</v>
      </c>
      <c r="E71" s="7">
        <v>44</v>
      </c>
      <c r="F71" s="7">
        <v>28</v>
      </c>
      <c r="G71" s="7">
        <v>30.2</v>
      </c>
      <c r="H71" s="8">
        <v>1123</v>
      </c>
      <c r="I71" s="9">
        <v>389</v>
      </c>
      <c r="J71" s="9">
        <v>814</v>
      </c>
      <c r="K71" s="8">
        <v>48.1</v>
      </c>
      <c r="L71" s="9">
        <v>158</v>
      </c>
      <c r="M71" s="9">
        <v>396</v>
      </c>
      <c r="N71" s="8">
        <v>39.6</v>
      </c>
      <c r="O71" s="8">
        <v>187</v>
      </c>
      <c r="P71" s="8">
        <v>238</v>
      </c>
      <c r="Q71" s="8">
        <v>77.3</v>
      </c>
      <c r="R71" s="9">
        <v>94</v>
      </c>
      <c r="S71" s="9">
        <v>382</v>
      </c>
      <c r="T71" s="9">
        <v>468</v>
      </c>
      <c r="U71" s="9">
        <v>108</v>
      </c>
      <c r="V71" s="9">
        <v>122</v>
      </c>
      <c r="W71" s="9">
        <v>58</v>
      </c>
      <c r="X71" s="9">
        <v>144</v>
      </c>
      <c r="Y71" s="9">
        <v>180</v>
      </c>
      <c r="Z71" s="8">
        <v>2326</v>
      </c>
      <c r="AA71" s="8">
        <v>13</v>
      </c>
      <c r="AB71" s="8">
        <v>0</v>
      </c>
      <c r="AC71" s="7">
        <v>2.8</v>
      </c>
      <c r="AD71" s="7">
        <v>116.1</v>
      </c>
      <c r="AE71" s="7">
        <v>111.5</v>
      </c>
      <c r="AF71" s="7">
        <v>4.7</v>
      </c>
      <c r="AG71" s="7">
        <v>7.2</v>
      </c>
      <c r="AH71" s="7">
        <v>0.9</v>
      </c>
      <c r="AI71" s="7">
        <v>9.6999999999999993</v>
      </c>
      <c r="AJ71" s="7">
        <v>4.3</v>
      </c>
      <c r="AK71" s="7">
        <v>16.899999999999999</v>
      </c>
      <c r="AL71" s="7">
        <v>10.9</v>
      </c>
      <c r="AM71" s="7">
        <v>10.7</v>
      </c>
      <c r="AN71" s="7">
        <v>57.7</v>
      </c>
      <c r="AO71" s="7">
        <v>61.2</v>
      </c>
      <c r="AP71" s="7">
        <v>20.7</v>
      </c>
      <c r="AQ71" s="7">
        <v>100.19</v>
      </c>
      <c r="AR71" s="7">
        <v>10.3</v>
      </c>
      <c r="AS71" s="7">
        <v>4533</v>
      </c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1"/>
    </row>
    <row r="72" spans="1:70" ht="13">
      <c r="A72" s="6" t="s">
        <v>181</v>
      </c>
      <c r="B72" s="6" t="s">
        <v>182</v>
      </c>
      <c r="C72" s="7">
        <v>27</v>
      </c>
      <c r="D72" s="7">
        <v>65</v>
      </c>
      <c r="E72" s="7">
        <v>36</v>
      </c>
      <c r="F72" s="7">
        <v>29</v>
      </c>
      <c r="G72" s="7">
        <v>31.6</v>
      </c>
      <c r="H72" s="8">
        <v>1118</v>
      </c>
      <c r="I72" s="9">
        <v>410</v>
      </c>
      <c r="J72" s="9">
        <v>936</v>
      </c>
      <c r="K72" s="8">
        <v>43.9</v>
      </c>
      <c r="L72" s="9">
        <v>137</v>
      </c>
      <c r="M72" s="9">
        <v>429</v>
      </c>
      <c r="N72" s="8">
        <v>32.5</v>
      </c>
      <c r="O72" s="8">
        <v>156</v>
      </c>
      <c r="P72" s="8">
        <v>176</v>
      </c>
      <c r="Q72" s="8">
        <v>86.5</v>
      </c>
      <c r="R72" s="9">
        <v>33</v>
      </c>
      <c r="S72" s="9">
        <v>215</v>
      </c>
      <c r="T72" s="9">
        <v>247</v>
      </c>
      <c r="U72" s="9">
        <v>364</v>
      </c>
      <c r="V72" s="9">
        <v>156</v>
      </c>
      <c r="W72" s="9">
        <v>59</v>
      </c>
      <c r="X72" s="9">
        <v>39</v>
      </c>
      <c r="Y72" s="9">
        <v>156</v>
      </c>
      <c r="Z72" s="8">
        <v>2093</v>
      </c>
      <c r="AA72" s="8">
        <v>4</v>
      </c>
      <c r="AB72" s="8">
        <v>0</v>
      </c>
      <c r="AC72" s="7">
        <v>1.8</v>
      </c>
      <c r="AD72" s="7">
        <v>117</v>
      </c>
      <c r="AE72" s="7">
        <v>114.5</v>
      </c>
      <c r="AF72" s="7">
        <v>2.5</v>
      </c>
      <c r="AG72" s="7">
        <v>24.6</v>
      </c>
      <c r="AH72" s="7">
        <v>2.2799999999999998</v>
      </c>
      <c r="AI72" s="7">
        <v>23.6</v>
      </c>
      <c r="AJ72" s="7">
        <v>1.4</v>
      </c>
      <c r="AK72" s="7">
        <v>10.4</v>
      </c>
      <c r="AL72" s="7">
        <v>5.9</v>
      </c>
      <c r="AM72" s="7">
        <v>10.4</v>
      </c>
      <c r="AN72" s="7">
        <v>51.3</v>
      </c>
      <c r="AO72" s="7">
        <v>54.9</v>
      </c>
      <c r="AP72" s="7">
        <v>23.6</v>
      </c>
      <c r="AQ72" s="7">
        <v>101.33</v>
      </c>
      <c r="AR72" s="7">
        <v>9.9</v>
      </c>
      <c r="AS72" s="7">
        <v>4339</v>
      </c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1"/>
    </row>
    <row r="73" spans="1:70" ht="13">
      <c r="A73" s="6" t="s">
        <v>183</v>
      </c>
      <c r="B73" s="6" t="s">
        <v>184</v>
      </c>
      <c r="C73" s="7">
        <v>21</v>
      </c>
      <c r="D73" s="7">
        <v>46</v>
      </c>
      <c r="E73" s="7">
        <v>21</v>
      </c>
      <c r="F73" s="7">
        <v>25</v>
      </c>
      <c r="G73" s="7">
        <v>33.200000000000003</v>
      </c>
      <c r="H73" s="8">
        <v>1118</v>
      </c>
      <c r="I73" s="9">
        <v>409</v>
      </c>
      <c r="J73" s="9">
        <v>856</v>
      </c>
      <c r="K73" s="8">
        <v>47.6</v>
      </c>
      <c r="L73" s="9">
        <v>143</v>
      </c>
      <c r="M73" s="9">
        <v>405</v>
      </c>
      <c r="N73" s="8">
        <v>35.200000000000003</v>
      </c>
      <c r="O73" s="8">
        <v>156</v>
      </c>
      <c r="P73" s="8">
        <v>189</v>
      </c>
      <c r="Q73" s="8">
        <v>83.6</v>
      </c>
      <c r="R73" s="9">
        <v>83</v>
      </c>
      <c r="S73" s="9">
        <v>423</v>
      </c>
      <c r="T73" s="9">
        <v>506</v>
      </c>
      <c r="U73" s="9">
        <v>170</v>
      </c>
      <c r="V73" s="9">
        <v>147</v>
      </c>
      <c r="W73" s="9">
        <v>51</v>
      </c>
      <c r="X73" s="9">
        <v>175</v>
      </c>
      <c r="Y73" s="9">
        <v>106</v>
      </c>
      <c r="Z73" s="8">
        <v>2512</v>
      </c>
      <c r="AA73" s="8">
        <v>28</v>
      </c>
      <c r="AB73" s="8">
        <v>1</v>
      </c>
      <c r="AC73" s="7">
        <v>2.2000000000000002</v>
      </c>
      <c r="AD73" s="7">
        <v>112.5</v>
      </c>
      <c r="AE73" s="7">
        <v>110</v>
      </c>
      <c r="AF73" s="7">
        <v>2.5</v>
      </c>
      <c r="AG73" s="7">
        <v>18.399999999999999</v>
      </c>
      <c r="AH73" s="7">
        <v>1.1299999999999999</v>
      </c>
      <c r="AI73" s="7">
        <v>13.4</v>
      </c>
      <c r="AJ73" s="7">
        <v>5.4</v>
      </c>
      <c r="AK73" s="7">
        <v>25.5</v>
      </c>
      <c r="AL73" s="7">
        <v>15.9</v>
      </c>
      <c r="AM73" s="7">
        <v>11.9</v>
      </c>
      <c r="AN73" s="7">
        <v>55.9</v>
      </c>
      <c r="AO73" s="7">
        <v>59.4</v>
      </c>
      <c r="AP73" s="7">
        <v>30</v>
      </c>
      <c r="AQ73" s="7">
        <v>101</v>
      </c>
      <c r="AR73" s="7">
        <v>16.8</v>
      </c>
      <c r="AS73" s="7">
        <v>3223</v>
      </c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1"/>
    </row>
    <row r="74" spans="1:70" ht="13">
      <c r="A74" s="6" t="s">
        <v>185</v>
      </c>
      <c r="B74" s="6" t="s">
        <v>186</v>
      </c>
      <c r="C74" s="7">
        <v>27</v>
      </c>
      <c r="D74" s="7">
        <v>82</v>
      </c>
      <c r="E74" s="7">
        <v>64</v>
      </c>
      <c r="F74" s="7">
        <v>18</v>
      </c>
      <c r="G74" s="7">
        <v>28</v>
      </c>
      <c r="H74" s="8">
        <v>1107</v>
      </c>
      <c r="I74" s="9">
        <v>451</v>
      </c>
      <c r="J74" s="9">
        <v>640</v>
      </c>
      <c r="K74" s="8">
        <v>70.599999999999994</v>
      </c>
      <c r="L74" s="8">
        <v>0</v>
      </c>
      <c r="M74" s="9">
        <v>8</v>
      </c>
      <c r="N74" s="8">
        <v>0</v>
      </c>
      <c r="O74" s="8">
        <v>197</v>
      </c>
      <c r="P74" s="8">
        <v>279</v>
      </c>
      <c r="Q74" s="8">
        <v>71.8</v>
      </c>
      <c r="R74" s="9">
        <v>213</v>
      </c>
      <c r="S74" s="9">
        <v>582</v>
      </c>
      <c r="T74" s="9">
        <v>795</v>
      </c>
      <c r="U74" s="9">
        <v>156</v>
      </c>
      <c r="V74" s="9">
        <v>98</v>
      </c>
      <c r="W74" s="9">
        <v>74</v>
      </c>
      <c r="X74" s="9">
        <v>74</v>
      </c>
      <c r="Y74" s="9">
        <v>123</v>
      </c>
      <c r="Z74" s="8">
        <v>2649</v>
      </c>
      <c r="AA74" s="8">
        <v>40</v>
      </c>
      <c r="AB74" s="8">
        <v>0</v>
      </c>
      <c r="AC74" s="7">
        <v>6.3</v>
      </c>
      <c r="AD74" s="7">
        <v>121.9</v>
      </c>
      <c r="AE74" s="7">
        <v>111.3</v>
      </c>
      <c r="AF74" s="7">
        <v>10.5</v>
      </c>
      <c r="AG74" s="7">
        <v>9.1</v>
      </c>
      <c r="AH74" s="7">
        <v>1.63</v>
      </c>
      <c r="AI74" s="7">
        <v>15.5</v>
      </c>
      <c r="AJ74" s="7">
        <v>9.5</v>
      </c>
      <c r="AK74" s="7">
        <v>23.8</v>
      </c>
      <c r="AL74" s="7">
        <v>16.899999999999999</v>
      </c>
      <c r="AM74" s="7">
        <v>9.5</v>
      </c>
      <c r="AN74" s="7">
        <v>70.599999999999994</v>
      </c>
      <c r="AO74" s="7">
        <v>72.400000000000006</v>
      </c>
      <c r="AP74" s="7">
        <v>15.6</v>
      </c>
      <c r="AQ74" s="7">
        <v>101.43</v>
      </c>
      <c r="AR74" s="7">
        <v>14.8</v>
      </c>
      <c r="AS74" s="7">
        <v>4853</v>
      </c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1"/>
    </row>
    <row r="75" spans="1:70" ht="13">
      <c r="A75" s="6" t="s">
        <v>187</v>
      </c>
      <c r="B75" s="6" t="s">
        <v>188</v>
      </c>
      <c r="C75" s="7">
        <v>25</v>
      </c>
      <c r="D75" s="7">
        <v>75</v>
      </c>
      <c r="E75" s="7">
        <v>29</v>
      </c>
      <c r="F75" s="7">
        <v>46</v>
      </c>
      <c r="G75" s="7">
        <v>26.8</v>
      </c>
      <c r="H75" s="8">
        <v>1095</v>
      </c>
      <c r="I75" s="9">
        <v>383</v>
      </c>
      <c r="J75" s="9">
        <v>825</v>
      </c>
      <c r="K75" s="8">
        <v>46.7</v>
      </c>
      <c r="L75" s="9">
        <v>165</v>
      </c>
      <c r="M75" s="9">
        <v>420</v>
      </c>
      <c r="N75" s="8">
        <v>38.5</v>
      </c>
      <c r="O75" s="8">
        <v>165</v>
      </c>
      <c r="P75" s="8">
        <v>218</v>
      </c>
      <c r="Q75" s="8">
        <v>75.7</v>
      </c>
      <c r="R75" s="9">
        <v>60</v>
      </c>
      <c r="S75" s="9">
        <v>263</v>
      </c>
      <c r="T75" s="9">
        <v>323</v>
      </c>
      <c r="U75" s="9">
        <v>225</v>
      </c>
      <c r="V75" s="9">
        <v>143</v>
      </c>
      <c r="W75" s="9">
        <v>75</v>
      </c>
      <c r="X75" s="9">
        <v>23</v>
      </c>
      <c r="Y75" s="9">
        <v>135</v>
      </c>
      <c r="Z75" s="8">
        <v>1973</v>
      </c>
      <c r="AA75" s="8">
        <v>4</v>
      </c>
      <c r="AB75" s="8">
        <v>0</v>
      </c>
      <c r="AC75" s="7">
        <v>-3.5</v>
      </c>
      <c r="AD75" s="7">
        <v>111.9</v>
      </c>
      <c r="AE75" s="7">
        <v>118.1</v>
      </c>
      <c r="AF75" s="7">
        <v>-6.2</v>
      </c>
      <c r="AG75" s="7">
        <v>17.2</v>
      </c>
      <c r="AH75" s="7">
        <v>1.62</v>
      </c>
      <c r="AI75" s="7">
        <v>17.899999999999999</v>
      </c>
      <c r="AJ75" s="7">
        <v>2.8</v>
      </c>
      <c r="AK75" s="7">
        <v>12.6</v>
      </c>
      <c r="AL75" s="7">
        <v>7.7</v>
      </c>
      <c r="AM75" s="7">
        <v>11</v>
      </c>
      <c r="AN75" s="7">
        <v>56.5</v>
      </c>
      <c r="AO75" s="7">
        <v>59.5</v>
      </c>
      <c r="AP75" s="7">
        <v>21.8</v>
      </c>
      <c r="AQ75" s="7">
        <v>100.7</v>
      </c>
      <c r="AR75" s="7">
        <v>10.5</v>
      </c>
      <c r="AS75" s="7">
        <v>4223</v>
      </c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1"/>
    </row>
    <row r="76" spans="1:70" ht="13">
      <c r="A76" s="6" t="s">
        <v>189</v>
      </c>
      <c r="B76" s="6" t="s">
        <v>190</v>
      </c>
      <c r="C76" s="7">
        <v>27</v>
      </c>
      <c r="D76" s="7">
        <v>64</v>
      </c>
      <c r="E76" s="7">
        <v>38</v>
      </c>
      <c r="F76" s="7">
        <v>26</v>
      </c>
      <c r="G76" s="7">
        <v>27.2</v>
      </c>
      <c r="H76" s="8">
        <v>1088</v>
      </c>
      <c r="I76" s="9">
        <v>358</v>
      </c>
      <c r="J76" s="9">
        <v>762</v>
      </c>
      <c r="K76" s="8">
        <v>47</v>
      </c>
      <c r="L76" s="9">
        <v>160</v>
      </c>
      <c r="M76" s="9">
        <v>390</v>
      </c>
      <c r="N76" s="8">
        <v>40.5</v>
      </c>
      <c r="O76" s="8">
        <v>218</v>
      </c>
      <c r="P76" s="8">
        <v>256</v>
      </c>
      <c r="Q76" s="8">
        <v>84.6</v>
      </c>
      <c r="R76" s="9">
        <v>45</v>
      </c>
      <c r="S76" s="9">
        <v>211</v>
      </c>
      <c r="T76" s="9">
        <v>256</v>
      </c>
      <c r="U76" s="9">
        <v>90</v>
      </c>
      <c r="V76" s="9">
        <v>83</v>
      </c>
      <c r="W76" s="9">
        <v>51</v>
      </c>
      <c r="X76" s="9">
        <v>13</v>
      </c>
      <c r="Y76" s="9">
        <v>154</v>
      </c>
      <c r="Z76" s="8">
        <v>1645</v>
      </c>
      <c r="AA76" s="8">
        <v>2</v>
      </c>
      <c r="AB76" s="8">
        <v>0</v>
      </c>
      <c r="AC76" s="7">
        <v>1.4</v>
      </c>
      <c r="AD76" s="7">
        <v>115.9</v>
      </c>
      <c r="AE76" s="7">
        <v>113.9</v>
      </c>
      <c r="AF76" s="7">
        <v>2</v>
      </c>
      <c r="AG76" s="7">
        <v>7.7</v>
      </c>
      <c r="AH76" s="7">
        <v>1.1200000000000001</v>
      </c>
      <c r="AI76" s="7">
        <v>8.6999999999999993</v>
      </c>
      <c r="AJ76" s="7">
        <v>2.4</v>
      </c>
      <c r="AK76" s="7">
        <v>11.7</v>
      </c>
      <c r="AL76" s="7">
        <v>7.1</v>
      </c>
      <c r="AM76" s="7">
        <v>7.8</v>
      </c>
      <c r="AN76" s="7">
        <v>57.3</v>
      </c>
      <c r="AO76" s="7">
        <v>62.3</v>
      </c>
      <c r="AP76" s="7">
        <v>22.1</v>
      </c>
      <c r="AQ76" s="7">
        <v>104.77</v>
      </c>
      <c r="AR76" s="7">
        <v>10.1</v>
      </c>
      <c r="AS76" s="7">
        <v>3803</v>
      </c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1"/>
    </row>
    <row r="77" spans="1:70" ht="13">
      <c r="A77" s="6" t="s">
        <v>191</v>
      </c>
      <c r="B77" s="6" t="s">
        <v>192</v>
      </c>
      <c r="C77" s="7">
        <v>30</v>
      </c>
      <c r="D77" s="7">
        <v>60</v>
      </c>
      <c r="E77" s="7">
        <v>27</v>
      </c>
      <c r="F77" s="7">
        <v>33</v>
      </c>
      <c r="G77" s="7">
        <v>30.7</v>
      </c>
      <c r="H77" s="8">
        <v>1080</v>
      </c>
      <c r="I77" s="9">
        <v>378</v>
      </c>
      <c r="J77" s="9">
        <v>840</v>
      </c>
      <c r="K77" s="8">
        <v>44.8</v>
      </c>
      <c r="L77" s="9">
        <v>132</v>
      </c>
      <c r="M77" s="9">
        <v>348</v>
      </c>
      <c r="N77" s="8">
        <v>37.4</v>
      </c>
      <c r="O77" s="8">
        <v>198</v>
      </c>
      <c r="P77" s="8">
        <v>258</v>
      </c>
      <c r="Q77" s="8">
        <v>76.3</v>
      </c>
      <c r="R77" s="9">
        <v>90</v>
      </c>
      <c r="S77" s="9">
        <v>180</v>
      </c>
      <c r="T77" s="9">
        <v>270</v>
      </c>
      <c r="U77" s="9">
        <v>156</v>
      </c>
      <c r="V77" s="9">
        <v>102</v>
      </c>
      <c r="W77" s="9">
        <v>60</v>
      </c>
      <c r="X77" s="9">
        <v>48</v>
      </c>
      <c r="Y77" s="9">
        <v>102</v>
      </c>
      <c r="Z77" s="8">
        <v>1866</v>
      </c>
      <c r="AA77" s="8">
        <v>3</v>
      </c>
      <c r="AB77" s="8">
        <v>0</v>
      </c>
      <c r="AC77" s="7">
        <v>-1.7</v>
      </c>
      <c r="AD77" s="7">
        <v>109.4</v>
      </c>
      <c r="AE77" s="7">
        <v>111.7</v>
      </c>
      <c r="AF77" s="7">
        <v>-2.2999999999999998</v>
      </c>
      <c r="AG77" s="7">
        <v>13.7</v>
      </c>
      <c r="AH77" s="7">
        <v>1.6</v>
      </c>
      <c r="AI77" s="7">
        <v>13.1</v>
      </c>
      <c r="AJ77" s="7">
        <v>4.5</v>
      </c>
      <c r="AK77" s="7">
        <v>9.5</v>
      </c>
      <c r="AL77" s="7">
        <v>6.9</v>
      </c>
      <c r="AM77" s="7">
        <v>8.1999999999999993</v>
      </c>
      <c r="AN77" s="7">
        <v>52.6</v>
      </c>
      <c r="AO77" s="7">
        <v>56.6</v>
      </c>
      <c r="AP77" s="7">
        <v>23.8</v>
      </c>
      <c r="AQ77" s="7">
        <v>99.96</v>
      </c>
      <c r="AR77" s="7">
        <v>10.5</v>
      </c>
      <c r="AS77" s="7">
        <v>3831</v>
      </c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1"/>
    </row>
    <row r="78" spans="1:70" ht="13">
      <c r="A78" s="6" t="s">
        <v>193</v>
      </c>
      <c r="B78" s="6" t="s">
        <v>194</v>
      </c>
      <c r="C78" s="7">
        <v>22</v>
      </c>
      <c r="D78" s="7">
        <v>76</v>
      </c>
      <c r="E78" s="7">
        <v>37</v>
      </c>
      <c r="F78" s="7">
        <v>39</v>
      </c>
      <c r="G78" s="7">
        <v>33.799999999999997</v>
      </c>
      <c r="H78" s="8">
        <v>1072</v>
      </c>
      <c r="I78" s="9">
        <v>456</v>
      </c>
      <c r="J78" s="9">
        <v>920</v>
      </c>
      <c r="K78" s="8">
        <v>49.3</v>
      </c>
      <c r="L78" s="9">
        <v>84</v>
      </c>
      <c r="M78" s="9">
        <v>236</v>
      </c>
      <c r="N78" s="8">
        <v>34</v>
      </c>
      <c r="O78" s="8">
        <v>84</v>
      </c>
      <c r="P78" s="8">
        <v>137</v>
      </c>
      <c r="Q78" s="8">
        <v>59.3</v>
      </c>
      <c r="R78" s="9">
        <v>122</v>
      </c>
      <c r="S78" s="9">
        <v>327</v>
      </c>
      <c r="T78" s="9">
        <v>448</v>
      </c>
      <c r="U78" s="9">
        <v>334</v>
      </c>
      <c r="V78" s="9">
        <v>152</v>
      </c>
      <c r="W78" s="9">
        <v>228</v>
      </c>
      <c r="X78" s="9">
        <v>53</v>
      </c>
      <c r="Y78" s="9">
        <v>175</v>
      </c>
      <c r="Z78" s="8">
        <v>2812</v>
      </c>
      <c r="AA78" s="8">
        <v>9</v>
      </c>
      <c r="AB78" s="8">
        <v>0</v>
      </c>
      <c r="AC78" s="7">
        <v>-0.9</v>
      </c>
      <c r="AD78" s="7">
        <v>113.3</v>
      </c>
      <c r="AE78" s="7">
        <v>114.2</v>
      </c>
      <c r="AF78" s="7">
        <v>-0.9</v>
      </c>
      <c r="AG78" s="7">
        <v>17.399999999999999</v>
      </c>
      <c r="AH78" s="7">
        <v>2.15</v>
      </c>
      <c r="AI78" s="7">
        <v>22.6</v>
      </c>
      <c r="AJ78" s="7">
        <v>4.5999999999999996</v>
      </c>
      <c r="AK78" s="7">
        <v>12.7</v>
      </c>
      <c r="AL78" s="7">
        <v>8.5</v>
      </c>
      <c r="AM78" s="7">
        <v>10.5</v>
      </c>
      <c r="AN78" s="7">
        <v>53.6</v>
      </c>
      <c r="AO78" s="7">
        <v>54.5</v>
      </c>
      <c r="AP78" s="7">
        <v>17.8</v>
      </c>
      <c r="AQ78" s="7">
        <v>104.17</v>
      </c>
      <c r="AR78" s="7">
        <v>9.9</v>
      </c>
      <c r="AS78" s="7">
        <v>5574</v>
      </c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1"/>
    </row>
    <row r="79" spans="1:70" ht="13">
      <c r="A79" s="6" t="s">
        <v>195</v>
      </c>
      <c r="B79" s="6" t="s">
        <v>196</v>
      </c>
      <c r="C79" s="7">
        <v>29</v>
      </c>
      <c r="D79" s="7">
        <v>57</v>
      </c>
      <c r="E79" s="7">
        <v>21</v>
      </c>
      <c r="F79" s="7">
        <v>36</v>
      </c>
      <c r="G79" s="7">
        <v>31.6</v>
      </c>
      <c r="H79" s="8">
        <v>1072</v>
      </c>
      <c r="I79" s="9">
        <v>353</v>
      </c>
      <c r="J79" s="9">
        <v>747</v>
      </c>
      <c r="K79" s="8">
        <v>47.5</v>
      </c>
      <c r="L79" s="9">
        <v>160</v>
      </c>
      <c r="M79" s="9">
        <v>410</v>
      </c>
      <c r="N79" s="8">
        <v>39</v>
      </c>
      <c r="O79" s="8">
        <v>200</v>
      </c>
      <c r="P79" s="8">
        <v>222</v>
      </c>
      <c r="Q79" s="8">
        <v>89.3</v>
      </c>
      <c r="R79" s="9">
        <v>51</v>
      </c>
      <c r="S79" s="9">
        <v>194</v>
      </c>
      <c r="T79" s="9">
        <v>245</v>
      </c>
      <c r="U79" s="9">
        <v>194</v>
      </c>
      <c r="V79" s="9">
        <v>97</v>
      </c>
      <c r="W79" s="9">
        <v>51</v>
      </c>
      <c r="X79" s="9">
        <v>23</v>
      </c>
      <c r="Y79" s="9">
        <v>103</v>
      </c>
      <c r="Z79" s="8">
        <v>1790</v>
      </c>
      <c r="AA79" s="8">
        <v>2</v>
      </c>
      <c r="AB79" s="8">
        <v>0</v>
      </c>
      <c r="AC79" s="7">
        <v>-3.5</v>
      </c>
      <c r="AD79" s="7">
        <v>110.9</v>
      </c>
      <c r="AE79" s="7">
        <v>116.7</v>
      </c>
      <c r="AF79" s="7">
        <v>-5.8</v>
      </c>
      <c r="AG79" s="7">
        <v>17.899999999999999</v>
      </c>
      <c r="AH79" s="7">
        <v>1.96</v>
      </c>
      <c r="AI79" s="7">
        <v>17.2</v>
      </c>
      <c r="AJ79" s="7">
        <v>3</v>
      </c>
      <c r="AK79" s="7">
        <v>11.3</v>
      </c>
      <c r="AL79" s="7">
        <v>7</v>
      </c>
      <c r="AM79" s="7">
        <v>8.8000000000000007</v>
      </c>
      <c r="AN79" s="7">
        <v>58.2</v>
      </c>
      <c r="AO79" s="7">
        <v>63.2</v>
      </c>
      <c r="AP79" s="7">
        <v>22.4</v>
      </c>
      <c r="AQ79" s="7">
        <v>97.41</v>
      </c>
      <c r="AR79" s="7">
        <v>12.4</v>
      </c>
      <c r="AS79" s="7">
        <v>3657</v>
      </c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1"/>
    </row>
    <row r="80" spans="1:70" ht="13">
      <c r="A80" s="6" t="s">
        <v>197</v>
      </c>
      <c r="B80" s="6" t="s">
        <v>198</v>
      </c>
      <c r="C80" s="7">
        <v>29</v>
      </c>
      <c r="D80" s="7">
        <v>75</v>
      </c>
      <c r="E80" s="7">
        <v>49</v>
      </c>
      <c r="F80" s="7">
        <v>26</v>
      </c>
      <c r="G80" s="7">
        <v>31.8</v>
      </c>
      <c r="H80" s="8">
        <v>1050</v>
      </c>
      <c r="I80" s="9">
        <v>383</v>
      </c>
      <c r="J80" s="9">
        <v>893</v>
      </c>
      <c r="K80" s="8">
        <v>42.9</v>
      </c>
      <c r="L80" s="9">
        <v>188</v>
      </c>
      <c r="M80" s="9">
        <v>473</v>
      </c>
      <c r="N80" s="8">
        <v>39.700000000000003</v>
      </c>
      <c r="O80" s="8">
        <v>98</v>
      </c>
      <c r="P80" s="8">
        <v>120</v>
      </c>
      <c r="Q80" s="8">
        <v>81.8</v>
      </c>
      <c r="R80" s="9">
        <v>75</v>
      </c>
      <c r="S80" s="9">
        <v>203</v>
      </c>
      <c r="T80" s="9">
        <v>278</v>
      </c>
      <c r="U80" s="9">
        <v>128</v>
      </c>
      <c r="V80" s="9">
        <v>75</v>
      </c>
      <c r="W80" s="9">
        <v>60</v>
      </c>
      <c r="X80" s="9">
        <v>15</v>
      </c>
      <c r="Y80" s="9">
        <v>240</v>
      </c>
      <c r="Z80" s="8">
        <v>1725</v>
      </c>
      <c r="AA80" s="8">
        <v>0</v>
      </c>
      <c r="AB80" s="8">
        <v>0</v>
      </c>
      <c r="AC80" s="7">
        <v>2.8</v>
      </c>
      <c r="AD80" s="7">
        <v>113.5</v>
      </c>
      <c r="AE80" s="7">
        <v>108.8</v>
      </c>
      <c r="AF80" s="7">
        <v>4.7</v>
      </c>
      <c r="AG80" s="7">
        <v>7.6</v>
      </c>
      <c r="AH80" s="7">
        <v>1.68</v>
      </c>
      <c r="AI80" s="7">
        <v>11.1</v>
      </c>
      <c r="AJ80" s="7">
        <v>2.8</v>
      </c>
      <c r="AK80" s="7">
        <v>8.1</v>
      </c>
      <c r="AL80" s="7">
        <v>5.4</v>
      </c>
      <c r="AM80" s="7">
        <v>6.6</v>
      </c>
      <c r="AN80" s="7">
        <v>53.3</v>
      </c>
      <c r="AO80" s="7">
        <v>55.5</v>
      </c>
      <c r="AP80" s="7">
        <v>17.600000000000001</v>
      </c>
      <c r="AQ80" s="7">
        <v>98.94</v>
      </c>
      <c r="AR80" s="7">
        <v>6.7</v>
      </c>
      <c r="AS80" s="7">
        <v>4913</v>
      </c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1"/>
    </row>
    <row r="81" spans="1:70" ht="13">
      <c r="A81" s="6" t="s">
        <v>199</v>
      </c>
      <c r="B81" s="6" t="s">
        <v>200</v>
      </c>
      <c r="C81" s="7">
        <v>30</v>
      </c>
      <c r="D81" s="7">
        <v>77</v>
      </c>
      <c r="E81" s="7">
        <v>48</v>
      </c>
      <c r="F81" s="7">
        <v>29</v>
      </c>
      <c r="G81" s="7">
        <v>37.6</v>
      </c>
      <c r="H81" s="8">
        <v>1047</v>
      </c>
      <c r="I81" s="9">
        <v>400</v>
      </c>
      <c r="J81" s="9">
        <v>770</v>
      </c>
      <c r="K81" s="8">
        <v>52.5</v>
      </c>
      <c r="L81" s="9">
        <v>85</v>
      </c>
      <c r="M81" s="9">
        <v>254</v>
      </c>
      <c r="N81" s="8">
        <v>33.299999999999997</v>
      </c>
      <c r="O81" s="8">
        <v>162</v>
      </c>
      <c r="P81" s="8">
        <v>208</v>
      </c>
      <c r="Q81" s="8">
        <v>77.599999999999994</v>
      </c>
      <c r="R81" s="9">
        <v>162</v>
      </c>
      <c r="S81" s="9">
        <v>578</v>
      </c>
      <c r="T81" s="9">
        <v>739</v>
      </c>
      <c r="U81" s="9">
        <v>454</v>
      </c>
      <c r="V81" s="9">
        <v>162</v>
      </c>
      <c r="W81" s="9">
        <v>116</v>
      </c>
      <c r="X81" s="9">
        <v>31</v>
      </c>
      <c r="Y81" s="9">
        <v>200</v>
      </c>
      <c r="Z81" s="8">
        <v>2895</v>
      </c>
      <c r="AA81" s="8">
        <v>34</v>
      </c>
      <c r="AB81" s="8">
        <v>9</v>
      </c>
      <c r="AC81" s="7">
        <v>2.6</v>
      </c>
      <c r="AD81" s="7">
        <v>117.9</v>
      </c>
      <c r="AE81" s="7">
        <v>114.3</v>
      </c>
      <c r="AF81" s="7">
        <v>3.6</v>
      </c>
      <c r="AG81" s="7">
        <v>20.6</v>
      </c>
      <c r="AH81" s="7">
        <v>2.87</v>
      </c>
      <c r="AI81" s="7">
        <v>30.8</v>
      </c>
      <c r="AJ81" s="7">
        <v>5.7</v>
      </c>
      <c r="AK81" s="7">
        <v>20.3</v>
      </c>
      <c r="AL81" s="7">
        <v>13</v>
      </c>
      <c r="AM81" s="7">
        <v>10.8</v>
      </c>
      <c r="AN81" s="7">
        <v>57.9</v>
      </c>
      <c r="AO81" s="7">
        <v>61.1</v>
      </c>
      <c r="AP81" s="7">
        <v>15.1</v>
      </c>
      <c r="AQ81" s="7">
        <v>97.79</v>
      </c>
      <c r="AR81" s="7">
        <v>11.9</v>
      </c>
      <c r="AS81" s="7">
        <v>5898</v>
      </c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1"/>
    </row>
    <row r="82" spans="1:70" ht="13">
      <c r="A82" s="6" t="s">
        <v>201</v>
      </c>
      <c r="B82" s="6" t="s">
        <v>202</v>
      </c>
      <c r="C82" s="7">
        <v>24</v>
      </c>
      <c r="D82" s="7">
        <v>64</v>
      </c>
      <c r="E82" s="7">
        <v>24</v>
      </c>
      <c r="F82" s="7">
        <v>40</v>
      </c>
      <c r="G82" s="7">
        <v>31</v>
      </c>
      <c r="H82" s="8">
        <v>1043</v>
      </c>
      <c r="I82" s="9">
        <v>397</v>
      </c>
      <c r="J82" s="9">
        <v>890</v>
      </c>
      <c r="K82" s="8">
        <v>44.3</v>
      </c>
      <c r="L82" s="9">
        <v>160</v>
      </c>
      <c r="M82" s="9">
        <v>429</v>
      </c>
      <c r="N82" s="8">
        <v>36.799999999999997</v>
      </c>
      <c r="O82" s="8">
        <v>96</v>
      </c>
      <c r="P82" s="8">
        <v>122</v>
      </c>
      <c r="Q82" s="8">
        <v>79.2</v>
      </c>
      <c r="R82" s="9">
        <v>32</v>
      </c>
      <c r="S82" s="9">
        <v>224</v>
      </c>
      <c r="T82" s="9">
        <v>256</v>
      </c>
      <c r="U82" s="9">
        <v>186</v>
      </c>
      <c r="V82" s="9">
        <v>90</v>
      </c>
      <c r="W82" s="9">
        <v>83</v>
      </c>
      <c r="X82" s="9">
        <v>32</v>
      </c>
      <c r="Y82" s="9">
        <v>109</v>
      </c>
      <c r="Z82" s="8">
        <v>1882</v>
      </c>
      <c r="AA82" s="8">
        <v>2</v>
      </c>
      <c r="AB82" s="8">
        <v>0</v>
      </c>
      <c r="AC82" s="7">
        <v>-4.0999999999999996</v>
      </c>
      <c r="AD82" s="7">
        <v>111.9</v>
      </c>
      <c r="AE82" s="7">
        <v>118.1</v>
      </c>
      <c r="AF82" s="7">
        <v>-6.2</v>
      </c>
      <c r="AG82" s="7">
        <v>13.9</v>
      </c>
      <c r="AH82" s="7">
        <v>2.08</v>
      </c>
      <c r="AI82" s="7">
        <v>15.2</v>
      </c>
      <c r="AJ82" s="7">
        <v>1.6</v>
      </c>
      <c r="AK82" s="7">
        <v>10.7</v>
      </c>
      <c r="AL82" s="7">
        <v>6.2</v>
      </c>
      <c r="AM82" s="7">
        <v>7.3</v>
      </c>
      <c r="AN82" s="7">
        <v>53.2</v>
      </c>
      <c r="AO82" s="7">
        <v>55.3</v>
      </c>
      <c r="AP82" s="7">
        <v>21.7</v>
      </c>
      <c r="AQ82" s="7">
        <v>100.8</v>
      </c>
      <c r="AR82" s="7">
        <v>9.1999999999999993</v>
      </c>
      <c r="AS82" s="7">
        <v>4163</v>
      </c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1"/>
    </row>
    <row r="83" spans="1:70" ht="13">
      <c r="A83" s="6" t="s">
        <v>203</v>
      </c>
      <c r="B83" s="6" t="s">
        <v>204</v>
      </c>
      <c r="C83" s="7">
        <v>37</v>
      </c>
      <c r="D83" s="7">
        <v>80</v>
      </c>
      <c r="E83" s="7">
        <v>47</v>
      </c>
      <c r="F83" s="7">
        <v>33</v>
      </c>
      <c r="G83" s="7">
        <v>31.8</v>
      </c>
      <c r="H83" s="8">
        <v>1040</v>
      </c>
      <c r="I83" s="9">
        <v>392</v>
      </c>
      <c r="J83" s="9">
        <v>776</v>
      </c>
      <c r="K83" s="8">
        <v>50.9</v>
      </c>
      <c r="L83" s="9">
        <v>136</v>
      </c>
      <c r="M83" s="9">
        <v>376</v>
      </c>
      <c r="N83" s="8">
        <v>37.299999999999997</v>
      </c>
      <c r="O83" s="8">
        <v>112</v>
      </c>
      <c r="P83" s="8">
        <v>136</v>
      </c>
      <c r="Q83" s="8">
        <v>82.6</v>
      </c>
      <c r="R83" s="9">
        <v>112</v>
      </c>
      <c r="S83" s="9">
        <v>288</v>
      </c>
      <c r="T83" s="9">
        <v>400</v>
      </c>
      <c r="U83" s="9">
        <v>144</v>
      </c>
      <c r="V83" s="9">
        <v>88</v>
      </c>
      <c r="W83" s="9">
        <v>48</v>
      </c>
      <c r="X83" s="9">
        <v>152</v>
      </c>
      <c r="Y83" s="9">
        <v>168</v>
      </c>
      <c r="Z83" s="8">
        <v>2248</v>
      </c>
      <c r="AA83" s="8">
        <v>4</v>
      </c>
      <c r="AB83" s="8">
        <v>0</v>
      </c>
      <c r="AC83" s="7">
        <v>1.7</v>
      </c>
      <c r="AD83" s="7">
        <v>114.8</v>
      </c>
      <c r="AE83" s="7">
        <v>112.7</v>
      </c>
      <c r="AF83" s="7">
        <v>2.2000000000000002</v>
      </c>
      <c r="AG83" s="7">
        <v>7.8</v>
      </c>
      <c r="AH83" s="7">
        <v>1.7</v>
      </c>
      <c r="AI83" s="7">
        <v>13.5</v>
      </c>
      <c r="AJ83" s="7">
        <v>4.5999999999999996</v>
      </c>
      <c r="AK83" s="7">
        <v>10.7</v>
      </c>
      <c r="AL83" s="7">
        <v>7.8</v>
      </c>
      <c r="AM83" s="7">
        <v>7.9</v>
      </c>
      <c r="AN83" s="7">
        <v>59.9</v>
      </c>
      <c r="AO83" s="7">
        <v>62.4</v>
      </c>
      <c r="AP83" s="7">
        <v>15.7</v>
      </c>
      <c r="AQ83" s="7">
        <v>100.24</v>
      </c>
      <c r="AR83" s="7">
        <v>8.6999999999999993</v>
      </c>
      <c r="AS83" s="7">
        <v>5325</v>
      </c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1"/>
    </row>
    <row r="84" spans="1:70" ht="13">
      <c r="A84" s="6" t="s">
        <v>205</v>
      </c>
      <c r="B84" s="6" t="s">
        <v>206</v>
      </c>
      <c r="C84" s="7">
        <v>22</v>
      </c>
      <c r="D84" s="7">
        <v>70</v>
      </c>
      <c r="E84" s="7">
        <v>33</v>
      </c>
      <c r="F84" s="7">
        <v>37</v>
      </c>
      <c r="G84" s="7">
        <v>30.2</v>
      </c>
      <c r="H84" s="8">
        <v>1022</v>
      </c>
      <c r="I84" s="9">
        <v>371</v>
      </c>
      <c r="J84" s="9">
        <v>798</v>
      </c>
      <c r="K84" s="8">
        <v>46.5</v>
      </c>
      <c r="L84" s="9">
        <v>105</v>
      </c>
      <c r="M84" s="9">
        <v>280</v>
      </c>
      <c r="N84" s="8">
        <v>37.799999999999997</v>
      </c>
      <c r="O84" s="8">
        <v>175</v>
      </c>
      <c r="P84" s="8">
        <v>224</v>
      </c>
      <c r="Q84" s="8">
        <v>78.099999999999994</v>
      </c>
      <c r="R84" s="9">
        <v>126</v>
      </c>
      <c r="S84" s="9">
        <v>441</v>
      </c>
      <c r="T84" s="9">
        <v>567</v>
      </c>
      <c r="U84" s="9">
        <v>504</v>
      </c>
      <c r="V84" s="9">
        <v>203</v>
      </c>
      <c r="W84" s="9">
        <v>84</v>
      </c>
      <c r="X84" s="9">
        <v>42</v>
      </c>
      <c r="Y84" s="9">
        <v>119</v>
      </c>
      <c r="Z84" s="8">
        <v>2639</v>
      </c>
      <c r="AA84" s="8">
        <v>30</v>
      </c>
      <c r="AB84" s="8">
        <v>7</v>
      </c>
      <c r="AC84" s="7">
        <v>-1</v>
      </c>
      <c r="AD84" s="7">
        <v>113.1</v>
      </c>
      <c r="AE84" s="7">
        <v>114.4</v>
      </c>
      <c r="AF84" s="7">
        <v>-1.4</v>
      </c>
      <c r="AG84" s="7">
        <v>32.200000000000003</v>
      </c>
      <c r="AH84" s="7">
        <v>2.4900000000000002</v>
      </c>
      <c r="AI84" s="7">
        <v>31.4</v>
      </c>
      <c r="AJ84" s="7">
        <v>5.9</v>
      </c>
      <c r="AK84" s="7">
        <v>19.2</v>
      </c>
      <c r="AL84" s="7">
        <v>12.7</v>
      </c>
      <c r="AM84" s="7">
        <v>12.6</v>
      </c>
      <c r="AN84" s="7">
        <v>53.1</v>
      </c>
      <c r="AO84" s="7">
        <v>57</v>
      </c>
      <c r="AP84" s="7">
        <v>21.4</v>
      </c>
      <c r="AQ84" s="7">
        <v>104.47</v>
      </c>
      <c r="AR84" s="7">
        <v>13</v>
      </c>
      <c r="AS84" s="7">
        <v>4605</v>
      </c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1"/>
    </row>
    <row r="85" spans="1:70" ht="13">
      <c r="A85" s="6" t="s">
        <v>207</v>
      </c>
      <c r="B85" s="6" t="s">
        <v>208</v>
      </c>
      <c r="C85" s="7">
        <v>33</v>
      </c>
      <c r="D85" s="7">
        <v>82</v>
      </c>
      <c r="E85" s="7">
        <v>34</v>
      </c>
      <c r="F85" s="7">
        <v>48</v>
      </c>
      <c r="G85" s="7">
        <v>27.2</v>
      </c>
      <c r="H85" s="8">
        <v>1009</v>
      </c>
      <c r="I85" s="9">
        <v>344</v>
      </c>
      <c r="J85" s="9">
        <v>681</v>
      </c>
      <c r="K85" s="8">
        <v>50.8</v>
      </c>
      <c r="L85" s="9">
        <v>156</v>
      </c>
      <c r="M85" s="9">
        <v>361</v>
      </c>
      <c r="N85" s="8">
        <v>43.3</v>
      </c>
      <c r="O85" s="8">
        <v>164</v>
      </c>
      <c r="P85" s="8">
        <v>197</v>
      </c>
      <c r="Q85" s="8">
        <v>80.900000000000006</v>
      </c>
      <c r="R85" s="9">
        <v>98</v>
      </c>
      <c r="S85" s="9">
        <v>213</v>
      </c>
      <c r="T85" s="9">
        <v>312</v>
      </c>
      <c r="U85" s="9">
        <v>139</v>
      </c>
      <c r="V85" s="9">
        <v>49</v>
      </c>
      <c r="W85" s="9">
        <v>41</v>
      </c>
      <c r="X85" s="9">
        <v>16</v>
      </c>
      <c r="Y85" s="9">
        <v>74</v>
      </c>
      <c r="Z85" s="8">
        <v>1697</v>
      </c>
      <c r="AA85" s="8">
        <v>1</v>
      </c>
      <c r="AB85" s="8">
        <v>0</v>
      </c>
      <c r="AC85" s="7">
        <v>-0.3</v>
      </c>
      <c r="AD85" s="7">
        <v>114.5</v>
      </c>
      <c r="AE85" s="7">
        <v>115.6</v>
      </c>
      <c r="AF85" s="7">
        <v>-1.2</v>
      </c>
      <c r="AG85" s="7">
        <v>8.5</v>
      </c>
      <c r="AH85" s="7">
        <v>2.72</v>
      </c>
      <c r="AI85" s="7">
        <v>14.2</v>
      </c>
      <c r="AJ85" s="7">
        <v>4.2</v>
      </c>
      <c r="AK85" s="7">
        <v>9.1</v>
      </c>
      <c r="AL85" s="7">
        <v>6.7</v>
      </c>
      <c r="AM85" s="7">
        <v>5.2</v>
      </c>
      <c r="AN85" s="7">
        <v>62.2</v>
      </c>
      <c r="AO85" s="7">
        <v>65.599999999999994</v>
      </c>
      <c r="AP85" s="7">
        <v>15.7</v>
      </c>
      <c r="AQ85" s="7">
        <v>100.08</v>
      </c>
      <c r="AR85" s="7">
        <v>9.1999999999999993</v>
      </c>
      <c r="AS85" s="7">
        <v>4662</v>
      </c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1"/>
    </row>
    <row r="86" spans="1:70" ht="13">
      <c r="A86" s="6" t="s">
        <v>209</v>
      </c>
      <c r="B86" s="6" t="s">
        <v>210</v>
      </c>
      <c r="C86" s="7">
        <v>35</v>
      </c>
      <c r="D86" s="7">
        <v>72</v>
      </c>
      <c r="E86" s="7">
        <v>33</v>
      </c>
      <c r="F86" s="7">
        <v>39</v>
      </c>
      <c r="G86" s="7">
        <v>27.3</v>
      </c>
      <c r="H86" s="8">
        <v>1008</v>
      </c>
      <c r="I86" s="9">
        <v>360</v>
      </c>
      <c r="J86" s="9">
        <v>878</v>
      </c>
      <c r="K86" s="8">
        <v>41.2</v>
      </c>
      <c r="L86" s="9">
        <v>216</v>
      </c>
      <c r="M86" s="9">
        <v>554</v>
      </c>
      <c r="N86" s="8">
        <v>39.1</v>
      </c>
      <c r="O86" s="8">
        <v>65</v>
      </c>
      <c r="P86" s="8">
        <v>72</v>
      </c>
      <c r="Q86" s="8">
        <v>90.5</v>
      </c>
      <c r="R86" s="9">
        <v>43</v>
      </c>
      <c r="S86" s="9">
        <v>202</v>
      </c>
      <c r="T86" s="9">
        <v>245</v>
      </c>
      <c r="U86" s="9">
        <v>144</v>
      </c>
      <c r="V86" s="9">
        <v>86</v>
      </c>
      <c r="W86" s="9">
        <v>50</v>
      </c>
      <c r="X86" s="9">
        <v>29</v>
      </c>
      <c r="Y86" s="9">
        <v>79</v>
      </c>
      <c r="Z86" s="8">
        <v>1670</v>
      </c>
      <c r="AA86" s="8">
        <v>0</v>
      </c>
      <c r="AB86" s="8">
        <v>0</v>
      </c>
      <c r="AC86" s="7">
        <v>-1.1000000000000001</v>
      </c>
      <c r="AD86" s="7">
        <v>112.8</v>
      </c>
      <c r="AE86" s="7">
        <v>115.2</v>
      </c>
      <c r="AF86" s="7">
        <v>-2.4</v>
      </c>
      <c r="AG86" s="7">
        <v>10.4</v>
      </c>
      <c r="AH86" s="7">
        <v>1.65</v>
      </c>
      <c r="AI86" s="7">
        <v>12.7</v>
      </c>
      <c r="AJ86" s="7">
        <v>2.2000000000000002</v>
      </c>
      <c r="AK86" s="7">
        <v>9.6999999999999993</v>
      </c>
      <c r="AL86" s="7">
        <v>6</v>
      </c>
      <c r="AM86" s="7">
        <v>7.7</v>
      </c>
      <c r="AN86" s="7">
        <v>53.5</v>
      </c>
      <c r="AO86" s="7">
        <v>55.2</v>
      </c>
      <c r="AP86" s="7">
        <v>21.4</v>
      </c>
      <c r="AQ86" s="7">
        <v>100.53</v>
      </c>
      <c r="AR86" s="7">
        <v>8.3000000000000007</v>
      </c>
      <c r="AS86" s="7">
        <v>4123</v>
      </c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1"/>
    </row>
    <row r="87" spans="1:70" ht="13">
      <c r="A87" s="6" t="s">
        <v>211</v>
      </c>
      <c r="B87" s="6" t="s">
        <v>212</v>
      </c>
      <c r="C87" s="7">
        <v>32</v>
      </c>
      <c r="D87" s="7">
        <v>73</v>
      </c>
      <c r="E87" s="7">
        <v>40</v>
      </c>
      <c r="F87" s="7">
        <v>33</v>
      </c>
      <c r="G87" s="7">
        <v>31.6</v>
      </c>
      <c r="H87" s="8">
        <v>1000</v>
      </c>
      <c r="I87" s="9">
        <v>387</v>
      </c>
      <c r="J87" s="9">
        <v>803</v>
      </c>
      <c r="K87" s="8">
        <v>47.7</v>
      </c>
      <c r="L87" s="9">
        <v>88</v>
      </c>
      <c r="M87" s="9">
        <v>263</v>
      </c>
      <c r="N87" s="8">
        <v>34.5</v>
      </c>
      <c r="O87" s="8">
        <v>146</v>
      </c>
      <c r="P87" s="8">
        <v>168</v>
      </c>
      <c r="Q87" s="8">
        <v>86.1</v>
      </c>
      <c r="R87" s="9">
        <v>66</v>
      </c>
      <c r="S87" s="9">
        <v>365</v>
      </c>
      <c r="T87" s="9">
        <v>431</v>
      </c>
      <c r="U87" s="9">
        <v>161</v>
      </c>
      <c r="V87" s="9">
        <v>88</v>
      </c>
      <c r="W87" s="9">
        <v>73</v>
      </c>
      <c r="X87" s="9">
        <v>58</v>
      </c>
      <c r="Y87" s="9">
        <v>139</v>
      </c>
      <c r="Z87" s="8">
        <v>2073</v>
      </c>
      <c r="AA87" s="8">
        <v>5</v>
      </c>
      <c r="AB87" s="8">
        <v>0</v>
      </c>
      <c r="AC87" s="7">
        <v>2.6</v>
      </c>
      <c r="AD87" s="7">
        <v>114.7</v>
      </c>
      <c r="AE87" s="7">
        <v>110.8</v>
      </c>
      <c r="AF87" s="7">
        <v>3.9</v>
      </c>
      <c r="AG87" s="7">
        <v>9.5</v>
      </c>
      <c r="AH87" s="7">
        <v>1.91</v>
      </c>
      <c r="AI87" s="7">
        <v>14.4</v>
      </c>
      <c r="AJ87" s="7">
        <v>2.8</v>
      </c>
      <c r="AK87" s="7">
        <v>15.5</v>
      </c>
      <c r="AL87" s="7">
        <v>9.1999999999999993</v>
      </c>
      <c r="AM87" s="7">
        <v>7.6</v>
      </c>
      <c r="AN87" s="7">
        <v>53.4</v>
      </c>
      <c r="AO87" s="7">
        <v>57.1</v>
      </c>
      <c r="AP87" s="7">
        <v>17.3</v>
      </c>
      <c r="AQ87" s="7">
        <v>100.89</v>
      </c>
      <c r="AR87" s="7">
        <v>10</v>
      </c>
      <c r="AS87" s="7">
        <v>4845</v>
      </c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1"/>
    </row>
    <row r="88" spans="1:70" ht="13">
      <c r="A88" s="6" t="s">
        <v>213</v>
      </c>
      <c r="B88" s="6" t="s">
        <v>214</v>
      </c>
      <c r="C88" s="7">
        <v>24</v>
      </c>
      <c r="D88" s="7">
        <v>82</v>
      </c>
      <c r="E88" s="7">
        <v>49</v>
      </c>
      <c r="F88" s="7">
        <v>33</v>
      </c>
      <c r="G88" s="7">
        <v>31.9</v>
      </c>
      <c r="H88" s="8">
        <v>1000</v>
      </c>
      <c r="I88" s="9">
        <v>402</v>
      </c>
      <c r="J88" s="9">
        <v>836</v>
      </c>
      <c r="K88" s="8">
        <v>47.7</v>
      </c>
      <c r="L88" s="9">
        <v>98</v>
      </c>
      <c r="M88" s="9">
        <v>303</v>
      </c>
      <c r="N88" s="8">
        <v>33</v>
      </c>
      <c r="O88" s="8">
        <v>107</v>
      </c>
      <c r="P88" s="8">
        <v>131</v>
      </c>
      <c r="Q88" s="8">
        <v>81.3</v>
      </c>
      <c r="R88" s="9">
        <v>131</v>
      </c>
      <c r="S88" s="9">
        <v>344</v>
      </c>
      <c r="T88" s="9">
        <v>467</v>
      </c>
      <c r="U88" s="9">
        <v>164</v>
      </c>
      <c r="V88" s="9">
        <v>98</v>
      </c>
      <c r="W88" s="9">
        <v>107</v>
      </c>
      <c r="X88" s="9">
        <v>74</v>
      </c>
      <c r="Y88" s="9">
        <v>221</v>
      </c>
      <c r="Z88" s="8">
        <v>2263</v>
      </c>
      <c r="AA88" s="8">
        <v>10</v>
      </c>
      <c r="AB88" s="8">
        <v>0</v>
      </c>
      <c r="AC88" s="7">
        <v>2.1</v>
      </c>
      <c r="AD88" s="7">
        <v>113.9</v>
      </c>
      <c r="AE88" s="7">
        <v>109.9</v>
      </c>
      <c r="AF88" s="7">
        <v>4</v>
      </c>
      <c r="AG88" s="7">
        <v>9.1</v>
      </c>
      <c r="AH88" s="7">
        <v>1.72</v>
      </c>
      <c r="AI88" s="7">
        <v>14.2</v>
      </c>
      <c r="AJ88" s="7">
        <v>4.8</v>
      </c>
      <c r="AK88" s="7">
        <v>12.6</v>
      </c>
      <c r="AL88" s="7">
        <v>8.6999999999999993</v>
      </c>
      <c r="AM88" s="7">
        <v>8.3000000000000007</v>
      </c>
      <c r="AN88" s="7">
        <v>53.7</v>
      </c>
      <c r="AO88" s="7">
        <v>56.2</v>
      </c>
      <c r="AP88" s="7">
        <v>16</v>
      </c>
      <c r="AQ88" s="7">
        <v>98.07</v>
      </c>
      <c r="AR88" s="7">
        <v>8.6</v>
      </c>
      <c r="AS88" s="7">
        <v>5323</v>
      </c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1"/>
    </row>
    <row r="89" spans="1:70" ht="13">
      <c r="A89" s="6" t="s">
        <v>215</v>
      </c>
      <c r="B89" s="6" t="s">
        <v>216</v>
      </c>
      <c r="C89" s="7">
        <v>36</v>
      </c>
      <c r="D89" s="7">
        <v>75</v>
      </c>
      <c r="E89" s="7">
        <v>43</v>
      </c>
      <c r="F89" s="7">
        <v>32</v>
      </c>
      <c r="G89" s="7">
        <v>27.9</v>
      </c>
      <c r="H89" s="8">
        <v>998</v>
      </c>
      <c r="I89" s="9">
        <v>375</v>
      </c>
      <c r="J89" s="9">
        <v>833</v>
      </c>
      <c r="K89" s="8">
        <v>44.9</v>
      </c>
      <c r="L89" s="9">
        <v>98</v>
      </c>
      <c r="M89" s="9">
        <v>293</v>
      </c>
      <c r="N89" s="8">
        <v>32.299999999999997</v>
      </c>
      <c r="O89" s="8">
        <v>158</v>
      </c>
      <c r="P89" s="8">
        <v>233</v>
      </c>
      <c r="Q89" s="8">
        <v>66.099999999999994</v>
      </c>
      <c r="R89" s="9">
        <v>105</v>
      </c>
      <c r="S89" s="9">
        <v>270</v>
      </c>
      <c r="T89" s="9">
        <v>368</v>
      </c>
      <c r="U89" s="9">
        <v>458</v>
      </c>
      <c r="V89" s="9">
        <v>240</v>
      </c>
      <c r="W89" s="9">
        <v>105</v>
      </c>
      <c r="X89" s="9">
        <v>38</v>
      </c>
      <c r="Y89" s="9">
        <v>188</v>
      </c>
      <c r="Z89" s="8">
        <v>2310</v>
      </c>
      <c r="AA89" s="8">
        <v>13</v>
      </c>
      <c r="AB89" s="8">
        <v>4</v>
      </c>
      <c r="AC89" s="7">
        <v>-0.3</v>
      </c>
      <c r="AD89" s="7">
        <v>115.7</v>
      </c>
      <c r="AE89" s="7">
        <v>116.2</v>
      </c>
      <c r="AF89" s="7">
        <v>-0.6</v>
      </c>
      <c r="AG89" s="7">
        <v>28.9</v>
      </c>
      <c r="AH89" s="7">
        <v>1.89</v>
      </c>
      <c r="AI89" s="7">
        <v>27.9</v>
      </c>
      <c r="AJ89" s="7">
        <v>5</v>
      </c>
      <c r="AK89" s="7">
        <v>11.9</v>
      </c>
      <c r="AL89" s="7">
        <v>8.6</v>
      </c>
      <c r="AM89" s="7">
        <v>14.8</v>
      </c>
      <c r="AN89" s="7">
        <v>50.5</v>
      </c>
      <c r="AO89" s="7">
        <v>53.2</v>
      </c>
      <c r="AP89" s="7">
        <v>23</v>
      </c>
      <c r="AQ89" s="7">
        <v>103.3</v>
      </c>
      <c r="AR89" s="7">
        <v>9.3000000000000007</v>
      </c>
      <c r="AS89" s="7">
        <v>4504</v>
      </c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1"/>
    </row>
    <row r="90" spans="1:70" ht="13">
      <c r="A90" s="6" t="s">
        <v>217</v>
      </c>
      <c r="B90" s="6" t="s">
        <v>218</v>
      </c>
      <c r="C90" s="7">
        <v>24</v>
      </c>
      <c r="D90" s="7">
        <v>74</v>
      </c>
      <c r="E90" s="7">
        <v>35</v>
      </c>
      <c r="F90" s="7">
        <v>39</v>
      </c>
      <c r="G90" s="7">
        <v>27.9</v>
      </c>
      <c r="H90" s="8">
        <v>992</v>
      </c>
      <c r="I90" s="9">
        <v>385</v>
      </c>
      <c r="J90" s="9">
        <v>681</v>
      </c>
      <c r="K90" s="8">
        <v>56.7</v>
      </c>
      <c r="L90" s="9">
        <v>44</v>
      </c>
      <c r="M90" s="9">
        <v>148</v>
      </c>
      <c r="N90" s="8">
        <v>32.4</v>
      </c>
      <c r="O90" s="8">
        <v>163</v>
      </c>
      <c r="P90" s="8">
        <v>215</v>
      </c>
      <c r="Q90" s="8">
        <v>75.900000000000006</v>
      </c>
      <c r="R90" s="9">
        <v>222</v>
      </c>
      <c r="S90" s="9">
        <v>437</v>
      </c>
      <c r="T90" s="9">
        <v>659</v>
      </c>
      <c r="U90" s="9">
        <v>170</v>
      </c>
      <c r="V90" s="9">
        <v>89</v>
      </c>
      <c r="W90" s="9">
        <v>67</v>
      </c>
      <c r="X90" s="9">
        <v>67</v>
      </c>
      <c r="Y90" s="9">
        <v>192</v>
      </c>
      <c r="Z90" s="8">
        <v>2353</v>
      </c>
      <c r="AA90" s="8">
        <v>28</v>
      </c>
      <c r="AB90" s="8">
        <v>0</v>
      </c>
      <c r="AC90" s="7">
        <v>0.5</v>
      </c>
      <c r="AD90" s="7">
        <v>114.9</v>
      </c>
      <c r="AE90" s="7">
        <v>113.7</v>
      </c>
      <c r="AF90" s="7">
        <v>1.1000000000000001</v>
      </c>
      <c r="AG90" s="7">
        <v>11.3</v>
      </c>
      <c r="AH90" s="7">
        <v>1.87</v>
      </c>
      <c r="AI90" s="7">
        <v>16.2</v>
      </c>
      <c r="AJ90" s="7">
        <v>10.3</v>
      </c>
      <c r="AK90" s="7">
        <v>21.3</v>
      </c>
      <c r="AL90" s="7">
        <v>15.7</v>
      </c>
      <c r="AM90" s="7">
        <v>8.6999999999999993</v>
      </c>
      <c r="AN90" s="7">
        <v>60.2</v>
      </c>
      <c r="AO90" s="7">
        <v>63.4</v>
      </c>
      <c r="AP90" s="7">
        <v>16.899999999999999</v>
      </c>
      <c r="AQ90" s="7">
        <v>104.52</v>
      </c>
      <c r="AR90" s="7">
        <v>12.2</v>
      </c>
      <c r="AS90" s="7">
        <v>4489</v>
      </c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1"/>
    </row>
    <row r="91" spans="1:70" ht="13">
      <c r="A91" s="6" t="s">
        <v>219</v>
      </c>
      <c r="B91" s="6" t="s">
        <v>220</v>
      </c>
      <c r="C91" s="7">
        <v>31</v>
      </c>
      <c r="D91" s="7">
        <v>75</v>
      </c>
      <c r="E91" s="7">
        <v>37</v>
      </c>
      <c r="F91" s="7">
        <v>38</v>
      </c>
      <c r="G91" s="7">
        <v>28.1</v>
      </c>
      <c r="H91" s="8">
        <v>983</v>
      </c>
      <c r="I91" s="9">
        <v>338</v>
      </c>
      <c r="J91" s="9">
        <v>825</v>
      </c>
      <c r="K91" s="8">
        <v>40.6</v>
      </c>
      <c r="L91" s="9">
        <v>128</v>
      </c>
      <c r="M91" s="9">
        <v>368</v>
      </c>
      <c r="N91" s="8">
        <v>34.200000000000003</v>
      </c>
      <c r="O91" s="8">
        <v>180</v>
      </c>
      <c r="P91" s="8">
        <v>218</v>
      </c>
      <c r="Q91" s="8">
        <v>83.8</v>
      </c>
      <c r="R91" s="9">
        <v>30</v>
      </c>
      <c r="S91" s="9">
        <v>173</v>
      </c>
      <c r="T91" s="9">
        <v>195</v>
      </c>
      <c r="U91" s="9">
        <v>405</v>
      </c>
      <c r="V91" s="9">
        <v>143</v>
      </c>
      <c r="W91" s="9">
        <v>68</v>
      </c>
      <c r="X91" s="9">
        <v>15</v>
      </c>
      <c r="Y91" s="9">
        <v>180</v>
      </c>
      <c r="Z91" s="8">
        <v>1913</v>
      </c>
      <c r="AA91" s="8">
        <v>7</v>
      </c>
      <c r="AB91" s="8">
        <v>0</v>
      </c>
      <c r="AC91" s="7">
        <v>-1</v>
      </c>
      <c r="AD91" s="7">
        <v>111.8</v>
      </c>
      <c r="AE91" s="7">
        <v>112.8</v>
      </c>
      <c r="AF91" s="7">
        <v>-0.9</v>
      </c>
      <c r="AG91" s="7">
        <v>28.7</v>
      </c>
      <c r="AH91" s="7">
        <v>2.85</v>
      </c>
      <c r="AI91" s="7">
        <v>27.6</v>
      </c>
      <c r="AJ91" s="7">
        <v>1.2</v>
      </c>
      <c r="AK91" s="7">
        <v>8</v>
      </c>
      <c r="AL91" s="7">
        <v>4.5999999999999996</v>
      </c>
      <c r="AM91" s="7">
        <v>9.6999999999999993</v>
      </c>
      <c r="AN91" s="7">
        <v>48.3</v>
      </c>
      <c r="AO91" s="7">
        <v>53.1</v>
      </c>
      <c r="AP91" s="7">
        <v>21.1</v>
      </c>
      <c r="AQ91" s="7">
        <v>100.49</v>
      </c>
      <c r="AR91" s="7">
        <v>9.1</v>
      </c>
      <c r="AS91" s="7">
        <v>4393</v>
      </c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1"/>
    </row>
    <row r="92" spans="1:70" ht="13">
      <c r="A92" s="6" t="s">
        <v>221</v>
      </c>
      <c r="B92" s="6" t="s">
        <v>222</v>
      </c>
      <c r="C92" s="7">
        <v>25</v>
      </c>
      <c r="D92" s="7">
        <v>77</v>
      </c>
      <c r="E92" s="7">
        <v>31</v>
      </c>
      <c r="F92" s="7">
        <v>46</v>
      </c>
      <c r="G92" s="7">
        <v>23.9</v>
      </c>
      <c r="H92" s="8">
        <v>978</v>
      </c>
      <c r="I92" s="9">
        <v>370</v>
      </c>
      <c r="J92" s="9">
        <v>770</v>
      </c>
      <c r="K92" s="8">
        <v>48.2</v>
      </c>
      <c r="L92" s="9">
        <v>85</v>
      </c>
      <c r="M92" s="9">
        <v>277</v>
      </c>
      <c r="N92" s="8">
        <v>31.8</v>
      </c>
      <c r="O92" s="8">
        <v>146</v>
      </c>
      <c r="P92" s="8">
        <v>193</v>
      </c>
      <c r="Q92" s="8">
        <v>77.3</v>
      </c>
      <c r="R92" s="9">
        <v>116</v>
      </c>
      <c r="S92" s="9">
        <v>262</v>
      </c>
      <c r="T92" s="9">
        <v>370</v>
      </c>
      <c r="U92" s="9">
        <v>123</v>
      </c>
      <c r="V92" s="9">
        <v>77</v>
      </c>
      <c r="W92" s="9">
        <v>46</v>
      </c>
      <c r="X92" s="9">
        <v>23</v>
      </c>
      <c r="Y92" s="9">
        <v>116</v>
      </c>
      <c r="Z92" s="8">
        <v>1748</v>
      </c>
      <c r="AA92" s="8">
        <v>3</v>
      </c>
      <c r="AB92" s="8">
        <v>0</v>
      </c>
      <c r="AC92" s="7">
        <v>-2.8</v>
      </c>
      <c r="AD92" s="7">
        <v>110.1</v>
      </c>
      <c r="AE92" s="7">
        <v>115.9</v>
      </c>
      <c r="AF92" s="7">
        <v>-5.8</v>
      </c>
      <c r="AG92" s="7">
        <v>10.5</v>
      </c>
      <c r="AH92" s="7">
        <v>1.62</v>
      </c>
      <c r="AI92" s="7">
        <v>11.9</v>
      </c>
      <c r="AJ92" s="7">
        <v>5.7</v>
      </c>
      <c r="AK92" s="7">
        <v>13.6</v>
      </c>
      <c r="AL92" s="7">
        <v>9.6</v>
      </c>
      <c r="AM92" s="7">
        <v>7.3</v>
      </c>
      <c r="AN92" s="7">
        <v>53.8</v>
      </c>
      <c r="AO92" s="7">
        <v>57.2</v>
      </c>
      <c r="AP92" s="7">
        <v>20.7</v>
      </c>
      <c r="AQ92" s="7">
        <v>102.06</v>
      </c>
      <c r="AR92" s="7">
        <v>10.3</v>
      </c>
      <c r="AS92" s="7">
        <v>3912</v>
      </c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1"/>
    </row>
    <row r="93" spans="1:70" ht="13">
      <c r="A93" s="6" t="s">
        <v>223</v>
      </c>
      <c r="B93" s="6" t="s">
        <v>224</v>
      </c>
      <c r="C93" s="7">
        <v>22</v>
      </c>
      <c r="D93" s="7">
        <v>69</v>
      </c>
      <c r="E93" s="7">
        <v>43</v>
      </c>
      <c r="F93" s="7">
        <v>26</v>
      </c>
      <c r="G93" s="7">
        <v>32.299999999999997</v>
      </c>
      <c r="H93" s="8">
        <v>973</v>
      </c>
      <c r="I93" s="9">
        <v>386</v>
      </c>
      <c r="J93" s="9">
        <v>697</v>
      </c>
      <c r="K93" s="8">
        <v>55.7</v>
      </c>
      <c r="L93" s="9">
        <v>28</v>
      </c>
      <c r="M93" s="9">
        <v>90</v>
      </c>
      <c r="N93" s="8">
        <v>27.5</v>
      </c>
      <c r="O93" s="8">
        <v>166</v>
      </c>
      <c r="P93" s="8">
        <v>248</v>
      </c>
      <c r="Q93" s="8">
        <v>68.400000000000006</v>
      </c>
      <c r="R93" s="9">
        <v>193</v>
      </c>
      <c r="S93" s="9">
        <v>373</v>
      </c>
      <c r="T93" s="9">
        <v>566</v>
      </c>
      <c r="U93" s="9">
        <v>262</v>
      </c>
      <c r="V93" s="9">
        <v>138</v>
      </c>
      <c r="W93" s="9">
        <v>97</v>
      </c>
      <c r="X93" s="9">
        <v>90</v>
      </c>
      <c r="Y93" s="9">
        <v>166</v>
      </c>
      <c r="Z93" s="8">
        <v>2463</v>
      </c>
      <c r="AA93" s="8">
        <v>21</v>
      </c>
      <c r="AB93" s="8">
        <v>3</v>
      </c>
      <c r="AC93" s="7">
        <v>3.9</v>
      </c>
      <c r="AD93" s="7">
        <v>114.2</v>
      </c>
      <c r="AE93" s="7">
        <v>107.9</v>
      </c>
      <c r="AF93" s="7">
        <v>6.3</v>
      </c>
      <c r="AG93" s="7">
        <v>16.7</v>
      </c>
      <c r="AH93" s="7">
        <v>1.92</v>
      </c>
      <c r="AI93" s="7">
        <v>21.9</v>
      </c>
      <c r="AJ93" s="7">
        <v>7.8</v>
      </c>
      <c r="AK93" s="7">
        <v>15.9</v>
      </c>
      <c r="AL93" s="7">
        <v>11.8</v>
      </c>
      <c r="AM93" s="7">
        <v>11.4</v>
      </c>
      <c r="AN93" s="7">
        <v>57.5</v>
      </c>
      <c r="AO93" s="7">
        <v>60.2</v>
      </c>
      <c r="AP93" s="7">
        <v>17.2</v>
      </c>
      <c r="AQ93" s="7">
        <v>100</v>
      </c>
      <c r="AR93" s="7">
        <v>12.9</v>
      </c>
      <c r="AS93" s="7">
        <v>4626</v>
      </c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1"/>
    </row>
    <row r="94" spans="1:70" ht="13">
      <c r="A94" s="6" t="s">
        <v>225</v>
      </c>
      <c r="B94" s="6" t="s">
        <v>226</v>
      </c>
      <c r="C94" s="7">
        <v>35</v>
      </c>
      <c r="D94" s="7">
        <v>55</v>
      </c>
      <c r="E94" s="7">
        <v>36</v>
      </c>
      <c r="F94" s="7">
        <v>19</v>
      </c>
      <c r="G94" s="7">
        <v>31.7</v>
      </c>
      <c r="H94" s="8">
        <v>963</v>
      </c>
      <c r="I94" s="9">
        <v>303</v>
      </c>
      <c r="J94" s="9">
        <v>600</v>
      </c>
      <c r="K94" s="8">
        <v>50.4</v>
      </c>
      <c r="L94" s="9">
        <v>33</v>
      </c>
      <c r="M94" s="9">
        <v>105</v>
      </c>
      <c r="N94" s="8">
        <v>30.8</v>
      </c>
      <c r="O94" s="8">
        <v>330</v>
      </c>
      <c r="P94" s="8">
        <v>391</v>
      </c>
      <c r="Q94" s="8">
        <v>84.2</v>
      </c>
      <c r="R94" s="9">
        <v>127</v>
      </c>
      <c r="S94" s="9">
        <v>171</v>
      </c>
      <c r="T94" s="9">
        <v>297</v>
      </c>
      <c r="U94" s="9">
        <v>297</v>
      </c>
      <c r="V94" s="9">
        <v>72</v>
      </c>
      <c r="W94" s="9">
        <v>77</v>
      </c>
      <c r="X94" s="9">
        <v>17</v>
      </c>
      <c r="Y94" s="9">
        <v>50</v>
      </c>
      <c r="Z94" s="8">
        <v>1975</v>
      </c>
      <c r="AA94" s="8">
        <v>6</v>
      </c>
      <c r="AB94" s="8">
        <v>3</v>
      </c>
      <c r="AC94" s="7">
        <v>4.5</v>
      </c>
      <c r="AD94" s="7">
        <v>115.9</v>
      </c>
      <c r="AE94" s="7">
        <v>109.6</v>
      </c>
      <c r="AF94" s="7">
        <v>6.3</v>
      </c>
      <c r="AG94" s="7">
        <v>26</v>
      </c>
      <c r="AH94" s="7">
        <v>4.03</v>
      </c>
      <c r="AI94" s="7">
        <v>26.2</v>
      </c>
      <c r="AJ94" s="7">
        <v>7</v>
      </c>
      <c r="AK94" s="7">
        <v>10.1</v>
      </c>
      <c r="AL94" s="7">
        <v>8.5</v>
      </c>
      <c r="AM94" s="7">
        <v>6.5</v>
      </c>
      <c r="AN94" s="7">
        <v>53.1</v>
      </c>
      <c r="AO94" s="7">
        <v>62.6</v>
      </c>
      <c r="AP94" s="7">
        <v>20.3</v>
      </c>
      <c r="AQ94" s="7">
        <v>98.95</v>
      </c>
      <c r="AR94" s="7">
        <v>14.5</v>
      </c>
      <c r="AS94" s="7">
        <v>3608</v>
      </c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1"/>
    </row>
    <row r="95" spans="1:70" ht="13">
      <c r="A95" s="6" t="s">
        <v>227</v>
      </c>
      <c r="B95" s="6" t="s">
        <v>228</v>
      </c>
      <c r="C95" s="7">
        <v>29</v>
      </c>
      <c r="D95" s="7">
        <v>65</v>
      </c>
      <c r="E95" s="7">
        <v>25</v>
      </c>
      <c r="F95" s="7">
        <v>40</v>
      </c>
      <c r="G95" s="7">
        <v>29.8</v>
      </c>
      <c r="H95" s="8">
        <v>962</v>
      </c>
      <c r="I95" s="9">
        <v>371</v>
      </c>
      <c r="J95" s="9">
        <v>845</v>
      </c>
      <c r="K95" s="8">
        <v>43.6</v>
      </c>
      <c r="L95" s="9">
        <v>98</v>
      </c>
      <c r="M95" s="9">
        <v>312</v>
      </c>
      <c r="N95" s="8">
        <v>30.7</v>
      </c>
      <c r="O95" s="8">
        <v>130</v>
      </c>
      <c r="P95" s="8">
        <v>202</v>
      </c>
      <c r="Q95" s="8">
        <v>63.4</v>
      </c>
      <c r="R95" s="9">
        <v>52</v>
      </c>
      <c r="S95" s="9">
        <v>319</v>
      </c>
      <c r="T95" s="9">
        <v>371</v>
      </c>
      <c r="U95" s="9">
        <v>150</v>
      </c>
      <c r="V95" s="9">
        <v>143</v>
      </c>
      <c r="W95" s="9">
        <v>39</v>
      </c>
      <c r="X95" s="9">
        <v>20</v>
      </c>
      <c r="Y95" s="9">
        <v>117</v>
      </c>
      <c r="Z95" s="8">
        <v>1658</v>
      </c>
      <c r="AA95" s="8">
        <v>6</v>
      </c>
      <c r="AB95" s="8">
        <v>0</v>
      </c>
      <c r="AC95" s="7">
        <v>-6.4</v>
      </c>
      <c r="AD95" s="7">
        <v>105.8</v>
      </c>
      <c r="AE95" s="7">
        <v>116.1</v>
      </c>
      <c r="AF95" s="7">
        <v>-10.3</v>
      </c>
      <c r="AG95" s="7">
        <v>12.3</v>
      </c>
      <c r="AH95" s="7">
        <v>1.04</v>
      </c>
      <c r="AI95" s="7">
        <v>12.3</v>
      </c>
      <c r="AJ95" s="7">
        <v>2.7</v>
      </c>
      <c r="AK95" s="7">
        <v>15.5</v>
      </c>
      <c r="AL95" s="7">
        <v>9.1</v>
      </c>
      <c r="AM95" s="7">
        <v>11.8</v>
      </c>
      <c r="AN95" s="7">
        <v>49.3</v>
      </c>
      <c r="AO95" s="7">
        <v>51.4</v>
      </c>
      <c r="AP95" s="7">
        <v>23.3</v>
      </c>
      <c r="AQ95" s="7">
        <v>102.96</v>
      </c>
      <c r="AR95" s="7">
        <v>8</v>
      </c>
      <c r="AS95" s="7">
        <v>4158</v>
      </c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1"/>
    </row>
    <row r="96" spans="1:70" ht="13">
      <c r="A96" s="6" t="s">
        <v>229</v>
      </c>
      <c r="B96" s="6" t="s">
        <v>230</v>
      </c>
      <c r="C96" s="7">
        <v>20</v>
      </c>
      <c r="D96" s="7">
        <v>75</v>
      </c>
      <c r="E96" s="7">
        <v>38</v>
      </c>
      <c r="F96" s="7">
        <v>37</v>
      </c>
      <c r="G96" s="7">
        <v>24.6</v>
      </c>
      <c r="H96" s="8">
        <v>945</v>
      </c>
      <c r="I96" s="9">
        <v>360</v>
      </c>
      <c r="J96" s="9">
        <v>780</v>
      </c>
      <c r="K96" s="8">
        <v>45.8</v>
      </c>
      <c r="L96" s="9">
        <v>120</v>
      </c>
      <c r="M96" s="9">
        <v>345</v>
      </c>
      <c r="N96" s="8">
        <v>35.5</v>
      </c>
      <c r="O96" s="8">
        <v>105</v>
      </c>
      <c r="P96" s="8">
        <v>150</v>
      </c>
      <c r="Q96" s="8">
        <v>71.099999999999994</v>
      </c>
      <c r="R96" s="9">
        <v>83</v>
      </c>
      <c r="S96" s="9">
        <v>180</v>
      </c>
      <c r="T96" s="9">
        <v>270</v>
      </c>
      <c r="U96" s="9">
        <v>90</v>
      </c>
      <c r="V96" s="9">
        <v>90</v>
      </c>
      <c r="W96" s="9">
        <v>53</v>
      </c>
      <c r="X96" s="9">
        <v>38</v>
      </c>
      <c r="Y96" s="9">
        <v>150</v>
      </c>
      <c r="Z96" s="8">
        <v>1575</v>
      </c>
      <c r="AA96" s="8">
        <v>1</v>
      </c>
      <c r="AB96" s="8">
        <v>0</v>
      </c>
      <c r="AC96" s="7">
        <v>-1.6</v>
      </c>
      <c r="AD96" s="7">
        <v>112.3</v>
      </c>
      <c r="AE96" s="7">
        <v>115</v>
      </c>
      <c r="AF96" s="7">
        <v>-2.7</v>
      </c>
      <c r="AG96" s="7">
        <v>6.8</v>
      </c>
      <c r="AH96" s="7">
        <v>1</v>
      </c>
      <c r="AI96" s="7">
        <v>9</v>
      </c>
      <c r="AJ96" s="7">
        <v>4.4000000000000004</v>
      </c>
      <c r="AK96" s="7">
        <v>9.9</v>
      </c>
      <c r="AL96" s="7">
        <v>7.1</v>
      </c>
      <c r="AM96" s="7">
        <v>9</v>
      </c>
      <c r="AN96" s="7">
        <v>53.7</v>
      </c>
      <c r="AO96" s="7">
        <v>55.8</v>
      </c>
      <c r="AP96" s="7">
        <v>20.3</v>
      </c>
      <c r="AQ96" s="7">
        <v>104.57</v>
      </c>
      <c r="AR96" s="7">
        <v>7.1</v>
      </c>
      <c r="AS96" s="7">
        <v>4011</v>
      </c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1"/>
    </row>
    <row r="97" spans="1:70" ht="13">
      <c r="A97" s="6" t="s">
        <v>231</v>
      </c>
      <c r="B97" s="6" t="s">
        <v>232</v>
      </c>
      <c r="C97" s="7">
        <v>24</v>
      </c>
      <c r="D97" s="7">
        <v>76</v>
      </c>
      <c r="E97" s="7">
        <v>36</v>
      </c>
      <c r="F97" s="7">
        <v>40</v>
      </c>
      <c r="G97" s="7">
        <v>34.299999999999997</v>
      </c>
      <c r="H97" s="8">
        <v>942</v>
      </c>
      <c r="I97" s="9">
        <v>365</v>
      </c>
      <c r="J97" s="9">
        <v>821</v>
      </c>
      <c r="K97" s="8">
        <v>44.4</v>
      </c>
      <c r="L97" s="9">
        <v>152</v>
      </c>
      <c r="M97" s="9">
        <v>448</v>
      </c>
      <c r="N97" s="8">
        <v>34.299999999999997</v>
      </c>
      <c r="O97" s="8">
        <v>61</v>
      </c>
      <c r="P97" s="8">
        <v>68</v>
      </c>
      <c r="Q97" s="8">
        <v>83.3</v>
      </c>
      <c r="R97" s="9">
        <v>144</v>
      </c>
      <c r="S97" s="9">
        <v>365</v>
      </c>
      <c r="T97" s="9">
        <v>509</v>
      </c>
      <c r="U97" s="9">
        <v>106</v>
      </c>
      <c r="V97" s="9">
        <v>61</v>
      </c>
      <c r="W97" s="9">
        <v>61</v>
      </c>
      <c r="X97" s="9">
        <v>68</v>
      </c>
      <c r="Y97" s="9">
        <v>182</v>
      </c>
      <c r="Z97" s="8">
        <v>2044</v>
      </c>
      <c r="AA97" s="8">
        <v>11</v>
      </c>
      <c r="AB97" s="8">
        <v>0</v>
      </c>
      <c r="AC97" s="7">
        <v>0.6</v>
      </c>
      <c r="AD97" s="7">
        <v>114.8</v>
      </c>
      <c r="AE97" s="7">
        <v>113.4</v>
      </c>
      <c r="AF97" s="7">
        <v>1.5</v>
      </c>
      <c r="AG97" s="7">
        <v>5.5</v>
      </c>
      <c r="AH97" s="7">
        <v>1.82</v>
      </c>
      <c r="AI97" s="7">
        <v>10.7</v>
      </c>
      <c r="AJ97" s="7">
        <v>5.6</v>
      </c>
      <c r="AK97" s="7">
        <v>13.4</v>
      </c>
      <c r="AL97" s="7">
        <v>9.5</v>
      </c>
      <c r="AM97" s="7">
        <v>5.9</v>
      </c>
      <c r="AN97" s="7">
        <v>53.8</v>
      </c>
      <c r="AO97" s="7">
        <v>55.3</v>
      </c>
      <c r="AP97" s="7">
        <v>14.8</v>
      </c>
      <c r="AQ97" s="7">
        <v>100.09</v>
      </c>
      <c r="AR97" s="7">
        <v>7.5</v>
      </c>
      <c r="AS97" s="7">
        <v>5428</v>
      </c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1"/>
    </row>
    <row r="98" spans="1:70" ht="13">
      <c r="A98" s="6" t="s">
        <v>233</v>
      </c>
      <c r="B98" s="6" t="s">
        <v>234</v>
      </c>
      <c r="C98" s="7">
        <v>21</v>
      </c>
      <c r="D98" s="7">
        <v>78</v>
      </c>
      <c r="E98" s="7">
        <v>43</v>
      </c>
      <c r="F98" s="7">
        <v>35</v>
      </c>
      <c r="G98" s="7">
        <v>26.1</v>
      </c>
      <c r="H98" s="8">
        <v>920</v>
      </c>
      <c r="I98" s="9">
        <v>374</v>
      </c>
      <c r="J98" s="9">
        <v>546</v>
      </c>
      <c r="K98" s="8">
        <v>69.2</v>
      </c>
      <c r="L98" s="8">
        <v>0</v>
      </c>
      <c r="M98" s="8">
        <v>0</v>
      </c>
      <c r="N98" s="8">
        <v>0</v>
      </c>
      <c r="O98" s="8">
        <v>164</v>
      </c>
      <c r="P98" s="8">
        <v>242</v>
      </c>
      <c r="Q98" s="8">
        <v>66.900000000000006</v>
      </c>
      <c r="R98" s="9">
        <v>281</v>
      </c>
      <c r="S98" s="9">
        <v>530</v>
      </c>
      <c r="T98" s="9">
        <v>803</v>
      </c>
      <c r="U98" s="9">
        <v>211</v>
      </c>
      <c r="V98" s="9">
        <v>133</v>
      </c>
      <c r="W98" s="9">
        <v>55</v>
      </c>
      <c r="X98" s="9">
        <v>86</v>
      </c>
      <c r="Y98" s="9">
        <v>250</v>
      </c>
      <c r="Z98" s="8">
        <v>2496</v>
      </c>
      <c r="AA98" s="8">
        <v>41</v>
      </c>
      <c r="AB98" s="8">
        <v>0</v>
      </c>
      <c r="AC98" s="7">
        <v>0.5</v>
      </c>
      <c r="AD98" s="7">
        <v>115.5</v>
      </c>
      <c r="AE98" s="7">
        <v>114</v>
      </c>
      <c r="AF98" s="7">
        <v>1.5</v>
      </c>
      <c r="AG98" s="7">
        <v>14.1</v>
      </c>
      <c r="AH98" s="7">
        <v>1.54</v>
      </c>
      <c r="AI98" s="7">
        <v>21</v>
      </c>
      <c r="AJ98" s="7">
        <v>13.7</v>
      </c>
      <c r="AK98" s="7">
        <v>25.9</v>
      </c>
      <c r="AL98" s="7">
        <v>19.899999999999999</v>
      </c>
      <c r="AM98" s="7">
        <v>13.6</v>
      </c>
      <c r="AN98" s="7">
        <v>69.2</v>
      </c>
      <c r="AO98" s="7">
        <v>70.3</v>
      </c>
      <c r="AP98" s="7">
        <v>16.100000000000001</v>
      </c>
      <c r="AQ98" s="7">
        <v>101.29</v>
      </c>
      <c r="AR98" s="7">
        <v>14</v>
      </c>
      <c r="AS98" s="7">
        <v>4278</v>
      </c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1"/>
    </row>
    <row r="99" spans="1:70" ht="13">
      <c r="A99" s="6" t="s">
        <v>235</v>
      </c>
      <c r="B99" s="6" t="s">
        <v>236</v>
      </c>
      <c r="C99" s="7">
        <v>26</v>
      </c>
      <c r="D99" s="7">
        <v>76</v>
      </c>
      <c r="E99" s="7">
        <v>62</v>
      </c>
      <c r="F99" s="7">
        <v>14</v>
      </c>
      <c r="G99" s="7">
        <v>22.9</v>
      </c>
      <c r="H99" s="8">
        <v>912</v>
      </c>
      <c r="I99" s="9">
        <v>357</v>
      </c>
      <c r="J99" s="9">
        <v>730</v>
      </c>
      <c r="K99" s="8">
        <v>48.8</v>
      </c>
      <c r="L99" s="9">
        <v>129</v>
      </c>
      <c r="M99" s="9">
        <v>342</v>
      </c>
      <c r="N99" s="8">
        <v>38.299999999999997</v>
      </c>
      <c r="O99" s="8">
        <v>76</v>
      </c>
      <c r="P99" s="8">
        <v>91</v>
      </c>
      <c r="Q99" s="8">
        <v>83.1</v>
      </c>
      <c r="R99" s="9">
        <v>84</v>
      </c>
      <c r="S99" s="9">
        <v>213</v>
      </c>
      <c r="T99" s="9">
        <v>296</v>
      </c>
      <c r="U99" s="9">
        <v>137</v>
      </c>
      <c r="V99" s="9">
        <v>68</v>
      </c>
      <c r="W99" s="9">
        <v>61</v>
      </c>
      <c r="X99" s="9">
        <v>15</v>
      </c>
      <c r="Y99" s="9">
        <v>99</v>
      </c>
      <c r="Z99" s="8">
        <v>1634</v>
      </c>
      <c r="AA99" s="8">
        <v>2</v>
      </c>
      <c r="AB99" s="8">
        <v>0</v>
      </c>
      <c r="AC99" s="7">
        <v>6.8</v>
      </c>
      <c r="AD99" s="7">
        <v>120.7</v>
      </c>
      <c r="AE99" s="7">
        <v>106.6</v>
      </c>
      <c r="AF99" s="7">
        <v>14.2</v>
      </c>
      <c r="AG99" s="7">
        <v>10.199999999999999</v>
      </c>
      <c r="AH99" s="7">
        <v>1.94</v>
      </c>
      <c r="AI99" s="7">
        <v>13.8</v>
      </c>
      <c r="AJ99" s="7">
        <v>4.5999999999999996</v>
      </c>
      <c r="AK99" s="7">
        <v>11.3</v>
      </c>
      <c r="AL99" s="7">
        <v>8.1</v>
      </c>
      <c r="AM99" s="7">
        <v>7.1</v>
      </c>
      <c r="AN99" s="7">
        <v>57.7</v>
      </c>
      <c r="AO99" s="7">
        <v>59.6</v>
      </c>
      <c r="AP99" s="7">
        <v>20</v>
      </c>
      <c r="AQ99" s="7">
        <v>101.91</v>
      </c>
      <c r="AR99" s="7">
        <v>10.5</v>
      </c>
      <c r="AS99" s="7">
        <v>3698</v>
      </c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1"/>
    </row>
    <row r="100" spans="1:70" ht="13">
      <c r="A100" s="6" t="s">
        <v>237</v>
      </c>
      <c r="B100" s="6" t="s">
        <v>238</v>
      </c>
      <c r="C100" s="7">
        <v>27</v>
      </c>
      <c r="D100" s="7">
        <v>69</v>
      </c>
      <c r="E100" s="7">
        <v>32</v>
      </c>
      <c r="F100" s="7">
        <v>37</v>
      </c>
      <c r="G100" s="7">
        <v>27.8</v>
      </c>
      <c r="H100" s="8">
        <v>911</v>
      </c>
      <c r="I100" s="9">
        <v>359</v>
      </c>
      <c r="J100" s="9">
        <v>711</v>
      </c>
      <c r="K100" s="8">
        <v>50.8</v>
      </c>
      <c r="L100" s="9">
        <v>62</v>
      </c>
      <c r="M100" s="9">
        <v>221</v>
      </c>
      <c r="N100" s="8">
        <v>27.5</v>
      </c>
      <c r="O100" s="8">
        <v>131</v>
      </c>
      <c r="P100" s="8">
        <v>159</v>
      </c>
      <c r="Q100" s="8">
        <v>81.3</v>
      </c>
      <c r="R100" s="9">
        <v>76</v>
      </c>
      <c r="S100" s="9">
        <v>255</v>
      </c>
      <c r="T100" s="9">
        <v>331</v>
      </c>
      <c r="U100" s="9">
        <v>207</v>
      </c>
      <c r="V100" s="9">
        <v>110</v>
      </c>
      <c r="W100" s="9">
        <v>69</v>
      </c>
      <c r="X100" s="9">
        <v>14</v>
      </c>
      <c r="Y100" s="9">
        <v>110</v>
      </c>
      <c r="Z100" s="8">
        <v>1753</v>
      </c>
      <c r="AA100" s="8">
        <v>6</v>
      </c>
      <c r="AB100" s="8">
        <v>0</v>
      </c>
      <c r="AC100" s="7">
        <v>-2</v>
      </c>
      <c r="AD100" s="7">
        <v>111.5</v>
      </c>
      <c r="AE100" s="7">
        <v>114.7</v>
      </c>
      <c r="AF100" s="7">
        <v>-3.2</v>
      </c>
      <c r="AG100" s="7">
        <v>16.100000000000001</v>
      </c>
      <c r="AH100" s="7">
        <v>1.86</v>
      </c>
      <c r="AI100" s="7">
        <v>18.899999999999999</v>
      </c>
      <c r="AJ100" s="7">
        <v>4</v>
      </c>
      <c r="AK100" s="7">
        <v>12.5</v>
      </c>
      <c r="AL100" s="7">
        <v>8.4</v>
      </c>
      <c r="AM100" s="7">
        <v>10.199999999999999</v>
      </c>
      <c r="AN100" s="7">
        <v>55.1</v>
      </c>
      <c r="AO100" s="7">
        <v>58.4</v>
      </c>
      <c r="AP100" s="7">
        <v>19.7</v>
      </c>
      <c r="AQ100" s="7">
        <v>101.27</v>
      </c>
      <c r="AR100" s="7">
        <v>10.5</v>
      </c>
      <c r="AS100" s="7">
        <v>4046</v>
      </c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1"/>
    </row>
    <row r="101" spans="1:70" ht="13">
      <c r="A101" s="6" t="s">
        <v>239</v>
      </c>
      <c r="B101" s="6" t="s">
        <v>240</v>
      </c>
      <c r="C101" s="7">
        <v>32</v>
      </c>
      <c r="D101" s="7">
        <v>82</v>
      </c>
      <c r="E101" s="7">
        <v>48</v>
      </c>
      <c r="F101" s="7">
        <v>34</v>
      </c>
      <c r="G101" s="7">
        <v>22.7</v>
      </c>
      <c r="H101" s="8">
        <v>910</v>
      </c>
      <c r="I101" s="9">
        <v>328</v>
      </c>
      <c r="J101" s="9">
        <v>787</v>
      </c>
      <c r="K101" s="8">
        <v>41.7</v>
      </c>
      <c r="L101" s="9">
        <v>205</v>
      </c>
      <c r="M101" s="9">
        <v>549</v>
      </c>
      <c r="N101" s="8">
        <v>37</v>
      </c>
      <c r="O101" s="8">
        <v>49</v>
      </c>
      <c r="P101" s="8">
        <v>66</v>
      </c>
      <c r="Q101" s="8">
        <v>82.8</v>
      </c>
      <c r="R101" s="9">
        <v>49</v>
      </c>
      <c r="S101" s="9">
        <v>213</v>
      </c>
      <c r="T101" s="9">
        <v>262</v>
      </c>
      <c r="U101" s="9">
        <v>131</v>
      </c>
      <c r="V101" s="9">
        <v>90</v>
      </c>
      <c r="W101" s="9">
        <v>66</v>
      </c>
      <c r="X101" s="9">
        <v>25</v>
      </c>
      <c r="Y101" s="9">
        <v>131</v>
      </c>
      <c r="Z101" s="8">
        <v>1615</v>
      </c>
      <c r="AA101" s="8">
        <v>0</v>
      </c>
      <c r="AB101" s="8">
        <v>0</v>
      </c>
      <c r="AC101" s="7">
        <v>1.7</v>
      </c>
      <c r="AD101" s="7">
        <v>112.3</v>
      </c>
      <c r="AE101" s="7">
        <v>110.1</v>
      </c>
      <c r="AF101" s="7">
        <v>2.2000000000000002</v>
      </c>
      <c r="AG101" s="7">
        <v>10.6</v>
      </c>
      <c r="AH101" s="7">
        <v>1.47</v>
      </c>
      <c r="AI101" s="7">
        <v>13</v>
      </c>
      <c r="AJ101" s="7">
        <v>2.5</v>
      </c>
      <c r="AK101" s="7">
        <v>11.1</v>
      </c>
      <c r="AL101" s="7">
        <v>6.6</v>
      </c>
      <c r="AM101" s="7">
        <v>8.8000000000000007</v>
      </c>
      <c r="AN101" s="7">
        <v>54.6</v>
      </c>
      <c r="AO101" s="7">
        <v>56</v>
      </c>
      <c r="AP101" s="7">
        <v>19.600000000000001</v>
      </c>
      <c r="AQ101" s="7">
        <v>100.82</v>
      </c>
      <c r="AR101" s="7">
        <v>8.5</v>
      </c>
      <c r="AS101" s="7">
        <v>3937</v>
      </c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1"/>
    </row>
    <row r="102" spans="1:70" ht="13">
      <c r="A102" s="13" t="s">
        <v>241</v>
      </c>
      <c r="B102" s="6" t="s">
        <v>242</v>
      </c>
      <c r="C102" s="7">
        <v>29</v>
      </c>
      <c r="D102" s="7">
        <v>60</v>
      </c>
      <c r="E102" s="7">
        <v>21</v>
      </c>
      <c r="F102" s="7">
        <v>39</v>
      </c>
      <c r="G102" s="7">
        <v>34.6</v>
      </c>
      <c r="H102" s="8">
        <v>906</v>
      </c>
      <c r="I102" s="9">
        <v>348</v>
      </c>
      <c r="J102" s="9">
        <v>744</v>
      </c>
      <c r="K102" s="8">
        <v>47</v>
      </c>
      <c r="L102" s="9">
        <v>72</v>
      </c>
      <c r="M102" s="9">
        <v>240</v>
      </c>
      <c r="N102" s="8">
        <v>29.3</v>
      </c>
      <c r="O102" s="8">
        <v>138</v>
      </c>
      <c r="P102" s="8">
        <v>186</v>
      </c>
      <c r="Q102" s="8">
        <v>75.099999999999994</v>
      </c>
      <c r="R102" s="9">
        <v>96</v>
      </c>
      <c r="S102" s="9">
        <v>270</v>
      </c>
      <c r="T102" s="9">
        <v>366</v>
      </c>
      <c r="U102" s="9">
        <v>108</v>
      </c>
      <c r="V102" s="9">
        <v>78</v>
      </c>
      <c r="W102" s="9">
        <v>90</v>
      </c>
      <c r="X102" s="9">
        <v>30</v>
      </c>
      <c r="Y102" s="9">
        <v>180</v>
      </c>
      <c r="Z102" s="8">
        <v>1794</v>
      </c>
      <c r="AA102" s="8">
        <v>10</v>
      </c>
      <c r="AB102" s="8">
        <v>0</v>
      </c>
      <c r="AC102" s="7">
        <v>-4.3</v>
      </c>
      <c r="AD102" s="7">
        <v>110.7</v>
      </c>
      <c r="AE102" s="7">
        <v>116.4</v>
      </c>
      <c r="AF102" s="7">
        <v>-5.7</v>
      </c>
      <c r="AG102" s="7">
        <v>7.9</v>
      </c>
      <c r="AH102" s="7">
        <v>1.35</v>
      </c>
      <c r="AI102" s="7">
        <v>10.7</v>
      </c>
      <c r="AJ102" s="7">
        <v>4.5999999999999996</v>
      </c>
      <c r="AK102" s="7">
        <v>14</v>
      </c>
      <c r="AL102" s="7">
        <v>9.1</v>
      </c>
      <c r="AM102" s="7">
        <v>8</v>
      </c>
      <c r="AN102" s="7">
        <v>51.8</v>
      </c>
      <c r="AO102" s="7">
        <v>55.1</v>
      </c>
      <c r="AP102" s="7">
        <v>18.600000000000001</v>
      </c>
      <c r="AQ102" s="7">
        <v>98.68</v>
      </c>
      <c r="AR102" s="7">
        <v>8.4</v>
      </c>
      <c r="AS102" s="7">
        <v>4266</v>
      </c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1"/>
    </row>
    <row r="103" spans="1:70" ht="13">
      <c r="A103" s="6" t="s">
        <v>243</v>
      </c>
      <c r="B103" s="6" t="s">
        <v>244</v>
      </c>
      <c r="C103" s="7">
        <v>31</v>
      </c>
      <c r="D103" s="7">
        <v>53</v>
      </c>
      <c r="E103" s="7">
        <v>22</v>
      </c>
      <c r="F103" s="7">
        <v>31</v>
      </c>
      <c r="G103" s="7">
        <v>32.1</v>
      </c>
      <c r="H103" s="8">
        <v>901</v>
      </c>
      <c r="I103" s="9">
        <v>345</v>
      </c>
      <c r="J103" s="9">
        <v>694</v>
      </c>
      <c r="K103" s="8">
        <v>49.7</v>
      </c>
      <c r="L103" s="9">
        <v>101</v>
      </c>
      <c r="M103" s="9">
        <v>265</v>
      </c>
      <c r="N103" s="8">
        <v>38.6</v>
      </c>
      <c r="O103" s="8">
        <v>111</v>
      </c>
      <c r="P103" s="8">
        <v>138</v>
      </c>
      <c r="Q103" s="8">
        <v>80.3</v>
      </c>
      <c r="R103" s="9">
        <v>32</v>
      </c>
      <c r="S103" s="9">
        <v>143</v>
      </c>
      <c r="T103" s="9">
        <v>175</v>
      </c>
      <c r="U103" s="9">
        <v>196</v>
      </c>
      <c r="V103" s="9">
        <v>101</v>
      </c>
      <c r="W103" s="9">
        <v>58</v>
      </c>
      <c r="X103" s="9">
        <v>27</v>
      </c>
      <c r="Y103" s="9">
        <v>138</v>
      </c>
      <c r="Z103" s="8">
        <v>1564</v>
      </c>
      <c r="AA103" s="8">
        <v>1</v>
      </c>
      <c r="AB103" s="8">
        <v>0</v>
      </c>
      <c r="AC103" s="7">
        <v>-5.2</v>
      </c>
      <c r="AD103" s="7">
        <v>110.6</v>
      </c>
      <c r="AE103" s="7">
        <v>118.6</v>
      </c>
      <c r="AF103" s="7">
        <v>-8</v>
      </c>
      <c r="AG103" s="7">
        <v>17.7</v>
      </c>
      <c r="AH103" s="7">
        <v>1.97</v>
      </c>
      <c r="AI103" s="7">
        <v>18.600000000000001</v>
      </c>
      <c r="AJ103" s="7">
        <v>2.1</v>
      </c>
      <c r="AK103" s="7">
        <v>8.3000000000000007</v>
      </c>
      <c r="AL103" s="7">
        <v>5.4</v>
      </c>
      <c r="AM103" s="7">
        <v>9.4</v>
      </c>
      <c r="AN103" s="7">
        <v>57.1</v>
      </c>
      <c r="AO103" s="7">
        <v>59.8</v>
      </c>
      <c r="AP103" s="7">
        <v>21.9</v>
      </c>
      <c r="AQ103" s="7">
        <v>100.02</v>
      </c>
      <c r="AR103" s="7">
        <v>9.3000000000000007</v>
      </c>
      <c r="AS103" s="7">
        <v>3552</v>
      </c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1"/>
    </row>
    <row r="104" spans="1:70" ht="13">
      <c r="A104" s="6" t="s">
        <v>245</v>
      </c>
      <c r="B104" s="6" t="s">
        <v>246</v>
      </c>
      <c r="C104" s="7">
        <v>28</v>
      </c>
      <c r="D104" s="7">
        <v>47</v>
      </c>
      <c r="E104" s="7">
        <v>9</v>
      </c>
      <c r="F104" s="7">
        <v>38</v>
      </c>
      <c r="G104" s="7">
        <v>31.4</v>
      </c>
      <c r="H104" s="8">
        <v>893</v>
      </c>
      <c r="I104" s="9">
        <v>296</v>
      </c>
      <c r="J104" s="9">
        <v>700</v>
      </c>
      <c r="K104" s="8">
        <v>42.3</v>
      </c>
      <c r="L104" s="9">
        <v>136</v>
      </c>
      <c r="M104" s="9">
        <v>400</v>
      </c>
      <c r="N104" s="8">
        <v>34.6</v>
      </c>
      <c r="O104" s="8">
        <v>160</v>
      </c>
      <c r="P104" s="8">
        <v>183</v>
      </c>
      <c r="Q104" s="8">
        <v>87.6</v>
      </c>
      <c r="R104" s="9">
        <v>71</v>
      </c>
      <c r="S104" s="9">
        <v>207</v>
      </c>
      <c r="T104" s="9">
        <v>277</v>
      </c>
      <c r="U104" s="9">
        <v>71</v>
      </c>
      <c r="V104" s="9">
        <v>66</v>
      </c>
      <c r="W104" s="9">
        <v>33</v>
      </c>
      <c r="X104" s="9">
        <v>19</v>
      </c>
      <c r="Y104" s="9">
        <v>80</v>
      </c>
      <c r="Z104" s="8">
        <v>1415</v>
      </c>
      <c r="AA104" s="8">
        <v>5</v>
      </c>
      <c r="AB104" s="8">
        <v>0</v>
      </c>
      <c r="AC104" s="7">
        <v>-4</v>
      </c>
      <c r="AD104" s="7">
        <v>111.4</v>
      </c>
      <c r="AE104" s="7">
        <v>117.5</v>
      </c>
      <c r="AF104" s="7">
        <v>-6.1</v>
      </c>
      <c r="AG104" s="7">
        <v>7.4</v>
      </c>
      <c r="AH104" s="7">
        <v>1.06</v>
      </c>
      <c r="AI104" s="7">
        <v>7.7</v>
      </c>
      <c r="AJ104" s="7">
        <v>4.5999999999999996</v>
      </c>
      <c r="AK104" s="7">
        <v>13.4</v>
      </c>
      <c r="AL104" s="7">
        <v>9</v>
      </c>
      <c r="AM104" s="7">
        <v>7.2</v>
      </c>
      <c r="AN104" s="7">
        <v>52.1</v>
      </c>
      <c r="AO104" s="7">
        <v>57.1</v>
      </c>
      <c r="AP104" s="7">
        <v>23.1</v>
      </c>
      <c r="AQ104" s="7">
        <v>101.64</v>
      </c>
      <c r="AR104" s="7">
        <v>10.3</v>
      </c>
      <c r="AS104" s="7">
        <v>3127</v>
      </c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1"/>
    </row>
    <row r="105" spans="1:70" ht="13">
      <c r="A105" s="6" t="s">
        <v>247</v>
      </c>
      <c r="B105" s="6" t="s">
        <v>248</v>
      </c>
      <c r="C105" s="7">
        <v>25</v>
      </c>
      <c r="D105" s="7">
        <v>78</v>
      </c>
      <c r="E105" s="7">
        <v>33</v>
      </c>
      <c r="F105" s="7">
        <v>45</v>
      </c>
      <c r="G105" s="7">
        <v>32.700000000000003</v>
      </c>
      <c r="H105" s="8">
        <v>881</v>
      </c>
      <c r="I105" s="9">
        <v>328</v>
      </c>
      <c r="J105" s="9">
        <v>718</v>
      </c>
      <c r="K105" s="8">
        <v>45.8</v>
      </c>
      <c r="L105" s="9">
        <v>133</v>
      </c>
      <c r="M105" s="9">
        <v>359</v>
      </c>
      <c r="N105" s="8">
        <v>37.5</v>
      </c>
      <c r="O105" s="8">
        <v>94</v>
      </c>
      <c r="P105" s="8">
        <v>125</v>
      </c>
      <c r="Q105" s="8">
        <v>72.2</v>
      </c>
      <c r="R105" s="9">
        <v>172</v>
      </c>
      <c r="S105" s="9">
        <v>281</v>
      </c>
      <c r="T105" s="9">
        <v>452</v>
      </c>
      <c r="U105" s="9">
        <v>172</v>
      </c>
      <c r="V105" s="9">
        <v>109</v>
      </c>
      <c r="W105" s="9">
        <v>117</v>
      </c>
      <c r="X105" s="9">
        <v>47</v>
      </c>
      <c r="Y105" s="9">
        <v>226</v>
      </c>
      <c r="Z105" s="8">
        <v>2075</v>
      </c>
      <c r="AA105" s="8">
        <v>4</v>
      </c>
      <c r="AB105" s="8">
        <v>0</v>
      </c>
      <c r="AC105" s="7">
        <v>-1.5</v>
      </c>
      <c r="AD105" s="7">
        <v>111.5</v>
      </c>
      <c r="AE105" s="7">
        <v>113.3</v>
      </c>
      <c r="AF105" s="7">
        <v>-1.8</v>
      </c>
      <c r="AG105" s="7">
        <v>9.6</v>
      </c>
      <c r="AH105" s="7">
        <v>1.61</v>
      </c>
      <c r="AI105" s="7">
        <v>16.600000000000001</v>
      </c>
      <c r="AJ105" s="7">
        <v>6.3</v>
      </c>
      <c r="AK105" s="7">
        <v>11</v>
      </c>
      <c r="AL105" s="7">
        <v>8.6</v>
      </c>
      <c r="AM105" s="7">
        <v>10.3</v>
      </c>
      <c r="AN105" s="7">
        <v>55.2</v>
      </c>
      <c r="AO105" s="7">
        <v>57.2</v>
      </c>
      <c r="AP105" s="7">
        <v>14.3</v>
      </c>
      <c r="AQ105" s="7">
        <v>99.38</v>
      </c>
      <c r="AR105" s="7">
        <v>7.6</v>
      </c>
      <c r="AS105" s="7">
        <v>5267</v>
      </c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1"/>
    </row>
    <row r="106" spans="1:70" ht="13">
      <c r="A106" s="6" t="s">
        <v>249</v>
      </c>
      <c r="B106" s="6" t="s">
        <v>250</v>
      </c>
      <c r="C106" s="7">
        <v>27</v>
      </c>
      <c r="D106" s="7">
        <v>70</v>
      </c>
      <c r="E106" s="7">
        <v>55</v>
      </c>
      <c r="F106" s="7">
        <v>15</v>
      </c>
      <c r="G106" s="7">
        <v>19.899999999999999</v>
      </c>
      <c r="H106" s="8">
        <v>875</v>
      </c>
      <c r="I106" s="9">
        <v>322</v>
      </c>
      <c r="J106" s="9">
        <v>616</v>
      </c>
      <c r="K106" s="8">
        <v>51.6</v>
      </c>
      <c r="L106" s="9">
        <v>112</v>
      </c>
      <c r="M106" s="9">
        <v>252</v>
      </c>
      <c r="N106" s="8">
        <v>43.9</v>
      </c>
      <c r="O106" s="8">
        <v>126</v>
      </c>
      <c r="P106" s="8">
        <v>147</v>
      </c>
      <c r="Q106" s="8">
        <v>87.2</v>
      </c>
      <c r="R106" s="9">
        <v>49</v>
      </c>
      <c r="S106" s="9">
        <v>126</v>
      </c>
      <c r="T106" s="9">
        <v>175</v>
      </c>
      <c r="U106" s="9">
        <v>238</v>
      </c>
      <c r="V106" s="9">
        <v>91</v>
      </c>
      <c r="W106" s="9">
        <v>77</v>
      </c>
      <c r="X106" s="8">
        <v>0</v>
      </c>
      <c r="Y106" s="9">
        <v>105</v>
      </c>
      <c r="Z106" s="8">
        <v>1589</v>
      </c>
      <c r="AA106" s="8">
        <v>0</v>
      </c>
      <c r="AB106" s="8">
        <v>0</v>
      </c>
      <c r="AC106" s="7">
        <v>4.3</v>
      </c>
      <c r="AD106" s="14">
        <v>120.3</v>
      </c>
      <c r="AE106" s="14">
        <v>110.4</v>
      </c>
      <c r="AF106" s="14">
        <v>9.9</v>
      </c>
      <c r="AG106" s="14">
        <v>24.1</v>
      </c>
      <c r="AH106" s="14">
        <v>2.58</v>
      </c>
      <c r="AI106" s="14">
        <v>23.5</v>
      </c>
      <c r="AJ106" s="14">
        <v>3.6</v>
      </c>
      <c r="AK106" s="14">
        <v>8.3000000000000007</v>
      </c>
      <c r="AL106" s="14">
        <v>6</v>
      </c>
      <c r="AM106" s="14">
        <v>9.1</v>
      </c>
      <c r="AN106" s="14">
        <v>60.6</v>
      </c>
      <c r="AO106" s="14">
        <v>64.3</v>
      </c>
      <c r="AP106" s="14">
        <v>22.9</v>
      </c>
      <c r="AQ106" s="14">
        <v>101.92</v>
      </c>
      <c r="AR106" s="14">
        <v>13.4</v>
      </c>
      <c r="AS106" s="14">
        <v>2960</v>
      </c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5"/>
    </row>
    <row r="107" spans="1:70" ht="13">
      <c r="A107" s="6" t="s">
        <v>251</v>
      </c>
      <c r="B107" s="6" t="s">
        <v>252</v>
      </c>
      <c r="C107" s="7">
        <v>20</v>
      </c>
      <c r="D107" s="7">
        <v>67</v>
      </c>
      <c r="E107" s="7">
        <v>13</v>
      </c>
      <c r="F107" s="7">
        <v>54</v>
      </c>
      <c r="G107" s="7">
        <v>27.1</v>
      </c>
      <c r="H107" s="8">
        <v>871</v>
      </c>
      <c r="I107" s="9">
        <v>328</v>
      </c>
      <c r="J107" s="9">
        <v>831</v>
      </c>
      <c r="K107" s="8">
        <v>39.4</v>
      </c>
      <c r="L107" s="9">
        <v>107</v>
      </c>
      <c r="M107" s="9">
        <v>342</v>
      </c>
      <c r="N107" s="8">
        <v>30.8</v>
      </c>
      <c r="O107" s="8">
        <v>114</v>
      </c>
      <c r="P107" s="8">
        <v>168</v>
      </c>
      <c r="Q107" s="8">
        <v>67.900000000000006</v>
      </c>
      <c r="R107" s="9">
        <v>127</v>
      </c>
      <c r="S107" s="9">
        <v>308</v>
      </c>
      <c r="T107" s="9">
        <v>436</v>
      </c>
      <c r="U107" s="9">
        <v>161</v>
      </c>
      <c r="V107" s="9">
        <v>114</v>
      </c>
      <c r="W107" s="9">
        <v>47</v>
      </c>
      <c r="X107" s="9">
        <v>101</v>
      </c>
      <c r="Y107" s="9">
        <v>147</v>
      </c>
      <c r="Z107" s="8">
        <v>1956</v>
      </c>
      <c r="AA107" s="8">
        <v>10</v>
      </c>
      <c r="AB107" s="8">
        <v>0</v>
      </c>
      <c r="AC107" s="7">
        <v>-8.1</v>
      </c>
      <c r="AD107" s="7">
        <v>102.7</v>
      </c>
      <c r="AE107" s="7">
        <v>116.4</v>
      </c>
      <c r="AF107" s="7">
        <v>-13.7</v>
      </c>
      <c r="AG107" s="7">
        <v>13.9</v>
      </c>
      <c r="AH107" s="7">
        <v>1.41</v>
      </c>
      <c r="AI107" s="7">
        <v>13.7</v>
      </c>
      <c r="AJ107" s="7">
        <v>6</v>
      </c>
      <c r="AK107" s="7">
        <v>15.8</v>
      </c>
      <c r="AL107" s="7">
        <v>10.8</v>
      </c>
      <c r="AM107" s="7">
        <v>9.6999999999999993</v>
      </c>
      <c r="AN107" s="7">
        <v>45.7</v>
      </c>
      <c r="AO107" s="7">
        <v>48.2</v>
      </c>
      <c r="AP107" s="7">
        <v>23</v>
      </c>
      <c r="AQ107" s="7">
        <v>104.3</v>
      </c>
      <c r="AR107" s="7">
        <v>8.4</v>
      </c>
      <c r="AS107" s="7">
        <v>3939</v>
      </c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1"/>
    </row>
    <row r="108" spans="1:70" ht="13">
      <c r="A108" s="6" t="s">
        <v>253</v>
      </c>
      <c r="B108" s="6" t="s">
        <v>254</v>
      </c>
      <c r="C108" s="7">
        <v>32</v>
      </c>
      <c r="D108" s="7">
        <v>79</v>
      </c>
      <c r="E108" s="7">
        <v>37</v>
      </c>
      <c r="F108" s="7">
        <v>42</v>
      </c>
      <c r="G108" s="7">
        <v>27</v>
      </c>
      <c r="H108" s="8">
        <v>869</v>
      </c>
      <c r="I108" s="9">
        <v>284</v>
      </c>
      <c r="J108" s="9">
        <v>679</v>
      </c>
      <c r="K108" s="8">
        <v>41.6</v>
      </c>
      <c r="L108" s="9">
        <v>111</v>
      </c>
      <c r="M108" s="9">
        <v>324</v>
      </c>
      <c r="N108" s="8">
        <v>33.4</v>
      </c>
      <c r="O108" s="8">
        <v>198</v>
      </c>
      <c r="P108" s="8">
        <v>245</v>
      </c>
      <c r="Q108" s="8">
        <v>80.2</v>
      </c>
      <c r="R108" s="9">
        <v>16</v>
      </c>
      <c r="S108" s="9">
        <v>190</v>
      </c>
      <c r="T108" s="9">
        <v>205</v>
      </c>
      <c r="U108" s="9">
        <v>348</v>
      </c>
      <c r="V108" s="9">
        <v>103</v>
      </c>
      <c r="W108" s="9">
        <v>71</v>
      </c>
      <c r="X108" s="9">
        <v>16</v>
      </c>
      <c r="Y108" s="9">
        <v>119</v>
      </c>
      <c r="Z108" s="8">
        <v>1809</v>
      </c>
      <c r="AA108" s="8">
        <v>5</v>
      </c>
      <c r="AB108" s="8">
        <v>0</v>
      </c>
      <c r="AC108" s="7">
        <v>-2.8</v>
      </c>
      <c r="AD108" s="7">
        <v>110.1</v>
      </c>
      <c r="AE108" s="7">
        <v>115.1</v>
      </c>
      <c r="AF108" s="7">
        <v>-5</v>
      </c>
      <c r="AG108" s="7">
        <v>22.8</v>
      </c>
      <c r="AH108" s="7">
        <v>3.42</v>
      </c>
      <c r="AI108" s="7">
        <v>28.3</v>
      </c>
      <c r="AJ108" s="7">
        <v>0.8</v>
      </c>
      <c r="AK108" s="7">
        <v>8.6</v>
      </c>
      <c r="AL108" s="7">
        <v>4.8</v>
      </c>
      <c r="AM108" s="7">
        <v>8.3000000000000007</v>
      </c>
      <c r="AN108" s="7">
        <v>49.6</v>
      </c>
      <c r="AO108" s="7">
        <v>55.3</v>
      </c>
      <c r="AP108" s="7">
        <v>17.5</v>
      </c>
      <c r="AQ108" s="7">
        <v>101.4</v>
      </c>
      <c r="AR108" s="7">
        <v>8.9</v>
      </c>
      <c r="AS108" s="7">
        <v>4515</v>
      </c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1"/>
    </row>
    <row r="109" spans="1:70" ht="13">
      <c r="A109" s="6" t="s">
        <v>255</v>
      </c>
      <c r="B109" s="6" t="s">
        <v>256</v>
      </c>
      <c r="C109" s="7">
        <v>32</v>
      </c>
      <c r="D109" s="7">
        <v>72</v>
      </c>
      <c r="E109" s="7">
        <v>43</v>
      </c>
      <c r="F109" s="7">
        <v>29</v>
      </c>
      <c r="G109" s="7">
        <v>33.200000000000003</v>
      </c>
      <c r="H109" s="8">
        <v>864</v>
      </c>
      <c r="I109" s="9">
        <v>338</v>
      </c>
      <c r="J109" s="9">
        <v>511</v>
      </c>
      <c r="K109" s="8">
        <v>66.900000000000006</v>
      </c>
      <c r="L109" s="8">
        <v>0</v>
      </c>
      <c r="M109" s="8">
        <v>0</v>
      </c>
      <c r="N109" s="8">
        <v>0</v>
      </c>
      <c r="O109" s="8">
        <v>187</v>
      </c>
      <c r="P109" s="8">
        <v>274</v>
      </c>
      <c r="Q109" s="8">
        <v>67.400000000000006</v>
      </c>
      <c r="R109" s="9">
        <v>266</v>
      </c>
      <c r="S109" s="9">
        <v>518</v>
      </c>
      <c r="T109" s="9">
        <v>785</v>
      </c>
      <c r="U109" s="9">
        <v>130</v>
      </c>
      <c r="V109" s="9">
        <v>86</v>
      </c>
      <c r="W109" s="9">
        <v>58</v>
      </c>
      <c r="X109" s="9">
        <v>101</v>
      </c>
      <c r="Y109" s="9">
        <v>180</v>
      </c>
      <c r="Z109" s="8">
        <v>2390</v>
      </c>
      <c r="AA109" s="8">
        <v>36</v>
      </c>
      <c r="AB109" s="8">
        <v>0</v>
      </c>
      <c r="AC109" s="7">
        <v>4.5</v>
      </c>
      <c r="AD109" s="7">
        <v>114.3</v>
      </c>
      <c r="AE109" s="7">
        <v>107.6</v>
      </c>
      <c r="AF109" s="7">
        <v>6.7</v>
      </c>
      <c r="AG109" s="7">
        <v>7.5</v>
      </c>
      <c r="AH109" s="7">
        <v>1.43</v>
      </c>
      <c r="AI109" s="7">
        <v>14.9</v>
      </c>
      <c r="AJ109" s="7">
        <v>11.1</v>
      </c>
      <c r="AK109" s="7">
        <v>21</v>
      </c>
      <c r="AL109" s="7">
        <v>16.100000000000001</v>
      </c>
      <c r="AM109" s="7">
        <v>10.5</v>
      </c>
      <c r="AN109" s="7">
        <v>66.900000000000006</v>
      </c>
      <c r="AO109" s="7">
        <v>68.7</v>
      </c>
      <c r="AP109" s="7">
        <v>12.9</v>
      </c>
      <c r="AQ109" s="7">
        <v>97.63</v>
      </c>
      <c r="AR109" s="7">
        <v>12.6</v>
      </c>
      <c r="AS109" s="7">
        <v>4858</v>
      </c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1"/>
    </row>
    <row r="110" spans="1:70" ht="13">
      <c r="A110" s="13" t="s">
        <v>257</v>
      </c>
      <c r="B110" s="6" t="s">
        <v>258</v>
      </c>
      <c r="C110" s="7">
        <v>33</v>
      </c>
      <c r="D110" s="7">
        <v>77</v>
      </c>
      <c r="E110" s="7">
        <v>41</v>
      </c>
      <c r="F110" s="7">
        <v>36</v>
      </c>
      <c r="G110" s="7">
        <v>28</v>
      </c>
      <c r="H110" s="8">
        <v>847</v>
      </c>
      <c r="I110" s="9">
        <v>277</v>
      </c>
      <c r="J110" s="9">
        <v>678</v>
      </c>
      <c r="K110" s="8">
        <v>40.6</v>
      </c>
      <c r="L110" s="9">
        <v>169</v>
      </c>
      <c r="M110" s="9">
        <v>454</v>
      </c>
      <c r="N110" s="8">
        <v>36.799999999999997</v>
      </c>
      <c r="O110" s="8">
        <v>123</v>
      </c>
      <c r="P110" s="8">
        <v>146</v>
      </c>
      <c r="Q110" s="8">
        <v>85.5</v>
      </c>
      <c r="R110" s="9">
        <v>15</v>
      </c>
      <c r="S110" s="9">
        <v>162</v>
      </c>
      <c r="T110" s="9">
        <v>185</v>
      </c>
      <c r="U110" s="9">
        <v>123</v>
      </c>
      <c r="V110" s="9">
        <v>46</v>
      </c>
      <c r="W110" s="9">
        <v>39</v>
      </c>
      <c r="X110" s="9">
        <v>8</v>
      </c>
      <c r="Y110" s="9">
        <v>92</v>
      </c>
      <c r="Z110" s="8">
        <v>1332</v>
      </c>
      <c r="AA110" s="8">
        <v>0</v>
      </c>
      <c r="AB110" s="8">
        <v>0</v>
      </c>
      <c r="AC110" s="7">
        <v>0.3</v>
      </c>
      <c r="AD110" s="7">
        <v>113.8</v>
      </c>
      <c r="AE110" s="7">
        <v>114.2</v>
      </c>
      <c r="AF110" s="7">
        <v>-0.5</v>
      </c>
      <c r="AG110" s="7">
        <v>7.4</v>
      </c>
      <c r="AH110" s="7">
        <v>2.56</v>
      </c>
      <c r="AI110" s="7">
        <v>13.6</v>
      </c>
      <c r="AJ110" s="7">
        <v>0.8</v>
      </c>
      <c r="AK110" s="7">
        <v>7.5</v>
      </c>
      <c r="AL110" s="7">
        <v>4.2</v>
      </c>
      <c r="AM110" s="7">
        <v>5.3</v>
      </c>
      <c r="AN110" s="7">
        <v>52.9</v>
      </c>
      <c r="AO110" s="7">
        <v>56.7</v>
      </c>
      <c r="AP110" s="7">
        <v>15.1</v>
      </c>
      <c r="AQ110" s="7">
        <v>100.66</v>
      </c>
      <c r="AR110" s="7">
        <v>6.6</v>
      </c>
      <c r="AS110" s="7">
        <v>4535</v>
      </c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1"/>
    </row>
    <row r="111" spans="1:70" ht="13">
      <c r="A111" s="6" t="s">
        <v>259</v>
      </c>
      <c r="B111" s="6" t="s">
        <v>260</v>
      </c>
      <c r="C111" s="7">
        <v>31</v>
      </c>
      <c r="D111" s="7">
        <v>60</v>
      </c>
      <c r="E111" s="7">
        <v>41</v>
      </c>
      <c r="F111" s="7">
        <v>19</v>
      </c>
      <c r="G111" s="7">
        <v>35.200000000000003</v>
      </c>
      <c r="H111" s="8">
        <v>846</v>
      </c>
      <c r="I111" s="9">
        <v>288</v>
      </c>
      <c r="J111" s="9">
        <v>762</v>
      </c>
      <c r="K111" s="8">
        <v>37.799999999999997</v>
      </c>
      <c r="L111" s="9">
        <v>162</v>
      </c>
      <c r="M111" s="9">
        <v>462</v>
      </c>
      <c r="N111" s="8">
        <v>34.5</v>
      </c>
      <c r="O111" s="8">
        <v>114</v>
      </c>
      <c r="P111" s="8">
        <v>138</v>
      </c>
      <c r="Q111" s="8">
        <v>81</v>
      </c>
      <c r="R111" s="9">
        <v>30</v>
      </c>
      <c r="S111" s="9">
        <v>192</v>
      </c>
      <c r="T111" s="9">
        <v>222</v>
      </c>
      <c r="U111" s="9">
        <v>336</v>
      </c>
      <c r="V111" s="9">
        <v>90</v>
      </c>
      <c r="W111" s="9">
        <v>96</v>
      </c>
      <c r="X111" s="9">
        <v>24</v>
      </c>
      <c r="Y111" s="9">
        <v>138</v>
      </c>
      <c r="Z111" s="8">
        <v>1878</v>
      </c>
      <c r="AA111" s="8">
        <v>4</v>
      </c>
      <c r="AB111" s="8">
        <v>0</v>
      </c>
      <c r="AC111" s="7">
        <v>4.4000000000000004</v>
      </c>
      <c r="AD111" s="7">
        <v>115</v>
      </c>
      <c r="AE111" s="7">
        <v>108.8</v>
      </c>
      <c r="AF111" s="7">
        <v>6.2</v>
      </c>
      <c r="AG111" s="7">
        <v>21.7</v>
      </c>
      <c r="AH111" s="7">
        <v>3.83</v>
      </c>
      <c r="AI111" s="7">
        <v>27</v>
      </c>
      <c r="AJ111" s="7">
        <v>1.4</v>
      </c>
      <c r="AK111" s="7">
        <v>8.9</v>
      </c>
      <c r="AL111" s="7">
        <v>4.9000000000000004</v>
      </c>
      <c r="AM111" s="7">
        <v>7.1</v>
      </c>
      <c r="AN111" s="7">
        <v>48.3</v>
      </c>
      <c r="AO111" s="7">
        <v>51.5</v>
      </c>
      <c r="AP111" s="7">
        <v>17.600000000000001</v>
      </c>
      <c r="AQ111" s="7">
        <v>98.18</v>
      </c>
      <c r="AR111" s="7">
        <v>9.3000000000000007</v>
      </c>
      <c r="AS111" s="7">
        <v>4316</v>
      </c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1"/>
    </row>
    <row r="112" spans="1:70" ht="13">
      <c r="A112" s="6" t="s">
        <v>261</v>
      </c>
      <c r="B112" s="6" t="s">
        <v>262</v>
      </c>
      <c r="C112" s="7">
        <v>33</v>
      </c>
      <c r="D112" s="7">
        <v>81</v>
      </c>
      <c r="E112" s="7">
        <v>23</v>
      </c>
      <c r="F112" s="7">
        <v>58</v>
      </c>
      <c r="G112" s="7">
        <v>18.8</v>
      </c>
      <c r="H112" s="8">
        <v>842</v>
      </c>
      <c r="I112" s="9">
        <v>348</v>
      </c>
      <c r="J112" s="9">
        <v>624</v>
      </c>
      <c r="K112" s="8">
        <v>55</v>
      </c>
      <c r="L112" s="9">
        <v>8</v>
      </c>
      <c r="M112" s="9">
        <v>41</v>
      </c>
      <c r="N112" s="8">
        <v>21.6</v>
      </c>
      <c r="O112" s="8">
        <v>146</v>
      </c>
      <c r="P112" s="8">
        <v>162</v>
      </c>
      <c r="Q112" s="8">
        <v>87.9</v>
      </c>
      <c r="R112" s="9">
        <v>186</v>
      </c>
      <c r="S112" s="9">
        <v>437</v>
      </c>
      <c r="T112" s="9">
        <v>624</v>
      </c>
      <c r="U112" s="9">
        <v>162</v>
      </c>
      <c r="V112" s="9">
        <v>122</v>
      </c>
      <c r="W112" s="9">
        <v>41</v>
      </c>
      <c r="X112" s="9">
        <v>49</v>
      </c>
      <c r="Y112" s="9">
        <v>178</v>
      </c>
      <c r="Z112" s="8">
        <v>1968</v>
      </c>
      <c r="AA112" s="8">
        <v>21</v>
      </c>
      <c r="AB112" s="8">
        <v>0</v>
      </c>
      <c r="AC112" s="7">
        <v>-3.8</v>
      </c>
      <c r="AD112" s="7">
        <v>109.2</v>
      </c>
      <c r="AE112" s="7">
        <v>118.8</v>
      </c>
      <c r="AF112" s="7">
        <v>-9.6</v>
      </c>
      <c r="AG112" s="7">
        <v>17.100000000000001</v>
      </c>
      <c r="AH112" s="7">
        <v>1.37</v>
      </c>
      <c r="AI112" s="7">
        <v>16.600000000000001</v>
      </c>
      <c r="AJ112" s="7">
        <v>12.2</v>
      </c>
      <c r="AK112" s="7">
        <v>28.6</v>
      </c>
      <c r="AL112" s="7">
        <v>20.3</v>
      </c>
      <c r="AM112" s="7">
        <v>12.2</v>
      </c>
      <c r="AN112" s="7">
        <v>55.7</v>
      </c>
      <c r="AO112" s="7">
        <v>60.2</v>
      </c>
      <c r="AP112" s="7">
        <v>22.2</v>
      </c>
      <c r="AQ112" s="7">
        <v>101.28</v>
      </c>
      <c r="AR112" s="7">
        <v>14.7</v>
      </c>
      <c r="AS112" s="7">
        <v>3217</v>
      </c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1"/>
    </row>
    <row r="113" spans="1:70" ht="13">
      <c r="A113" s="13" t="s">
        <v>263</v>
      </c>
      <c r="B113" s="6" t="s">
        <v>264</v>
      </c>
      <c r="C113" s="7">
        <v>26</v>
      </c>
      <c r="D113" s="7">
        <v>57</v>
      </c>
      <c r="E113" s="7">
        <v>31</v>
      </c>
      <c r="F113" s="7">
        <v>26</v>
      </c>
      <c r="G113" s="7">
        <v>32.200000000000003</v>
      </c>
      <c r="H113" s="8">
        <v>838</v>
      </c>
      <c r="I113" s="9">
        <v>302</v>
      </c>
      <c r="J113" s="9">
        <v>667</v>
      </c>
      <c r="K113" s="8">
        <v>45.3</v>
      </c>
      <c r="L113" s="9">
        <v>91</v>
      </c>
      <c r="M113" s="9">
        <v>239</v>
      </c>
      <c r="N113" s="8">
        <v>38.1</v>
      </c>
      <c r="O113" s="8">
        <v>143</v>
      </c>
      <c r="P113" s="8">
        <v>200</v>
      </c>
      <c r="Q113" s="8">
        <v>72.2</v>
      </c>
      <c r="R113" s="9">
        <v>80</v>
      </c>
      <c r="S113" s="9">
        <v>359</v>
      </c>
      <c r="T113" s="9">
        <v>445</v>
      </c>
      <c r="U113" s="9">
        <v>131</v>
      </c>
      <c r="V113" s="9">
        <v>120</v>
      </c>
      <c r="W113" s="9">
        <v>63</v>
      </c>
      <c r="X113" s="9">
        <v>63</v>
      </c>
      <c r="Y113" s="9">
        <v>131</v>
      </c>
      <c r="Z113" s="8">
        <v>1813</v>
      </c>
      <c r="AA113" s="8">
        <v>14</v>
      </c>
      <c r="AB113" s="8">
        <v>0</v>
      </c>
      <c r="AC113" s="7">
        <v>0.9</v>
      </c>
      <c r="AD113" s="7">
        <v>114.2</v>
      </c>
      <c r="AE113" s="7">
        <v>113.2</v>
      </c>
      <c r="AF113" s="7">
        <v>1.1000000000000001</v>
      </c>
      <c r="AG113" s="7">
        <v>9.8000000000000007</v>
      </c>
      <c r="AH113" s="7">
        <v>1.1100000000000001</v>
      </c>
      <c r="AI113" s="7">
        <v>13.1</v>
      </c>
      <c r="AJ113" s="7">
        <v>4.4000000000000004</v>
      </c>
      <c r="AK113" s="7">
        <v>18.3</v>
      </c>
      <c r="AL113" s="7">
        <v>11.5</v>
      </c>
      <c r="AM113" s="7">
        <v>11.8</v>
      </c>
      <c r="AN113" s="7">
        <v>52.1</v>
      </c>
      <c r="AO113" s="7">
        <v>55.6</v>
      </c>
      <c r="AP113" s="7">
        <v>19.8</v>
      </c>
      <c r="AQ113" s="7">
        <v>101.66</v>
      </c>
      <c r="AR113" s="7">
        <v>9.6999999999999993</v>
      </c>
      <c r="AS113" s="7">
        <v>3889</v>
      </c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1"/>
    </row>
    <row r="114" spans="1:70" ht="13">
      <c r="A114" s="6" t="s">
        <v>265</v>
      </c>
      <c r="B114" s="6" t="s">
        <v>266</v>
      </c>
      <c r="C114" s="7">
        <v>21</v>
      </c>
      <c r="D114" s="7">
        <v>66</v>
      </c>
      <c r="E114" s="7">
        <v>30</v>
      </c>
      <c r="F114" s="7">
        <v>36</v>
      </c>
      <c r="G114" s="7">
        <v>26.7</v>
      </c>
      <c r="H114" s="8">
        <v>838</v>
      </c>
      <c r="I114" s="9">
        <v>284</v>
      </c>
      <c r="J114" s="9">
        <v>686</v>
      </c>
      <c r="K114" s="8">
        <v>41.9</v>
      </c>
      <c r="L114" s="9">
        <v>106</v>
      </c>
      <c r="M114" s="9">
        <v>297</v>
      </c>
      <c r="N114" s="8">
        <v>35.4</v>
      </c>
      <c r="O114" s="8">
        <v>158</v>
      </c>
      <c r="P114" s="8">
        <v>205</v>
      </c>
      <c r="Q114" s="8">
        <v>76.7</v>
      </c>
      <c r="R114" s="9">
        <v>53</v>
      </c>
      <c r="S114" s="9">
        <v>145</v>
      </c>
      <c r="T114" s="9">
        <v>198</v>
      </c>
      <c r="U114" s="9">
        <v>337</v>
      </c>
      <c r="V114" s="9">
        <v>178</v>
      </c>
      <c r="W114" s="9">
        <v>66</v>
      </c>
      <c r="X114" s="9">
        <v>13</v>
      </c>
      <c r="Y114" s="9">
        <v>178</v>
      </c>
      <c r="Z114" s="8">
        <v>1643</v>
      </c>
      <c r="AA114" s="8">
        <v>2</v>
      </c>
      <c r="AB114" s="8">
        <v>0</v>
      </c>
      <c r="AC114" s="7">
        <v>-0.6</v>
      </c>
      <c r="AD114" s="7">
        <v>112.5</v>
      </c>
      <c r="AE114" s="7">
        <v>113.7</v>
      </c>
      <c r="AF114" s="7">
        <v>-1.3</v>
      </c>
      <c r="AG114" s="7">
        <v>27.4</v>
      </c>
      <c r="AH114" s="7">
        <v>1.89</v>
      </c>
      <c r="AI114" s="7">
        <v>25.9</v>
      </c>
      <c r="AJ114" s="7">
        <v>2.8</v>
      </c>
      <c r="AK114" s="7">
        <v>8.3000000000000007</v>
      </c>
      <c r="AL114" s="7">
        <v>5.4</v>
      </c>
      <c r="AM114" s="7">
        <v>13.7</v>
      </c>
      <c r="AN114" s="7">
        <v>49.6</v>
      </c>
      <c r="AO114" s="7">
        <v>54</v>
      </c>
      <c r="AP114" s="7">
        <v>22</v>
      </c>
      <c r="AQ114" s="7">
        <v>100.99</v>
      </c>
      <c r="AR114" s="7">
        <v>8.4</v>
      </c>
      <c r="AS114" s="7">
        <v>3705</v>
      </c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1"/>
    </row>
    <row r="115" spans="1:70" ht="13">
      <c r="A115" s="6" t="s">
        <v>267</v>
      </c>
      <c r="B115" s="6" t="s">
        <v>268</v>
      </c>
      <c r="C115" s="7">
        <v>23</v>
      </c>
      <c r="D115" s="7">
        <v>79</v>
      </c>
      <c r="E115" s="7">
        <v>25</v>
      </c>
      <c r="F115" s="7">
        <v>54</v>
      </c>
      <c r="G115" s="7">
        <v>24.4</v>
      </c>
      <c r="H115" s="8">
        <v>837</v>
      </c>
      <c r="I115" s="9">
        <v>300</v>
      </c>
      <c r="J115" s="9">
        <v>782</v>
      </c>
      <c r="K115" s="8">
        <v>38.9</v>
      </c>
      <c r="L115" s="9">
        <v>126</v>
      </c>
      <c r="M115" s="9">
        <v>403</v>
      </c>
      <c r="N115" s="8">
        <v>31.4</v>
      </c>
      <c r="O115" s="8">
        <v>111</v>
      </c>
      <c r="P115" s="8">
        <v>142</v>
      </c>
      <c r="Q115" s="8">
        <v>77</v>
      </c>
      <c r="R115" s="9">
        <v>63</v>
      </c>
      <c r="S115" s="9">
        <v>237</v>
      </c>
      <c r="T115" s="9">
        <v>300</v>
      </c>
      <c r="U115" s="9">
        <v>174</v>
      </c>
      <c r="V115" s="9">
        <v>119</v>
      </c>
      <c r="W115" s="9">
        <v>79</v>
      </c>
      <c r="X115" s="9">
        <v>32</v>
      </c>
      <c r="Y115" s="9">
        <v>205</v>
      </c>
      <c r="Z115" s="8">
        <v>1675</v>
      </c>
      <c r="AA115" s="8">
        <v>0</v>
      </c>
      <c r="AB115" s="8">
        <v>0</v>
      </c>
      <c r="AC115" s="7">
        <v>-5.4</v>
      </c>
      <c r="AD115" s="7">
        <v>104.1</v>
      </c>
      <c r="AE115" s="7">
        <v>114.4</v>
      </c>
      <c r="AF115" s="7">
        <v>-10.3</v>
      </c>
      <c r="AG115" s="7">
        <v>14.8</v>
      </c>
      <c r="AH115" s="7">
        <v>1.51</v>
      </c>
      <c r="AI115" s="7">
        <v>15.5</v>
      </c>
      <c r="AJ115" s="7">
        <v>3.1</v>
      </c>
      <c r="AK115" s="7">
        <v>12.5</v>
      </c>
      <c r="AL115" s="7">
        <v>7.6</v>
      </c>
      <c r="AM115" s="7">
        <v>10.3</v>
      </c>
      <c r="AN115" s="7">
        <v>47</v>
      </c>
      <c r="AO115" s="7">
        <v>49.9</v>
      </c>
      <c r="AP115" s="7">
        <v>21.2</v>
      </c>
      <c r="AQ115" s="7">
        <v>98.77</v>
      </c>
      <c r="AR115" s="7">
        <v>7</v>
      </c>
      <c r="AS115" s="7">
        <v>3954</v>
      </c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1"/>
    </row>
    <row r="116" spans="1:70" ht="13">
      <c r="A116" s="6" t="s">
        <v>269</v>
      </c>
      <c r="B116" s="6" t="s">
        <v>270</v>
      </c>
      <c r="C116" s="7">
        <v>27</v>
      </c>
      <c r="D116" s="7">
        <v>79</v>
      </c>
      <c r="E116" s="7">
        <v>48</v>
      </c>
      <c r="F116" s="7">
        <v>31</v>
      </c>
      <c r="G116" s="7">
        <v>19.600000000000001</v>
      </c>
      <c r="H116" s="8">
        <v>830</v>
      </c>
      <c r="I116" s="9">
        <v>316</v>
      </c>
      <c r="J116" s="9">
        <v>600</v>
      </c>
      <c r="K116" s="8">
        <v>52.9</v>
      </c>
      <c r="L116" s="9">
        <v>111</v>
      </c>
      <c r="M116" s="9">
        <v>300</v>
      </c>
      <c r="N116" s="8">
        <v>36.5</v>
      </c>
      <c r="O116" s="8">
        <v>87</v>
      </c>
      <c r="P116" s="8">
        <v>111</v>
      </c>
      <c r="Q116" s="8">
        <v>78.099999999999994</v>
      </c>
      <c r="R116" s="9">
        <v>55</v>
      </c>
      <c r="S116" s="9">
        <v>261</v>
      </c>
      <c r="T116" s="9">
        <v>316</v>
      </c>
      <c r="U116" s="9">
        <v>126</v>
      </c>
      <c r="V116" s="9">
        <v>71</v>
      </c>
      <c r="W116" s="9">
        <v>47</v>
      </c>
      <c r="X116" s="9">
        <v>32</v>
      </c>
      <c r="Y116" s="9">
        <v>111</v>
      </c>
      <c r="Z116" s="8">
        <v>1564</v>
      </c>
      <c r="AA116" s="8">
        <v>2</v>
      </c>
      <c r="AB116" s="8">
        <v>0</v>
      </c>
      <c r="AC116" s="7">
        <v>-1</v>
      </c>
      <c r="AD116" s="7">
        <v>113.6</v>
      </c>
      <c r="AE116" s="7">
        <v>116.1</v>
      </c>
      <c r="AF116" s="7">
        <v>-2.6</v>
      </c>
      <c r="AG116" s="7">
        <v>11.6</v>
      </c>
      <c r="AH116" s="7">
        <v>1.88</v>
      </c>
      <c r="AI116" s="7">
        <v>15.2</v>
      </c>
      <c r="AJ116" s="7">
        <v>3.6</v>
      </c>
      <c r="AK116" s="7">
        <v>16.7</v>
      </c>
      <c r="AL116" s="7">
        <v>10.1</v>
      </c>
      <c r="AM116" s="7">
        <v>8.1</v>
      </c>
      <c r="AN116" s="7">
        <v>62.1</v>
      </c>
      <c r="AO116" s="7">
        <v>64.2</v>
      </c>
      <c r="AP116" s="7">
        <v>19.100000000000001</v>
      </c>
      <c r="AQ116" s="7">
        <v>103.97</v>
      </c>
      <c r="AR116" s="7">
        <v>11.5</v>
      </c>
      <c r="AS116" s="7">
        <v>3350</v>
      </c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1"/>
    </row>
    <row r="117" spans="1:70" ht="13">
      <c r="A117" s="6" t="s">
        <v>271</v>
      </c>
      <c r="B117" s="6" t="s">
        <v>272</v>
      </c>
      <c r="C117" s="7">
        <v>29</v>
      </c>
      <c r="D117" s="7">
        <v>57</v>
      </c>
      <c r="E117" s="7">
        <v>21</v>
      </c>
      <c r="F117" s="7">
        <v>36</v>
      </c>
      <c r="G117" s="7">
        <v>29.6</v>
      </c>
      <c r="H117" s="8">
        <v>827</v>
      </c>
      <c r="I117" s="9">
        <v>365</v>
      </c>
      <c r="J117" s="9">
        <v>581</v>
      </c>
      <c r="K117" s="8">
        <v>62.7</v>
      </c>
      <c r="L117" s="8">
        <v>0</v>
      </c>
      <c r="M117" s="9">
        <v>6</v>
      </c>
      <c r="N117" s="8">
        <v>33.299999999999997</v>
      </c>
      <c r="O117" s="8">
        <v>97</v>
      </c>
      <c r="P117" s="8">
        <v>143</v>
      </c>
      <c r="Q117" s="8">
        <v>67.400000000000006</v>
      </c>
      <c r="R117" s="9">
        <v>188</v>
      </c>
      <c r="S117" s="9">
        <v>359</v>
      </c>
      <c r="T117" s="9">
        <v>547</v>
      </c>
      <c r="U117" s="9">
        <v>160</v>
      </c>
      <c r="V117" s="9">
        <v>108</v>
      </c>
      <c r="W117" s="9">
        <v>68</v>
      </c>
      <c r="X117" s="9">
        <v>68</v>
      </c>
      <c r="Y117" s="9">
        <v>177</v>
      </c>
      <c r="Z117" s="8">
        <v>2018</v>
      </c>
      <c r="AA117" s="8">
        <v>23</v>
      </c>
      <c r="AB117" s="8">
        <v>0</v>
      </c>
      <c r="AC117" s="7">
        <v>-0.6</v>
      </c>
      <c r="AD117" s="7">
        <v>111.2</v>
      </c>
      <c r="AE117" s="7">
        <v>111.9</v>
      </c>
      <c r="AF117" s="7">
        <v>-0.7</v>
      </c>
      <c r="AG117" s="7">
        <v>13.6</v>
      </c>
      <c r="AH117" s="7">
        <v>1.42</v>
      </c>
      <c r="AI117" s="7">
        <v>17.399999999999999</v>
      </c>
      <c r="AJ117" s="7">
        <v>11</v>
      </c>
      <c r="AK117" s="7">
        <v>20.6</v>
      </c>
      <c r="AL117" s="7">
        <v>15.8</v>
      </c>
      <c r="AM117" s="7">
        <v>12.2</v>
      </c>
      <c r="AN117" s="7">
        <v>62.8</v>
      </c>
      <c r="AO117" s="7">
        <v>64.099999999999994</v>
      </c>
      <c r="AP117" s="7">
        <v>18.399999999999999</v>
      </c>
      <c r="AQ117" s="7">
        <v>101.44</v>
      </c>
      <c r="AR117" s="7">
        <v>13.3</v>
      </c>
      <c r="AS117" s="7">
        <v>3557</v>
      </c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1"/>
    </row>
    <row r="118" spans="1:70" ht="13">
      <c r="A118" s="6" t="s">
        <v>273</v>
      </c>
      <c r="B118" s="6" t="s">
        <v>274</v>
      </c>
      <c r="C118" s="7">
        <v>29</v>
      </c>
      <c r="D118" s="7">
        <v>81</v>
      </c>
      <c r="E118" s="7">
        <v>36</v>
      </c>
      <c r="F118" s="7">
        <v>45</v>
      </c>
      <c r="G118" s="7">
        <v>26.8</v>
      </c>
      <c r="H118" s="8">
        <v>826</v>
      </c>
      <c r="I118" s="9">
        <v>308</v>
      </c>
      <c r="J118" s="9">
        <v>680</v>
      </c>
      <c r="K118" s="8">
        <v>44.8</v>
      </c>
      <c r="L118" s="9">
        <v>162</v>
      </c>
      <c r="M118" s="9">
        <v>405</v>
      </c>
      <c r="N118" s="8">
        <v>41.4</v>
      </c>
      <c r="O118" s="8">
        <v>49</v>
      </c>
      <c r="P118" s="8">
        <v>57</v>
      </c>
      <c r="Q118" s="8">
        <v>89.5</v>
      </c>
      <c r="R118" s="9">
        <v>41</v>
      </c>
      <c r="S118" s="9">
        <v>154</v>
      </c>
      <c r="T118" s="9">
        <v>194</v>
      </c>
      <c r="U118" s="9">
        <v>429</v>
      </c>
      <c r="V118" s="9">
        <v>89</v>
      </c>
      <c r="W118" s="9">
        <v>73</v>
      </c>
      <c r="X118" s="9">
        <v>8</v>
      </c>
      <c r="Y118" s="9">
        <v>65</v>
      </c>
      <c r="Z118" s="8">
        <v>1847</v>
      </c>
      <c r="AA118" s="8">
        <v>6</v>
      </c>
      <c r="AB118" s="8">
        <v>0</v>
      </c>
      <c r="AC118" s="7">
        <v>-1.1000000000000001</v>
      </c>
      <c r="AD118" s="7">
        <v>113.6</v>
      </c>
      <c r="AE118" s="7">
        <v>116.1</v>
      </c>
      <c r="AF118" s="7">
        <v>-2.5</v>
      </c>
      <c r="AG118" s="7">
        <v>27.6</v>
      </c>
      <c r="AH118" s="7">
        <v>4.71</v>
      </c>
      <c r="AI118" s="7">
        <v>34.9</v>
      </c>
      <c r="AJ118" s="7">
        <v>1.9</v>
      </c>
      <c r="AK118" s="7">
        <v>6.9</v>
      </c>
      <c r="AL118" s="7">
        <v>4.5</v>
      </c>
      <c r="AM118" s="7">
        <v>7.4</v>
      </c>
      <c r="AN118" s="7">
        <v>57</v>
      </c>
      <c r="AO118" s="7">
        <v>58.5</v>
      </c>
      <c r="AP118" s="7">
        <v>16</v>
      </c>
      <c r="AQ118" s="7">
        <v>99.19</v>
      </c>
      <c r="AR118" s="7">
        <v>9.9</v>
      </c>
      <c r="AS118" s="7">
        <v>4500</v>
      </c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1"/>
    </row>
    <row r="119" spans="1:70" ht="13">
      <c r="A119" s="6" t="s">
        <v>275</v>
      </c>
      <c r="B119" s="6" t="s">
        <v>276</v>
      </c>
      <c r="C119" s="7">
        <v>21</v>
      </c>
      <c r="D119" s="7">
        <v>79</v>
      </c>
      <c r="E119" s="7">
        <v>47</v>
      </c>
      <c r="F119" s="7">
        <v>32</v>
      </c>
      <c r="G119" s="7">
        <v>25.9</v>
      </c>
      <c r="H119" s="8">
        <v>822</v>
      </c>
      <c r="I119" s="9">
        <v>284</v>
      </c>
      <c r="J119" s="9">
        <v>679</v>
      </c>
      <c r="K119" s="8">
        <v>42.5</v>
      </c>
      <c r="L119" s="9">
        <v>134</v>
      </c>
      <c r="M119" s="9">
        <v>395</v>
      </c>
      <c r="N119" s="8">
        <v>35.200000000000003</v>
      </c>
      <c r="O119" s="8">
        <v>111</v>
      </c>
      <c r="P119" s="8">
        <v>134</v>
      </c>
      <c r="Q119" s="8">
        <v>82.2</v>
      </c>
      <c r="R119" s="9">
        <v>87</v>
      </c>
      <c r="S119" s="9">
        <v>182</v>
      </c>
      <c r="T119" s="9">
        <v>269</v>
      </c>
      <c r="U119" s="9">
        <v>134</v>
      </c>
      <c r="V119" s="9">
        <v>71</v>
      </c>
      <c r="W119" s="9">
        <v>47</v>
      </c>
      <c r="X119" s="9">
        <v>8</v>
      </c>
      <c r="Y119" s="9">
        <v>142</v>
      </c>
      <c r="Z119" s="8">
        <v>1438</v>
      </c>
      <c r="AA119" s="8">
        <v>1</v>
      </c>
      <c r="AB119" s="8">
        <v>0</v>
      </c>
      <c r="AC119" s="7">
        <v>2.4</v>
      </c>
      <c r="AD119" s="7">
        <v>116.7</v>
      </c>
      <c r="AE119" s="7">
        <v>111.9</v>
      </c>
      <c r="AF119" s="7">
        <v>4.7</v>
      </c>
      <c r="AG119" s="7">
        <v>8.1999999999999993</v>
      </c>
      <c r="AH119" s="7">
        <v>1.96</v>
      </c>
      <c r="AI119" s="7">
        <v>14.4</v>
      </c>
      <c r="AJ119" s="7">
        <v>4</v>
      </c>
      <c r="AK119" s="7">
        <v>8.3000000000000007</v>
      </c>
      <c r="AL119" s="7">
        <v>6.1</v>
      </c>
      <c r="AM119" s="7">
        <v>7.4</v>
      </c>
      <c r="AN119" s="7">
        <v>52.7</v>
      </c>
      <c r="AO119" s="7">
        <v>56</v>
      </c>
      <c r="AP119" s="7">
        <v>15.6</v>
      </c>
      <c r="AQ119" s="7">
        <v>104.64</v>
      </c>
      <c r="AR119" s="7">
        <v>6.5</v>
      </c>
      <c r="AS119" s="7">
        <v>4444</v>
      </c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1"/>
    </row>
    <row r="120" spans="1:70" ht="13">
      <c r="A120" s="13" t="s">
        <v>277</v>
      </c>
      <c r="B120" s="6" t="s">
        <v>278</v>
      </c>
      <c r="C120" s="7">
        <v>26</v>
      </c>
      <c r="D120" s="7">
        <v>74</v>
      </c>
      <c r="E120" s="7">
        <v>44</v>
      </c>
      <c r="F120" s="7">
        <v>30</v>
      </c>
      <c r="G120" s="7">
        <v>25.6</v>
      </c>
      <c r="H120" s="8">
        <v>821</v>
      </c>
      <c r="I120" s="9">
        <v>281</v>
      </c>
      <c r="J120" s="9">
        <v>659</v>
      </c>
      <c r="K120" s="8">
        <v>43.1</v>
      </c>
      <c r="L120" s="9">
        <v>178</v>
      </c>
      <c r="M120" s="9">
        <v>437</v>
      </c>
      <c r="N120" s="8">
        <v>41.6</v>
      </c>
      <c r="O120" s="8">
        <v>81</v>
      </c>
      <c r="P120" s="8">
        <v>89</v>
      </c>
      <c r="Q120" s="8">
        <v>84.8</v>
      </c>
      <c r="R120" s="9">
        <v>22</v>
      </c>
      <c r="S120" s="9">
        <v>148</v>
      </c>
      <c r="T120" s="9">
        <v>170</v>
      </c>
      <c r="U120" s="9">
        <v>89</v>
      </c>
      <c r="V120" s="9">
        <v>44</v>
      </c>
      <c r="W120" s="9">
        <v>74</v>
      </c>
      <c r="X120" s="9">
        <v>7</v>
      </c>
      <c r="Y120" s="9">
        <v>126</v>
      </c>
      <c r="Z120" s="8">
        <v>1339</v>
      </c>
      <c r="AA120" s="8">
        <v>0</v>
      </c>
      <c r="AB120" s="8">
        <v>0</v>
      </c>
      <c r="AC120" s="7">
        <v>0.9</v>
      </c>
      <c r="AD120" s="7">
        <v>115.9</v>
      </c>
      <c r="AE120" s="7">
        <v>114</v>
      </c>
      <c r="AF120" s="7">
        <v>1.9</v>
      </c>
      <c r="AG120" s="7">
        <v>6.4</v>
      </c>
      <c r="AH120" s="7">
        <v>2.0699999999999998</v>
      </c>
      <c r="AI120" s="7">
        <v>10.6</v>
      </c>
      <c r="AJ120" s="7">
        <v>1.1000000000000001</v>
      </c>
      <c r="AK120" s="7">
        <v>7.4</v>
      </c>
      <c r="AL120" s="7">
        <v>4.4000000000000004</v>
      </c>
      <c r="AM120" s="7">
        <v>5.0999999999999996</v>
      </c>
      <c r="AN120" s="7">
        <v>56.8</v>
      </c>
      <c r="AO120" s="7">
        <v>59.1</v>
      </c>
      <c r="AP120" s="7">
        <v>16.8</v>
      </c>
      <c r="AQ120" s="7">
        <v>100.75</v>
      </c>
      <c r="AR120" s="7">
        <v>7</v>
      </c>
      <c r="AS120" s="7">
        <v>3972</v>
      </c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1"/>
    </row>
    <row r="121" spans="1:70" ht="13">
      <c r="A121" s="6" t="s">
        <v>279</v>
      </c>
      <c r="B121" s="6" t="s">
        <v>280</v>
      </c>
      <c r="C121" s="7">
        <v>29</v>
      </c>
      <c r="D121" s="7">
        <v>42</v>
      </c>
      <c r="E121" s="7">
        <v>30</v>
      </c>
      <c r="F121" s="7">
        <v>12</v>
      </c>
      <c r="G121" s="7">
        <v>28.8</v>
      </c>
      <c r="H121" s="8">
        <v>819</v>
      </c>
      <c r="I121" s="9">
        <v>277</v>
      </c>
      <c r="J121" s="9">
        <v>575</v>
      </c>
      <c r="K121" s="8">
        <v>48.3</v>
      </c>
      <c r="L121" s="9">
        <v>105</v>
      </c>
      <c r="M121" s="9">
        <v>252</v>
      </c>
      <c r="N121" s="8">
        <v>41.2</v>
      </c>
      <c r="O121" s="8">
        <v>160</v>
      </c>
      <c r="P121" s="8">
        <v>197</v>
      </c>
      <c r="Q121" s="8">
        <v>80.900000000000006</v>
      </c>
      <c r="R121" s="9">
        <v>67</v>
      </c>
      <c r="S121" s="9">
        <v>214</v>
      </c>
      <c r="T121" s="9">
        <v>286</v>
      </c>
      <c r="U121" s="9">
        <v>88</v>
      </c>
      <c r="V121" s="9">
        <v>55</v>
      </c>
      <c r="W121" s="9">
        <v>29</v>
      </c>
      <c r="X121" s="9">
        <v>63</v>
      </c>
      <c r="Y121" s="9">
        <v>118</v>
      </c>
      <c r="Z121" s="8">
        <v>1520</v>
      </c>
      <c r="AA121" s="8">
        <v>6</v>
      </c>
      <c r="AB121" s="8">
        <v>0</v>
      </c>
      <c r="AC121" s="7">
        <v>4.0999999999999996</v>
      </c>
      <c r="AD121" s="7">
        <v>116.2</v>
      </c>
      <c r="AE121" s="7">
        <v>110.3</v>
      </c>
      <c r="AF121" s="7">
        <v>5.8</v>
      </c>
      <c r="AG121" s="7">
        <v>11.3</v>
      </c>
      <c r="AH121" s="7">
        <v>1.64</v>
      </c>
      <c r="AI121" s="7">
        <v>10.8</v>
      </c>
      <c r="AJ121" s="7">
        <v>5.4</v>
      </c>
      <c r="AK121" s="7">
        <v>16.3</v>
      </c>
      <c r="AL121" s="7">
        <v>11</v>
      </c>
      <c r="AM121" s="7">
        <v>6.6</v>
      </c>
      <c r="AN121" s="7">
        <v>57.2</v>
      </c>
      <c r="AO121" s="7">
        <v>61.8</v>
      </c>
      <c r="AP121" s="7">
        <v>25.3</v>
      </c>
      <c r="AQ121" s="7">
        <v>99.83</v>
      </c>
      <c r="AR121" s="7">
        <v>13.2</v>
      </c>
      <c r="AS121" s="7">
        <v>2528</v>
      </c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1"/>
    </row>
    <row r="122" spans="1:70" ht="13">
      <c r="A122" s="6" t="s">
        <v>281</v>
      </c>
      <c r="B122" s="6" t="s">
        <v>282</v>
      </c>
      <c r="C122" s="7">
        <v>31</v>
      </c>
      <c r="D122" s="7">
        <v>74</v>
      </c>
      <c r="E122" s="7">
        <v>30</v>
      </c>
      <c r="F122" s="7">
        <v>44</v>
      </c>
      <c r="G122" s="7">
        <v>24.1</v>
      </c>
      <c r="H122" s="8">
        <v>814</v>
      </c>
      <c r="I122" s="9">
        <v>289</v>
      </c>
      <c r="J122" s="9">
        <v>666</v>
      </c>
      <c r="K122" s="8">
        <v>43.7</v>
      </c>
      <c r="L122" s="9">
        <v>192</v>
      </c>
      <c r="M122" s="9">
        <v>481</v>
      </c>
      <c r="N122" s="8">
        <v>39.299999999999997</v>
      </c>
      <c r="O122" s="8">
        <v>44</v>
      </c>
      <c r="P122" s="8">
        <v>52</v>
      </c>
      <c r="Q122" s="8">
        <v>88.7</v>
      </c>
      <c r="R122" s="9">
        <v>15</v>
      </c>
      <c r="S122" s="9">
        <v>148</v>
      </c>
      <c r="T122" s="9">
        <v>170</v>
      </c>
      <c r="U122" s="9">
        <v>178</v>
      </c>
      <c r="V122" s="9">
        <v>89</v>
      </c>
      <c r="W122" s="9">
        <v>37</v>
      </c>
      <c r="X122" s="9">
        <v>7</v>
      </c>
      <c r="Y122" s="9">
        <v>133</v>
      </c>
      <c r="Z122" s="8">
        <v>1332</v>
      </c>
      <c r="AA122" s="8">
        <v>0</v>
      </c>
      <c r="AB122" s="8">
        <v>0</v>
      </c>
      <c r="AC122" s="7">
        <v>0.9</v>
      </c>
      <c r="AD122" s="7">
        <v>110.1</v>
      </c>
      <c r="AE122" s="7">
        <v>109.9</v>
      </c>
      <c r="AF122" s="7">
        <v>0.2</v>
      </c>
      <c r="AG122" s="7">
        <v>14.8</v>
      </c>
      <c r="AH122" s="7">
        <v>2.0499999999999998</v>
      </c>
      <c r="AI122" s="7">
        <v>18.600000000000001</v>
      </c>
      <c r="AJ122" s="7">
        <v>1</v>
      </c>
      <c r="AK122" s="7">
        <v>8.4</v>
      </c>
      <c r="AL122" s="7">
        <v>4.7</v>
      </c>
      <c r="AM122" s="7">
        <v>9.1</v>
      </c>
      <c r="AN122" s="7">
        <v>58.1</v>
      </c>
      <c r="AO122" s="7">
        <v>59.5</v>
      </c>
      <c r="AP122" s="7">
        <v>18.7</v>
      </c>
      <c r="AQ122" s="7">
        <v>97.68</v>
      </c>
      <c r="AR122" s="7">
        <v>7.8</v>
      </c>
      <c r="AS122" s="7">
        <v>3661</v>
      </c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1"/>
    </row>
    <row r="123" spans="1:70" ht="13">
      <c r="A123" s="6" t="s">
        <v>283</v>
      </c>
      <c r="B123" s="6" t="s">
        <v>284</v>
      </c>
      <c r="C123" s="7">
        <v>24</v>
      </c>
      <c r="D123" s="7">
        <v>65</v>
      </c>
      <c r="E123" s="7">
        <v>38</v>
      </c>
      <c r="F123" s="7">
        <v>27</v>
      </c>
      <c r="G123" s="7">
        <v>25.5</v>
      </c>
      <c r="H123" s="8">
        <v>813</v>
      </c>
      <c r="I123" s="9">
        <v>312</v>
      </c>
      <c r="J123" s="9">
        <v>650</v>
      </c>
      <c r="K123" s="8">
        <v>48.3</v>
      </c>
      <c r="L123" s="9">
        <v>117</v>
      </c>
      <c r="M123" s="9">
        <v>325</v>
      </c>
      <c r="N123" s="8">
        <v>36.799999999999997</v>
      </c>
      <c r="O123" s="8">
        <v>65</v>
      </c>
      <c r="P123" s="8">
        <v>91</v>
      </c>
      <c r="Q123" s="8">
        <v>69.099999999999994</v>
      </c>
      <c r="R123" s="9">
        <v>91</v>
      </c>
      <c r="S123" s="9">
        <v>325</v>
      </c>
      <c r="T123" s="9">
        <v>416</v>
      </c>
      <c r="U123" s="9">
        <v>189</v>
      </c>
      <c r="V123" s="9">
        <v>72</v>
      </c>
      <c r="W123" s="9">
        <v>52</v>
      </c>
      <c r="X123" s="9">
        <v>26</v>
      </c>
      <c r="Y123" s="9">
        <v>78</v>
      </c>
      <c r="Z123" s="8">
        <v>1762</v>
      </c>
      <c r="AA123" s="8">
        <v>10</v>
      </c>
      <c r="AB123" s="8">
        <v>0</v>
      </c>
      <c r="AC123" s="7">
        <v>2.2999999999999998</v>
      </c>
      <c r="AD123" s="7">
        <v>116.1</v>
      </c>
      <c r="AE123" s="7">
        <v>112.6</v>
      </c>
      <c r="AF123" s="7">
        <v>3.5</v>
      </c>
      <c r="AG123" s="7">
        <v>14.9</v>
      </c>
      <c r="AH123" s="7">
        <v>2.65</v>
      </c>
      <c r="AI123" s="7">
        <v>19.899999999999999</v>
      </c>
      <c r="AJ123" s="7">
        <v>5.2</v>
      </c>
      <c r="AK123" s="7">
        <v>18.100000000000001</v>
      </c>
      <c r="AL123" s="7">
        <v>11.6</v>
      </c>
      <c r="AM123" s="7">
        <v>7.5</v>
      </c>
      <c r="AN123" s="7">
        <v>57.6</v>
      </c>
      <c r="AO123" s="7">
        <v>58.8</v>
      </c>
      <c r="AP123" s="7">
        <v>17.899999999999999</v>
      </c>
      <c r="AQ123" s="7">
        <v>105.41</v>
      </c>
      <c r="AR123" s="7">
        <v>12.1</v>
      </c>
      <c r="AS123" s="7">
        <v>3654</v>
      </c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1"/>
    </row>
    <row r="124" spans="1:70" ht="13">
      <c r="A124" s="6" t="s">
        <v>285</v>
      </c>
      <c r="B124" s="6" t="s">
        <v>286</v>
      </c>
      <c r="C124" s="7">
        <v>23</v>
      </c>
      <c r="D124" s="7">
        <v>82</v>
      </c>
      <c r="E124" s="7">
        <v>34</v>
      </c>
      <c r="F124" s="7">
        <v>48</v>
      </c>
      <c r="G124" s="7">
        <v>23.6</v>
      </c>
      <c r="H124" s="8">
        <v>812</v>
      </c>
      <c r="I124" s="9">
        <v>279</v>
      </c>
      <c r="J124" s="9">
        <v>664</v>
      </c>
      <c r="K124" s="8">
        <v>41.5</v>
      </c>
      <c r="L124" s="9">
        <v>180</v>
      </c>
      <c r="M124" s="9">
        <v>484</v>
      </c>
      <c r="N124" s="8">
        <v>37.1</v>
      </c>
      <c r="O124" s="8">
        <v>82</v>
      </c>
      <c r="P124" s="8">
        <v>90</v>
      </c>
      <c r="Q124" s="8">
        <v>90.4</v>
      </c>
      <c r="R124" s="9">
        <v>66</v>
      </c>
      <c r="S124" s="9">
        <v>254</v>
      </c>
      <c r="T124" s="9">
        <v>320</v>
      </c>
      <c r="U124" s="9">
        <v>115</v>
      </c>
      <c r="V124" s="9">
        <v>74</v>
      </c>
      <c r="W124" s="9">
        <v>57</v>
      </c>
      <c r="X124" s="9">
        <v>33</v>
      </c>
      <c r="Y124" s="9">
        <v>115</v>
      </c>
      <c r="Z124" s="8">
        <v>1574</v>
      </c>
      <c r="AA124" s="8">
        <v>0</v>
      </c>
      <c r="AB124" s="8">
        <v>0</v>
      </c>
      <c r="AC124" s="7">
        <v>-0.8</v>
      </c>
      <c r="AD124" s="7">
        <v>112.3</v>
      </c>
      <c r="AE124" s="7">
        <v>114.5</v>
      </c>
      <c r="AF124" s="7">
        <v>-2.1</v>
      </c>
      <c r="AG124" s="7">
        <v>7.8</v>
      </c>
      <c r="AH124" s="7">
        <v>1.5</v>
      </c>
      <c r="AI124" s="7">
        <v>12.6</v>
      </c>
      <c r="AJ124" s="7">
        <v>3.2</v>
      </c>
      <c r="AK124" s="7">
        <v>12.1</v>
      </c>
      <c r="AL124" s="7">
        <v>7.7</v>
      </c>
      <c r="AM124" s="7">
        <v>8.4</v>
      </c>
      <c r="AN124" s="7">
        <v>54.9</v>
      </c>
      <c r="AO124" s="7">
        <v>57.7</v>
      </c>
      <c r="AP124" s="7">
        <v>16.399999999999999</v>
      </c>
      <c r="AQ124" s="7">
        <v>102.25</v>
      </c>
      <c r="AR124" s="7">
        <v>7.9</v>
      </c>
      <c r="AS124" s="7">
        <v>4125</v>
      </c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1"/>
    </row>
    <row r="125" spans="1:70" ht="13">
      <c r="A125" s="6" t="s">
        <v>287</v>
      </c>
      <c r="B125" s="6" t="s">
        <v>288</v>
      </c>
      <c r="C125" s="7">
        <v>19</v>
      </c>
      <c r="D125" s="7">
        <v>82</v>
      </c>
      <c r="E125" s="7">
        <v>18</v>
      </c>
      <c r="F125" s="7">
        <v>64</v>
      </c>
      <c r="G125" s="7">
        <v>30</v>
      </c>
      <c r="H125" s="8">
        <v>804</v>
      </c>
      <c r="I125" s="9">
        <v>303</v>
      </c>
      <c r="J125" s="9">
        <v>746</v>
      </c>
      <c r="K125" s="8">
        <v>40.1</v>
      </c>
      <c r="L125" s="9">
        <v>139</v>
      </c>
      <c r="M125" s="9">
        <v>410</v>
      </c>
      <c r="N125" s="8">
        <v>33.9</v>
      </c>
      <c r="O125" s="8">
        <v>66</v>
      </c>
      <c r="P125" s="8">
        <v>82</v>
      </c>
      <c r="Q125" s="8">
        <v>81.2</v>
      </c>
      <c r="R125" s="9">
        <v>33</v>
      </c>
      <c r="S125" s="9">
        <v>312</v>
      </c>
      <c r="T125" s="9">
        <v>344</v>
      </c>
      <c r="U125" s="9">
        <v>361</v>
      </c>
      <c r="V125" s="9">
        <v>139</v>
      </c>
      <c r="W125" s="9">
        <v>57</v>
      </c>
      <c r="X125" s="9">
        <v>25</v>
      </c>
      <c r="Y125" s="9">
        <v>189</v>
      </c>
      <c r="Z125" s="8">
        <v>1845</v>
      </c>
      <c r="AA125" s="8">
        <v>5</v>
      </c>
      <c r="AB125" s="8">
        <v>0</v>
      </c>
      <c r="AC125" s="7">
        <v>-9.6999999999999993</v>
      </c>
      <c r="AD125" s="7">
        <v>102.8</v>
      </c>
      <c r="AE125" s="7">
        <v>118</v>
      </c>
      <c r="AF125" s="7">
        <v>-15.2</v>
      </c>
      <c r="AG125" s="7">
        <v>21.3</v>
      </c>
      <c r="AH125" s="7">
        <v>2.58</v>
      </c>
      <c r="AI125" s="7">
        <v>28.3</v>
      </c>
      <c r="AJ125" s="7">
        <v>1.2</v>
      </c>
      <c r="AK125" s="7">
        <v>11.7</v>
      </c>
      <c r="AL125" s="7">
        <v>6.4</v>
      </c>
      <c r="AM125" s="7">
        <v>11</v>
      </c>
      <c r="AN125" s="7">
        <v>49.3</v>
      </c>
      <c r="AO125" s="7">
        <v>51.4</v>
      </c>
      <c r="AP125" s="7">
        <v>15.4</v>
      </c>
      <c r="AQ125" s="7">
        <v>103.06</v>
      </c>
      <c r="AR125" s="7">
        <v>7.1</v>
      </c>
      <c r="AS125" s="7">
        <v>5279</v>
      </c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1"/>
    </row>
    <row r="126" spans="1:70" ht="13">
      <c r="A126" s="6" t="s">
        <v>289</v>
      </c>
      <c r="B126" s="6" t="s">
        <v>290</v>
      </c>
      <c r="C126" s="7">
        <v>33</v>
      </c>
      <c r="D126" s="7">
        <v>37</v>
      </c>
      <c r="E126" s="7">
        <v>26</v>
      </c>
      <c r="F126" s="7">
        <v>11</v>
      </c>
      <c r="G126" s="7">
        <v>31.9</v>
      </c>
      <c r="H126" s="8">
        <v>796</v>
      </c>
      <c r="I126" s="9">
        <v>311</v>
      </c>
      <c r="J126" s="9">
        <v>622</v>
      </c>
      <c r="K126" s="8">
        <v>49.8</v>
      </c>
      <c r="L126" s="9">
        <v>78</v>
      </c>
      <c r="M126" s="9">
        <v>189</v>
      </c>
      <c r="N126" s="8">
        <v>41.1</v>
      </c>
      <c r="O126" s="8">
        <v>96</v>
      </c>
      <c r="P126" s="8">
        <v>122</v>
      </c>
      <c r="Q126" s="8">
        <v>81</v>
      </c>
      <c r="R126" s="9">
        <v>33</v>
      </c>
      <c r="S126" s="9">
        <v>185</v>
      </c>
      <c r="T126" s="9">
        <v>218</v>
      </c>
      <c r="U126" s="9">
        <v>115</v>
      </c>
      <c r="V126" s="9">
        <v>70</v>
      </c>
      <c r="W126" s="9">
        <v>59</v>
      </c>
      <c r="X126" s="9">
        <v>19</v>
      </c>
      <c r="Y126" s="9">
        <v>56</v>
      </c>
      <c r="Z126" s="8">
        <v>1388</v>
      </c>
      <c r="AA126" s="8">
        <v>5</v>
      </c>
      <c r="AB126" s="8">
        <v>0</v>
      </c>
      <c r="AC126" s="7">
        <v>8</v>
      </c>
      <c r="AD126" s="7">
        <v>120.3</v>
      </c>
      <c r="AE126" s="7">
        <v>107.9</v>
      </c>
      <c r="AF126" s="7">
        <v>12.4</v>
      </c>
      <c r="AG126" s="7">
        <v>14.7</v>
      </c>
      <c r="AH126" s="7">
        <v>1.61</v>
      </c>
      <c r="AI126" s="7">
        <v>13.5</v>
      </c>
      <c r="AJ126" s="7">
        <v>3.3</v>
      </c>
      <c r="AK126" s="7">
        <v>15.8</v>
      </c>
      <c r="AL126" s="7">
        <v>9.8000000000000007</v>
      </c>
      <c r="AM126" s="7">
        <v>8.4</v>
      </c>
      <c r="AN126" s="7">
        <v>56</v>
      </c>
      <c r="AO126" s="7">
        <v>58.9</v>
      </c>
      <c r="AP126" s="7">
        <v>28</v>
      </c>
      <c r="AQ126" s="7">
        <v>97.26</v>
      </c>
      <c r="AR126" s="7">
        <v>13.4</v>
      </c>
      <c r="AS126" s="7">
        <v>2391</v>
      </c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1"/>
    </row>
    <row r="127" spans="1:70" ht="13">
      <c r="A127" s="6" t="s">
        <v>291</v>
      </c>
      <c r="B127" s="6" t="s">
        <v>292</v>
      </c>
      <c r="C127" s="7">
        <v>31</v>
      </c>
      <c r="D127" s="7">
        <v>79</v>
      </c>
      <c r="E127" s="7">
        <v>55</v>
      </c>
      <c r="F127" s="7">
        <v>24</v>
      </c>
      <c r="G127" s="7">
        <v>21.5</v>
      </c>
      <c r="H127" s="8">
        <v>782</v>
      </c>
      <c r="I127" s="9">
        <v>284</v>
      </c>
      <c r="J127" s="9">
        <v>616</v>
      </c>
      <c r="K127" s="8">
        <v>46.1</v>
      </c>
      <c r="L127" s="9">
        <v>166</v>
      </c>
      <c r="M127" s="9">
        <v>411</v>
      </c>
      <c r="N127" s="8">
        <v>40.6</v>
      </c>
      <c r="O127" s="8">
        <v>47</v>
      </c>
      <c r="P127" s="8">
        <v>55</v>
      </c>
      <c r="Q127" s="8">
        <v>79.3</v>
      </c>
      <c r="R127" s="9">
        <v>47</v>
      </c>
      <c r="S127" s="9">
        <v>221</v>
      </c>
      <c r="T127" s="9">
        <v>269</v>
      </c>
      <c r="U127" s="9">
        <v>111</v>
      </c>
      <c r="V127" s="9">
        <v>79</v>
      </c>
      <c r="W127" s="9">
        <v>32</v>
      </c>
      <c r="X127" s="9">
        <v>16</v>
      </c>
      <c r="Y127" s="9">
        <v>198</v>
      </c>
      <c r="Z127" s="8">
        <v>1319</v>
      </c>
      <c r="AA127" s="8">
        <v>1</v>
      </c>
      <c r="AB127" s="8">
        <v>0</v>
      </c>
      <c r="AC127" s="7">
        <v>2.5</v>
      </c>
      <c r="AD127" s="7">
        <v>118.7</v>
      </c>
      <c r="AE127" s="7">
        <v>114.1</v>
      </c>
      <c r="AF127" s="7">
        <v>4.7</v>
      </c>
      <c r="AG127" s="7">
        <v>8.6999999999999993</v>
      </c>
      <c r="AH127" s="7">
        <v>1.35</v>
      </c>
      <c r="AI127" s="7">
        <v>13.2</v>
      </c>
      <c r="AJ127" s="7">
        <v>2.7</v>
      </c>
      <c r="AK127" s="7">
        <v>12.6</v>
      </c>
      <c r="AL127" s="7">
        <v>7.7</v>
      </c>
      <c r="AM127" s="7">
        <v>9.8000000000000007</v>
      </c>
      <c r="AN127" s="7">
        <v>59.5</v>
      </c>
      <c r="AO127" s="7">
        <v>60.7</v>
      </c>
      <c r="AP127" s="7">
        <v>17.7</v>
      </c>
      <c r="AQ127" s="7">
        <v>102.45</v>
      </c>
      <c r="AR127" s="7">
        <v>7.1</v>
      </c>
      <c r="AS127" s="7">
        <v>3633</v>
      </c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1"/>
    </row>
    <row r="128" spans="1:70" ht="13">
      <c r="A128" s="13" t="s">
        <v>293</v>
      </c>
      <c r="B128" s="6" t="s">
        <v>294</v>
      </c>
      <c r="C128" s="7">
        <v>24</v>
      </c>
      <c r="D128" s="7">
        <v>79</v>
      </c>
      <c r="E128" s="7">
        <v>46</v>
      </c>
      <c r="F128" s="7">
        <v>33</v>
      </c>
      <c r="G128" s="7">
        <v>21.3</v>
      </c>
      <c r="H128" s="8">
        <v>782</v>
      </c>
      <c r="I128" s="9">
        <v>284</v>
      </c>
      <c r="J128" s="9">
        <v>593</v>
      </c>
      <c r="K128" s="8">
        <v>48</v>
      </c>
      <c r="L128" s="9">
        <v>87</v>
      </c>
      <c r="M128" s="9">
        <v>221</v>
      </c>
      <c r="N128" s="8">
        <v>39.700000000000003</v>
      </c>
      <c r="O128" s="8">
        <v>119</v>
      </c>
      <c r="P128" s="8">
        <v>174</v>
      </c>
      <c r="Q128" s="8">
        <v>71.3</v>
      </c>
      <c r="R128" s="9">
        <v>63</v>
      </c>
      <c r="S128" s="9">
        <v>198</v>
      </c>
      <c r="T128" s="9">
        <v>261</v>
      </c>
      <c r="U128" s="9">
        <v>348</v>
      </c>
      <c r="V128" s="9">
        <v>134</v>
      </c>
      <c r="W128" s="9">
        <v>103</v>
      </c>
      <c r="X128" s="9">
        <v>32</v>
      </c>
      <c r="Y128" s="9">
        <v>205</v>
      </c>
      <c r="Z128" s="8">
        <v>1872</v>
      </c>
      <c r="AA128" s="8">
        <v>9</v>
      </c>
      <c r="AB128" s="8">
        <v>1</v>
      </c>
      <c r="AC128" s="7">
        <v>0.6</v>
      </c>
      <c r="AD128" s="7">
        <v>111</v>
      </c>
      <c r="AE128" s="7">
        <v>109.7</v>
      </c>
      <c r="AF128" s="7">
        <v>1.3</v>
      </c>
      <c r="AG128" s="7">
        <v>28.3</v>
      </c>
      <c r="AH128" s="7">
        <v>2.5099999999999998</v>
      </c>
      <c r="AI128" s="7">
        <v>30.3</v>
      </c>
      <c r="AJ128" s="7">
        <v>3.5</v>
      </c>
      <c r="AK128" s="7">
        <v>10.5</v>
      </c>
      <c r="AL128" s="7">
        <v>7</v>
      </c>
      <c r="AM128" s="7">
        <v>12</v>
      </c>
      <c r="AN128" s="7">
        <v>55.3</v>
      </c>
      <c r="AO128" s="7">
        <v>58.2</v>
      </c>
      <c r="AP128" s="7">
        <v>18.8</v>
      </c>
      <c r="AQ128" s="7">
        <v>105.6</v>
      </c>
      <c r="AR128" s="7">
        <v>10.6</v>
      </c>
      <c r="AS128" s="7">
        <v>3700</v>
      </c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1"/>
    </row>
    <row r="129" spans="1:70" ht="13">
      <c r="A129" s="13" t="s">
        <v>295</v>
      </c>
      <c r="B129" s="6" t="s">
        <v>296</v>
      </c>
      <c r="C129" s="7">
        <v>28</v>
      </c>
      <c r="D129" s="7">
        <v>77</v>
      </c>
      <c r="E129" s="7">
        <v>48</v>
      </c>
      <c r="F129" s="7">
        <v>29</v>
      </c>
      <c r="G129" s="7">
        <v>24.3</v>
      </c>
      <c r="H129" s="8">
        <v>778</v>
      </c>
      <c r="I129" s="9">
        <v>308</v>
      </c>
      <c r="J129" s="9">
        <v>585</v>
      </c>
      <c r="K129" s="8">
        <v>52.6</v>
      </c>
      <c r="L129" s="9">
        <v>77</v>
      </c>
      <c r="M129" s="9">
        <v>216</v>
      </c>
      <c r="N129" s="8">
        <v>35.6</v>
      </c>
      <c r="O129" s="8">
        <v>85</v>
      </c>
      <c r="P129" s="8">
        <v>116</v>
      </c>
      <c r="Q129" s="8">
        <v>70.3</v>
      </c>
      <c r="R129" s="9">
        <v>92</v>
      </c>
      <c r="S129" s="9">
        <v>169</v>
      </c>
      <c r="T129" s="9">
        <v>262</v>
      </c>
      <c r="U129" s="9">
        <v>62</v>
      </c>
      <c r="V129" s="9">
        <v>69</v>
      </c>
      <c r="W129" s="9">
        <v>77</v>
      </c>
      <c r="X129" s="9">
        <v>31</v>
      </c>
      <c r="Y129" s="9">
        <v>154</v>
      </c>
      <c r="Z129" s="8">
        <v>1455</v>
      </c>
      <c r="AA129" s="8">
        <v>0</v>
      </c>
      <c r="AB129" s="8">
        <v>0</v>
      </c>
      <c r="AC129" s="7">
        <v>3.2</v>
      </c>
      <c r="AD129" s="7">
        <v>115.5</v>
      </c>
      <c r="AE129" s="7">
        <v>108.7</v>
      </c>
      <c r="AF129" s="7">
        <v>6.7</v>
      </c>
      <c r="AG129" s="7">
        <v>4.4000000000000004</v>
      </c>
      <c r="AH129" s="7">
        <v>0.91</v>
      </c>
      <c r="AI129" s="7">
        <v>7.8</v>
      </c>
      <c r="AJ129" s="7">
        <v>5.0999999999999996</v>
      </c>
      <c r="AK129" s="7">
        <v>9.1999999999999993</v>
      </c>
      <c r="AL129" s="7">
        <v>7.2</v>
      </c>
      <c r="AM129" s="7">
        <v>8.6</v>
      </c>
      <c r="AN129" s="7">
        <v>59.3</v>
      </c>
      <c r="AO129" s="7">
        <v>60.9</v>
      </c>
      <c r="AP129" s="7">
        <v>16</v>
      </c>
      <c r="AQ129" s="7">
        <v>99.72</v>
      </c>
      <c r="AR129" s="7">
        <v>7.6</v>
      </c>
      <c r="AS129" s="7">
        <v>3886</v>
      </c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1"/>
    </row>
    <row r="130" spans="1:70" ht="13">
      <c r="A130" s="6" t="s">
        <v>297</v>
      </c>
      <c r="B130" s="6" t="s">
        <v>298</v>
      </c>
      <c r="C130" s="7">
        <v>21</v>
      </c>
      <c r="D130" s="7">
        <v>54</v>
      </c>
      <c r="E130" s="7">
        <v>15</v>
      </c>
      <c r="F130" s="7">
        <v>39</v>
      </c>
      <c r="G130" s="7">
        <v>29.4</v>
      </c>
      <c r="H130" s="8">
        <v>778</v>
      </c>
      <c r="I130" s="9">
        <v>265</v>
      </c>
      <c r="J130" s="9">
        <v>648</v>
      </c>
      <c r="K130" s="8">
        <v>41</v>
      </c>
      <c r="L130" s="9">
        <v>113</v>
      </c>
      <c r="M130" s="9">
        <v>324</v>
      </c>
      <c r="N130" s="8">
        <v>35</v>
      </c>
      <c r="O130" s="8">
        <v>135</v>
      </c>
      <c r="P130" s="8">
        <v>157</v>
      </c>
      <c r="Q130" s="8">
        <v>85.8</v>
      </c>
      <c r="R130" s="9">
        <v>43</v>
      </c>
      <c r="S130" s="9">
        <v>151</v>
      </c>
      <c r="T130" s="9">
        <v>194</v>
      </c>
      <c r="U130" s="9">
        <v>97</v>
      </c>
      <c r="V130" s="9">
        <v>81</v>
      </c>
      <c r="W130" s="9">
        <v>49</v>
      </c>
      <c r="X130" s="9">
        <v>11</v>
      </c>
      <c r="Y130" s="9">
        <v>119</v>
      </c>
      <c r="Z130" s="8">
        <v>1247</v>
      </c>
      <c r="AA130" s="8">
        <v>0</v>
      </c>
      <c r="AB130" s="8">
        <v>0</v>
      </c>
      <c r="AC130" s="7">
        <v>-3.9</v>
      </c>
      <c r="AD130" s="7">
        <v>110.3</v>
      </c>
      <c r="AE130" s="7">
        <v>116.1</v>
      </c>
      <c r="AF130" s="7">
        <v>-5.8</v>
      </c>
      <c r="AG130" s="7">
        <v>8.6999999999999993</v>
      </c>
      <c r="AH130" s="7">
        <v>1.18</v>
      </c>
      <c r="AI130" s="7">
        <v>10.9</v>
      </c>
      <c r="AJ130" s="7">
        <v>2.7</v>
      </c>
      <c r="AK130" s="7">
        <v>9.1999999999999993</v>
      </c>
      <c r="AL130" s="7">
        <v>5.9</v>
      </c>
      <c r="AM130" s="7">
        <v>9.3000000000000007</v>
      </c>
      <c r="AN130" s="7">
        <v>49.8</v>
      </c>
      <c r="AO130" s="7">
        <v>54.3</v>
      </c>
      <c r="AP130" s="7">
        <v>20.9</v>
      </c>
      <c r="AQ130" s="7">
        <v>101.36</v>
      </c>
      <c r="AR130" s="7">
        <v>7.1</v>
      </c>
      <c r="AS130" s="7">
        <v>3345</v>
      </c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1"/>
    </row>
    <row r="131" spans="1:70" ht="13">
      <c r="A131" s="6" t="s">
        <v>299</v>
      </c>
      <c r="B131" s="6" t="s">
        <v>300</v>
      </c>
      <c r="C131" s="7">
        <v>30</v>
      </c>
      <c r="D131" s="7">
        <v>64</v>
      </c>
      <c r="E131" s="7">
        <v>46</v>
      </c>
      <c r="F131" s="7">
        <v>18</v>
      </c>
      <c r="G131" s="7">
        <v>24.9</v>
      </c>
      <c r="H131" s="8">
        <v>774</v>
      </c>
      <c r="I131" s="9">
        <v>282</v>
      </c>
      <c r="J131" s="9">
        <v>602</v>
      </c>
      <c r="K131" s="8">
        <v>46.7</v>
      </c>
      <c r="L131" s="9">
        <v>109</v>
      </c>
      <c r="M131" s="9">
        <v>282</v>
      </c>
      <c r="N131" s="8">
        <v>37.299999999999997</v>
      </c>
      <c r="O131" s="8">
        <v>109</v>
      </c>
      <c r="P131" s="8">
        <v>154</v>
      </c>
      <c r="Q131" s="8">
        <v>71</v>
      </c>
      <c r="R131" s="9">
        <v>38</v>
      </c>
      <c r="S131" s="9">
        <v>160</v>
      </c>
      <c r="T131" s="9">
        <v>205</v>
      </c>
      <c r="U131" s="9">
        <v>218</v>
      </c>
      <c r="V131" s="9">
        <v>77</v>
      </c>
      <c r="W131" s="9">
        <v>58</v>
      </c>
      <c r="X131" s="9">
        <v>32</v>
      </c>
      <c r="Y131" s="9">
        <v>96</v>
      </c>
      <c r="Z131" s="8">
        <v>1536</v>
      </c>
      <c r="AA131" s="8">
        <v>1</v>
      </c>
      <c r="AB131" s="8">
        <v>0</v>
      </c>
      <c r="AC131" s="7">
        <v>4</v>
      </c>
      <c r="AD131" s="7">
        <v>120.5</v>
      </c>
      <c r="AE131" s="7">
        <v>113.4</v>
      </c>
      <c r="AF131" s="7">
        <v>7.2</v>
      </c>
      <c r="AG131" s="7">
        <v>17.8</v>
      </c>
      <c r="AH131" s="7">
        <v>2.83</v>
      </c>
      <c r="AI131" s="7">
        <v>22.5</v>
      </c>
      <c r="AJ131" s="7">
        <v>2.6</v>
      </c>
      <c r="AK131" s="7">
        <v>9.6</v>
      </c>
      <c r="AL131" s="7">
        <v>6.2</v>
      </c>
      <c r="AM131" s="7">
        <v>7.9</v>
      </c>
      <c r="AN131" s="7">
        <v>55.6</v>
      </c>
      <c r="AO131" s="7">
        <v>58.2</v>
      </c>
      <c r="AP131" s="7">
        <v>19.100000000000001</v>
      </c>
      <c r="AQ131" s="7">
        <v>103.21</v>
      </c>
      <c r="AR131" s="7">
        <v>9.4</v>
      </c>
      <c r="AS131" s="7">
        <v>3437</v>
      </c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1"/>
    </row>
    <row r="132" spans="1:70" ht="13">
      <c r="A132" s="6" t="s">
        <v>301</v>
      </c>
      <c r="B132" s="6" t="s">
        <v>302</v>
      </c>
      <c r="C132" s="7">
        <v>21</v>
      </c>
      <c r="D132" s="7">
        <v>71</v>
      </c>
      <c r="E132" s="7">
        <v>14</v>
      </c>
      <c r="F132" s="7">
        <v>57</v>
      </c>
      <c r="G132" s="7">
        <v>20.2</v>
      </c>
      <c r="H132" s="8">
        <v>774</v>
      </c>
      <c r="I132" s="9">
        <v>277</v>
      </c>
      <c r="J132" s="9">
        <v>596</v>
      </c>
      <c r="K132" s="8">
        <v>45.9</v>
      </c>
      <c r="L132" s="9">
        <v>156</v>
      </c>
      <c r="M132" s="9">
        <v>369</v>
      </c>
      <c r="N132" s="8">
        <v>42.2</v>
      </c>
      <c r="O132" s="8">
        <v>64</v>
      </c>
      <c r="P132" s="8">
        <v>71</v>
      </c>
      <c r="Q132" s="8">
        <v>89</v>
      </c>
      <c r="R132" s="9">
        <v>43</v>
      </c>
      <c r="S132" s="9">
        <v>170</v>
      </c>
      <c r="T132" s="9">
        <v>213</v>
      </c>
      <c r="U132" s="9">
        <v>107</v>
      </c>
      <c r="V132" s="9">
        <v>107</v>
      </c>
      <c r="W132" s="9">
        <v>43</v>
      </c>
      <c r="X132" s="9">
        <v>7</v>
      </c>
      <c r="Y132" s="9">
        <v>114</v>
      </c>
      <c r="Z132" s="8">
        <v>1243</v>
      </c>
      <c r="AA132" s="8">
        <v>0</v>
      </c>
      <c r="AB132" s="8">
        <v>0</v>
      </c>
      <c r="AC132" s="7">
        <v>-4</v>
      </c>
      <c r="AD132" s="7">
        <v>109.9</v>
      </c>
      <c r="AE132" s="7">
        <v>119.5</v>
      </c>
      <c r="AF132" s="7">
        <v>-9.6</v>
      </c>
      <c r="AG132" s="7">
        <v>11.7</v>
      </c>
      <c r="AH132" s="7">
        <v>1.03</v>
      </c>
      <c r="AI132" s="7">
        <v>13</v>
      </c>
      <c r="AJ132" s="7">
        <v>2.8</v>
      </c>
      <c r="AK132" s="7">
        <v>11</v>
      </c>
      <c r="AL132" s="7">
        <v>6.9</v>
      </c>
      <c r="AM132" s="7">
        <v>12.7</v>
      </c>
      <c r="AN132" s="7">
        <v>59</v>
      </c>
      <c r="AO132" s="7">
        <v>61.2</v>
      </c>
      <c r="AP132" s="7">
        <v>20.8</v>
      </c>
      <c r="AQ132" s="7">
        <v>103.21</v>
      </c>
      <c r="AR132" s="7">
        <v>8.6999999999999993</v>
      </c>
      <c r="AS132" s="7">
        <v>3084</v>
      </c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1"/>
    </row>
    <row r="133" spans="1:70" ht="13">
      <c r="A133" s="6" t="s">
        <v>303</v>
      </c>
      <c r="B133" s="6" t="s">
        <v>304</v>
      </c>
      <c r="C133" s="7">
        <v>27</v>
      </c>
      <c r="D133" s="7">
        <v>59</v>
      </c>
      <c r="E133" s="7">
        <v>37</v>
      </c>
      <c r="F133" s="7">
        <v>22</v>
      </c>
      <c r="G133" s="7">
        <v>31.7</v>
      </c>
      <c r="H133" s="8">
        <v>773</v>
      </c>
      <c r="I133" s="9">
        <v>295</v>
      </c>
      <c r="J133" s="9">
        <v>578</v>
      </c>
      <c r="K133" s="8">
        <v>50.9</v>
      </c>
      <c r="L133" s="9">
        <v>100</v>
      </c>
      <c r="M133" s="9">
        <v>248</v>
      </c>
      <c r="N133" s="8">
        <v>41.3</v>
      </c>
      <c r="O133" s="8">
        <v>89</v>
      </c>
      <c r="P133" s="8">
        <v>112</v>
      </c>
      <c r="Q133" s="8">
        <v>77</v>
      </c>
      <c r="R133" s="9">
        <v>77</v>
      </c>
      <c r="S133" s="9">
        <v>218</v>
      </c>
      <c r="T133" s="9">
        <v>295</v>
      </c>
      <c r="U133" s="9">
        <v>83</v>
      </c>
      <c r="V133" s="9">
        <v>47</v>
      </c>
      <c r="W133" s="9">
        <v>47</v>
      </c>
      <c r="X133" s="9">
        <v>24</v>
      </c>
      <c r="Y133" s="9">
        <v>106</v>
      </c>
      <c r="Z133" s="8">
        <v>1416</v>
      </c>
      <c r="AA133" s="8">
        <v>1</v>
      </c>
      <c r="AB133" s="8">
        <v>0</v>
      </c>
      <c r="AC133" s="7">
        <v>2.7</v>
      </c>
      <c r="AD133" s="7">
        <v>114.8</v>
      </c>
      <c r="AE133" s="7">
        <v>110.9</v>
      </c>
      <c r="AF133" s="7">
        <v>3.9</v>
      </c>
      <c r="AG133" s="7">
        <v>6.3</v>
      </c>
      <c r="AH133" s="7">
        <v>1.69</v>
      </c>
      <c r="AI133" s="7">
        <v>10.9</v>
      </c>
      <c r="AJ133" s="7">
        <v>4.4000000000000004</v>
      </c>
      <c r="AK133" s="7">
        <v>11.1</v>
      </c>
      <c r="AL133" s="7">
        <v>7.9</v>
      </c>
      <c r="AM133" s="7">
        <v>6.5</v>
      </c>
      <c r="AN133" s="7">
        <v>59.7</v>
      </c>
      <c r="AO133" s="7">
        <v>61.9</v>
      </c>
      <c r="AP133" s="7">
        <v>15.6</v>
      </c>
      <c r="AQ133" s="7">
        <v>99.44</v>
      </c>
      <c r="AR133" s="7">
        <v>8.6</v>
      </c>
      <c r="AS133" s="7">
        <v>3875</v>
      </c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1"/>
    </row>
    <row r="134" spans="1:70" ht="13">
      <c r="A134" s="13" t="s">
        <v>305</v>
      </c>
      <c r="B134" s="6" t="s">
        <v>306</v>
      </c>
      <c r="C134" s="7">
        <v>25</v>
      </c>
      <c r="D134" s="7">
        <v>75</v>
      </c>
      <c r="E134" s="7">
        <v>43</v>
      </c>
      <c r="F134" s="7">
        <v>32</v>
      </c>
      <c r="G134" s="7">
        <v>19.8</v>
      </c>
      <c r="H134" s="8">
        <v>773</v>
      </c>
      <c r="I134" s="9">
        <v>293</v>
      </c>
      <c r="J134" s="9">
        <v>653</v>
      </c>
      <c r="K134" s="8">
        <v>44.9</v>
      </c>
      <c r="L134" s="9">
        <v>53</v>
      </c>
      <c r="M134" s="9">
        <v>180</v>
      </c>
      <c r="N134" s="8">
        <v>31.1</v>
      </c>
      <c r="O134" s="8">
        <v>128</v>
      </c>
      <c r="P134" s="8">
        <v>173</v>
      </c>
      <c r="Q134" s="8">
        <v>76.900000000000006</v>
      </c>
      <c r="R134" s="9">
        <v>45</v>
      </c>
      <c r="S134" s="9">
        <v>233</v>
      </c>
      <c r="T134" s="9">
        <v>278</v>
      </c>
      <c r="U134" s="9">
        <v>255</v>
      </c>
      <c r="V134" s="9">
        <v>135</v>
      </c>
      <c r="W134" s="9">
        <v>83</v>
      </c>
      <c r="X134" s="9">
        <v>15</v>
      </c>
      <c r="Y134" s="9">
        <v>120</v>
      </c>
      <c r="Z134" s="8">
        <v>1635</v>
      </c>
      <c r="AA134" s="8">
        <v>2</v>
      </c>
      <c r="AB134" s="8">
        <v>1</v>
      </c>
      <c r="AC134" s="7">
        <v>0.4</v>
      </c>
      <c r="AD134" s="7">
        <v>109.1</v>
      </c>
      <c r="AE134" s="7">
        <v>108</v>
      </c>
      <c r="AF134" s="7">
        <v>1.1000000000000001</v>
      </c>
      <c r="AG134" s="7">
        <v>27.6</v>
      </c>
      <c r="AH134" s="7">
        <v>1.88</v>
      </c>
      <c r="AI134" s="7">
        <v>22.9</v>
      </c>
      <c r="AJ134" s="7">
        <v>2.9</v>
      </c>
      <c r="AK134" s="7">
        <v>14.8</v>
      </c>
      <c r="AL134" s="7">
        <v>9.1999999999999993</v>
      </c>
      <c r="AM134" s="7">
        <v>12.2</v>
      </c>
      <c r="AN134" s="7">
        <v>49.2</v>
      </c>
      <c r="AO134" s="7">
        <v>53.1</v>
      </c>
      <c r="AP134" s="7">
        <v>24.8</v>
      </c>
      <c r="AQ134" s="7">
        <v>100.63</v>
      </c>
      <c r="AR134" s="7">
        <v>11.9</v>
      </c>
      <c r="AS134" s="7">
        <v>3104</v>
      </c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1"/>
    </row>
    <row r="135" spans="1:70" ht="13">
      <c r="A135" s="6" t="s">
        <v>307</v>
      </c>
      <c r="B135" s="6" t="s">
        <v>308</v>
      </c>
      <c r="C135" s="7">
        <v>26</v>
      </c>
      <c r="D135" s="7">
        <v>82</v>
      </c>
      <c r="E135" s="7">
        <v>49</v>
      </c>
      <c r="F135" s="7">
        <v>33</v>
      </c>
      <c r="G135" s="7">
        <v>25.3</v>
      </c>
      <c r="H135" s="8">
        <v>771</v>
      </c>
      <c r="I135" s="9">
        <v>271</v>
      </c>
      <c r="J135" s="9">
        <v>615</v>
      </c>
      <c r="K135" s="8">
        <v>43.8</v>
      </c>
      <c r="L135" s="9">
        <v>139</v>
      </c>
      <c r="M135" s="9">
        <v>369</v>
      </c>
      <c r="N135" s="8">
        <v>38.1</v>
      </c>
      <c r="O135" s="8">
        <v>90</v>
      </c>
      <c r="P135" s="8">
        <v>115</v>
      </c>
      <c r="Q135" s="8">
        <v>78</v>
      </c>
      <c r="R135" s="9">
        <v>57</v>
      </c>
      <c r="S135" s="9">
        <v>213</v>
      </c>
      <c r="T135" s="9">
        <v>262</v>
      </c>
      <c r="U135" s="9">
        <v>221</v>
      </c>
      <c r="V135" s="9">
        <v>98</v>
      </c>
      <c r="W135" s="9">
        <v>49</v>
      </c>
      <c r="X135" s="9">
        <v>33</v>
      </c>
      <c r="Y135" s="9">
        <v>139</v>
      </c>
      <c r="Z135" s="8">
        <v>1583</v>
      </c>
      <c r="AA135" s="8">
        <v>1</v>
      </c>
      <c r="AB135" s="8">
        <v>0</v>
      </c>
      <c r="AC135" s="7">
        <v>3.3</v>
      </c>
      <c r="AD135" s="7">
        <v>115.1</v>
      </c>
      <c r="AE135" s="7">
        <v>108.5</v>
      </c>
      <c r="AF135" s="7">
        <v>6.6</v>
      </c>
      <c r="AG135" s="7">
        <v>14.9</v>
      </c>
      <c r="AH135" s="7">
        <v>2.25</v>
      </c>
      <c r="AI135" s="7">
        <v>22.7</v>
      </c>
      <c r="AJ135" s="7">
        <v>2.6</v>
      </c>
      <c r="AK135" s="7">
        <v>9.8000000000000007</v>
      </c>
      <c r="AL135" s="7">
        <v>6.2</v>
      </c>
      <c r="AM135" s="7">
        <v>10.1</v>
      </c>
      <c r="AN135" s="7">
        <v>55.3</v>
      </c>
      <c r="AO135" s="7">
        <v>57.9</v>
      </c>
      <c r="AP135" s="7">
        <v>15.5</v>
      </c>
      <c r="AQ135" s="7">
        <v>99.57</v>
      </c>
      <c r="AR135" s="7">
        <v>8.1</v>
      </c>
      <c r="AS135" s="7">
        <v>4294</v>
      </c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1"/>
    </row>
    <row r="136" spans="1:70" ht="13">
      <c r="A136" s="6" t="s">
        <v>309</v>
      </c>
      <c r="B136" s="6" t="s">
        <v>310</v>
      </c>
      <c r="C136" s="7">
        <v>29</v>
      </c>
      <c r="D136" s="7">
        <v>70</v>
      </c>
      <c r="E136" s="7">
        <v>23</v>
      </c>
      <c r="F136" s="7">
        <v>47</v>
      </c>
      <c r="G136" s="7">
        <v>27.1</v>
      </c>
      <c r="H136" s="8">
        <v>770</v>
      </c>
      <c r="I136" s="9">
        <v>280</v>
      </c>
      <c r="J136" s="9">
        <v>560</v>
      </c>
      <c r="K136" s="8">
        <v>50.1</v>
      </c>
      <c r="L136" s="9">
        <v>105</v>
      </c>
      <c r="M136" s="9">
        <v>273</v>
      </c>
      <c r="N136" s="8">
        <v>38</v>
      </c>
      <c r="O136" s="8">
        <v>98</v>
      </c>
      <c r="P136" s="8">
        <v>140</v>
      </c>
      <c r="Q136" s="8">
        <v>72.5</v>
      </c>
      <c r="R136" s="9">
        <v>133</v>
      </c>
      <c r="S136" s="9">
        <v>259</v>
      </c>
      <c r="T136" s="9">
        <v>392</v>
      </c>
      <c r="U136" s="9">
        <v>147</v>
      </c>
      <c r="V136" s="9">
        <v>84</v>
      </c>
      <c r="W136" s="9">
        <v>56</v>
      </c>
      <c r="X136" s="9">
        <v>21</v>
      </c>
      <c r="Y136" s="9">
        <v>161</v>
      </c>
      <c r="Z136" s="8">
        <v>1624</v>
      </c>
      <c r="AA136" s="8">
        <v>3</v>
      </c>
      <c r="AB136" s="8">
        <v>0</v>
      </c>
      <c r="AC136" s="7">
        <v>-1.7</v>
      </c>
      <c r="AD136" s="7">
        <v>113.5</v>
      </c>
      <c r="AE136" s="7">
        <v>116.7</v>
      </c>
      <c r="AF136" s="7">
        <v>-3.2</v>
      </c>
      <c r="AG136" s="7">
        <v>11.4</v>
      </c>
      <c r="AH136" s="7">
        <v>1.7</v>
      </c>
      <c r="AI136" s="7">
        <v>17.2</v>
      </c>
      <c r="AJ136" s="7">
        <v>7</v>
      </c>
      <c r="AK136" s="7">
        <v>14.9</v>
      </c>
      <c r="AL136" s="7">
        <v>10.8</v>
      </c>
      <c r="AM136" s="7">
        <v>10.1</v>
      </c>
      <c r="AN136" s="7">
        <v>59.3</v>
      </c>
      <c r="AO136" s="7">
        <v>61.6</v>
      </c>
      <c r="AP136" s="7">
        <v>16.3</v>
      </c>
      <c r="AQ136" s="7">
        <v>97.28</v>
      </c>
      <c r="AR136" s="7">
        <v>9.1999999999999993</v>
      </c>
      <c r="AS136" s="7">
        <v>3842</v>
      </c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1"/>
    </row>
    <row r="137" spans="1:70" ht="13">
      <c r="A137" s="6" t="s">
        <v>311</v>
      </c>
      <c r="B137" s="6" t="s">
        <v>312</v>
      </c>
      <c r="C137" s="7">
        <v>27</v>
      </c>
      <c r="D137" s="7">
        <v>40</v>
      </c>
      <c r="E137" s="7">
        <v>12</v>
      </c>
      <c r="F137" s="7">
        <v>28</v>
      </c>
      <c r="G137" s="7">
        <v>30.5</v>
      </c>
      <c r="H137" s="8">
        <v>760</v>
      </c>
      <c r="I137" s="9">
        <v>280</v>
      </c>
      <c r="J137" s="9">
        <v>532</v>
      </c>
      <c r="K137" s="8">
        <v>52.7</v>
      </c>
      <c r="L137" s="9">
        <v>60</v>
      </c>
      <c r="M137" s="9">
        <v>148</v>
      </c>
      <c r="N137" s="8">
        <v>39.9</v>
      </c>
      <c r="O137" s="8">
        <v>140</v>
      </c>
      <c r="P137" s="8">
        <v>164</v>
      </c>
      <c r="Q137" s="8">
        <v>84.8</v>
      </c>
      <c r="R137" s="9">
        <v>88</v>
      </c>
      <c r="S137" s="9">
        <v>240</v>
      </c>
      <c r="T137" s="9">
        <v>328</v>
      </c>
      <c r="U137" s="9">
        <v>80</v>
      </c>
      <c r="V137" s="9">
        <v>104</v>
      </c>
      <c r="W137" s="9">
        <v>40</v>
      </c>
      <c r="X137" s="9">
        <v>40</v>
      </c>
      <c r="Y137" s="9">
        <v>116</v>
      </c>
      <c r="Z137" s="8">
        <v>1404</v>
      </c>
      <c r="AA137" s="8">
        <v>13</v>
      </c>
      <c r="AB137" s="8">
        <v>0</v>
      </c>
      <c r="AC137" s="7">
        <v>-0.4</v>
      </c>
      <c r="AD137" s="7">
        <v>112.4</v>
      </c>
      <c r="AE137" s="7">
        <v>113.3</v>
      </c>
      <c r="AF137" s="7">
        <v>-0.9</v>
      </c>
      <c r="AG137" s="7">
        <v>10.5</v>
      </c>
      <c r="AH137" s="7">
        <v>0.78</v>
      </c>
      <c r="AI137" s="7">
        <v>10.199999999999999</v>
      </c>
      <c r="AJ137" s="7">
        <v>7.3</v>
      </c>
      <c r="AK137" s="7">
        <v>17.899999999999999</v>
      </c>
      <c r="AL137" s="7">
        <v>12.8</v>
      </c>
      <c r="AM137" s="7">
        <v>13.2</v>
      </c>
      <c r="AN137" s="7">
        <v>58.3</v>
      </c>
      <c r="AO137" s="7">
        <v>62.8</v>
      </c>
      <c r="AP137" s="7">
        <v>23.4</v>
      </c>
      <c r="AQ137" s="7">
        <v>101.72</v>
      </c>
      <c r="AR137" s="7">
        <v>12.9</v>
      </c>
      <c r="AS137" s="7">
        <v>2590</v>
      </c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1"/>
    </row>
    <row r="138" spans="1:70" ht="13">
      <c r="A138" s="6" t="s">
        <v>313</v>
      </c>
      <c r="B138" s="6" t="s">
        <v>314</v>
      </c>
      <c r="C138" s="7">
        <v>25</v>
      </c>
      <c r="D138" s="7">
        <v>74</v>
      </c>
      <c r="E138" s="7">
        <v>63</v>
      </c>
      <c r="F138" s="7">
        <v>11</v>
      </c>
      <c r="G138" s="7">
        <v>21.7</v>
      </c>
      <c r="H138" s="8">
        <v>755</v>
      </c>
      <c r="I138" s="9">
        <v>259</v>
      </c>
      <c r="J138" s="9">
        <v>585</v>
      </c>
      <c r="K138" s="8">
        <v>44</v>
      </c>
      <c r="L138" s="9">
        <v>192</v>
      </c>
      <c r="M138" s="9">
        <v>466</v>
      </c>
      <c r="N138" s="8">
        <v>41.2</v>
      </c>
      <c r="O138" s="8">
        <v>44</v>
      </c>
      <c r="P138" s="8">
        <v>59</v>
      </c>
      <c r="Q138" s="8">
        <v>82.1</v>
      </c>
      <c r="R138" s="9">
        <v>44</v>
      </c>
      <c r="S138" s="9">
        <v>155</v>
      </c>
      <c r="T138" s="9">
        <v>192</v>
      </c>
      <c r="U138" s="9">
        <v>118</v>
      </c>
      <c r="V138" s="9">
        <v>37</v>
      </c>
      <c r="W138" s="9">
        <v>44</v>
      </c>
      <c r="X138" s="9">
        <v>7</v>
      </c>
      <c r="Y138" s="9">
        <v>111</v>
      </c>
      <c r="Z138" s="8">
        <v>1302</v>
      </c>
      <c r="AA138" s="8">
        <v>0</v>
      </c>
      <c r="AB138" s="8">
        <v>0</v>
      </c>
      <c r="AC138" s="7">
        <v>7.4</v>
      </c>
      <c r="AD138" s="7">
        <v>119.9</v>
      </c>
      <c r="AE138" s="7">
        <v>104.1</v>
      </c>
      <c r="AF138" s="7">
        <v>15.8</v>
      </c>
      <c r="AG138" s="7">
        <v>9.6</v>
      </c>
      <c r="AH138" s="7">
        <v>3.13</v>
      </c>
      <c r="AI138" s="7">
        <v>15.6</v>
      </c>
      <c r="AJ138" s="7">
        <v>2.5</v>
      </c>
      <c r="AK138" s="7">
        <v>8.9</v>
      </c>
      <c r="AL138" s="7">
        <v>5.8</v>
      </c>
      <c r="AM138" s="7">
        <v>5</v>
      </c>
      <c r="AN138" s="7">
        <v>60.4</v>
      </c>
      <c r="AO138" s="7">
        <v>61.7</v>
      </c>
      <c r="AP138" s="7">
        <v>16.600000000000001</v>
      </c>
      <c r="AQ138" s="7">
        <v>102.23</v>
      </c>
      <c r="AR138" s="7">
        <v>8.9</v>
      </c>
      <c r="AS138" s="7">
        <v>3420</v>
      </c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1"/>
    </row>
    <row r="139" spans="1:70" ht="13">
      <c r="A139" s="6" t="s">
        <v>315</v>
      </c>
      <c r="B139" s="6" t="s">
        <v>316</v>
      </c>
      <c r="C139" s="7">
        <v>24</v>
      </c>
      <c r="D139" s="7">
        <v>79</v>
      </c>
      <c r="E139" s="7">
        <v>25</v>
      </c>
      <c r="F139" s="7">
        <v>54</v>
      </c>
      <c r="G139" s="7">
        <v>25.7</v>
      </c>
      <c r="H139" s="8">
        <v>751</v>
      </c>
      <c r="I139" s="9">
        <v>245</v>
      </c>
      <c r="J139" s="9">
        <v>616</v>
      </c>
      <c r="K139" s="8">
        <v>39.700000000000003</v>
      </c>
      <c r="L139" s="9">
        <v>119</v>
      </c>
      <c r="M139" s="9">
        <v>363</v>
      </c>
      <c r="N139" s="8">
        <v>33.700000000000003</v>
      </c>
      <c r="O139" s="8">
        <v>134</v>
      </c>
      <c r="P139" s="8">
        <v>166</v>
      </c>
      <c r="Q139" s="8">
        <v>81.8</v>
      </c>
      <c r="R139" s="9">
        <v>71</v>
      </c>
      <c r="S139" s="9">
        <v>198</v>
      </c>
      <c r="T139" s="9">
        <v>269</v>
      </c>
      <c r="U139" s="9">
        <v>142</v>
      </c>
      <c r="V139" s="9">
        <v>79</v>
      </c>
      <c r="W139" s="9">
        <v>40</v>
      </c>
      <c r="X139" s="9">
        <v>8</v>
      </c>
      <c r="Y139" s="9">
        <v>166</v>
      </c>
      <c r="Z139" s="8">
        <v>1343</v>
      </c>
      <c r="AA139" s="8">
        <v>0</v>
      </c>
      <c r="AB139" s="8">
        <v>0</v>
      </c>
      <c r="AC139" s="7">
        <v>-3.3</v>
      </c>
      <c r="AD139" s="7">
        <v>106.9</v>
      </c>
      <c r="AE139" s="7">
        <v>113.7</v>
      </c>
      <c r="AF139" s="7">
        <v>-6.7</v>
      </c>
      <c r="AG139" s="7">
        <v>11</v>
      </c>
      <c r="AH139" s="7">
        <v>1.84</v>
      </c>
      <c r="AI139" s="7">
        <v>15.9</v>
      </c>
      <c r="AJ139" s="7">
        <v>3.5</v>
      </c>
      <c r="AK139" s="7">
        <v>10.199999999999999</v>
      </c>
      <c r="AL139" s="7">
        <v>6.7</v>
      </c>
      <c r="AM139" s="7">
        <v>8.6</v>
      </c>
      <c r="AN139" s="7">
        <v>49.5</v>
      </c>
      <c r="AO139" s="7">
        <v>54.1</v>
      </c>
      <c r="AP139" s="7">
        <v>16.100000000000001</v>
      </c>
      <c r="AQ139" s="7">
        <v>97.23</v>
      </c>
      <c r="AR139" s="7">
        <v>6.5</v>
      </c>
      <c r="AS139" s="7">
        <v>4122</v>
      </c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1"/>
    </row>
    <row r="140" spans="1:70" ht="13">
      <c r="A140" s="6" t="s">
        <v>317</v>
      </c>
      <c r="B140" s="6" t="s">
        <v>318</v>
      </c>
      <c r="C140" s="7">
        <v>29</v>
      </c>
      <c r="D140" s="7">
        <v>51</v>
      </c>
      <c r="E140" s="7">
        <v>33</v>
      </c>
      <c r="F140" s="7">
        <v>18</v>
      </c>
      <c r="G140" s="7">
        <v>28.4</v>
      </c>
      <c r="H140" s="8">
        <v>750</v>
      </c>
      <c r="I140" s="9">
        <v>265</v>
      </c>
      <c r="J140" s="9">
        <v>495</v>
      </c>
      <c r="K140" s="8">
        <v>53.1</v>
      </c>
      <c r="L140" s="9">
        <v>77</v>
      </c>
      <c r="M140" s="9">
        <v>173</v>
      </c>
      <c r="N140" s="8">
        <v>43.6</v>
      </c>
      <c r="O140" s="8">
        <v>143</v>
      </c>
      <c r="P140" s="8">
        <v>179</v>
      </c>
      <c r="Q140" s="8">
        <v>81</v>
      </c>
      <c r="R140" s="9">
        <v>82</v>
      </c>
      <c r="S140" s="9">
        <v>168</v>
      </c>
      <c r="T140" s="9">
        <v>245</v>
      </c>
      <c r="U140" s="9">
        <v>163</v>
      </c>
      <c r="V140" s="9">
        <v>71</v>
      </c>
      <c r="W140" s="9">
        <v>26</v>
      </c>
      <c r="X140" s="9">
        <v>15</v>
      </c>
      <c r="Y140" s="9">
        <v>82</v>
      </c>
      <c r="Z140" s="8">
        <v>1326</v>
      </c>
      <c r="AA140" s="8">
        <v>3</v>
      </c>
      <c r="AB140" s="8">
        <v>0</v>
      </c>
      <c r="AC140" s="7">
        <v>5.9</v>
      </c>
      <c r="AD140" s="7">
        <v>122.5</v>
      </c>
      <c r="AE140" s="7">
        <v>113</v>
      </c>
      <c r="AF140" s="7">
        <v>9.5</v>
      </c>
      <c r="AG140" s="7">
        <v>14.3</v>
      </c>
      <c r="AH140" s="7">
        <v>2.25</v>
      </c>
      <c r="AI140" s="7">
        <v>20.100000000000001</v>
      </c>
      <c r="AJ140" s="7">
        <v>6</v>
      </c>
      <c r="AK140" s="7">
        <v>10.9</v>
      </c>
      <c r="AL140" s="7">
        <v>8.6</v>
      </c>
      <c r="AM140" s="7">
        <v>9</v>
      </c>
      <c r="AN140" s="7">
        <v>60.7</v>
      </c>
      <c r="AO140" s="7">
        <v>65</v>
      </c>
      <c r="AP140" s="7">
        <v>18.600000000000001</v>
      </c>
      <c r="AQ140" s="7">
        <v>101.64</v>
      </c>
      <c r="AR140" s="7">
        <v>10.4</v>
      </c>
      <c r="AS140" s="7">
        <v>3068</v>
      </c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1"/>
    </row>
    <row r="141" spans="1:70" ht="13">
      <c r="A141" s="6" t="s">
        <v>319</v>
      </c>
      <c r="B141" s="6" t="s">
        <v>320</v>
      </c>
      <c r="C141" s="7">
        <v>22</v>
      </c>
      <c r="D141" s="7">
        <v>78</v>
      </c>
      <c r="E141" s="7">
        <v>40</v>
      </c>
      <c r="F141" s="7">
        <v>38</v>
      </c>
      <c r="G141" s="7">
        <v>27.3</v>
      </c>
      <c r="H141" s="8">
        <v>749</v>
      </c>
      <c r="I141" s="9">
        <v>250</v>
      </c>
      <c r="J141" s="9">
        <v>593</v>
      </c>
      <c r="K141" s="8">
        <v>42.7</v>
      </c>
      <c r="L141" s="9">
        <v>117</v>
      </c>
      <c r="M141" s="9">
        <v>312</v>
      </c>
      <c r="N141" s="8">
        <v>36.6</v>
      </c>
      <c r="O141" s="8">
        <v>133</v>
      </c>
      <c r="P141" s="8">
        <v>148</v>
      </c>
      <c r="Q141" s="8">
        <v>85.5</v>
      </c>
      <c r="R141" s="9">
        <v>39</v>
      </c>
      <c r="S141" s="9">
        <v>218</v>
      </c>
      <c r="T141" s="9">
        <v>257</v>
      </c>
      <c r="U141" s="9">
        <v>148</v>
      </c>
      <c r="V141" s="9">
        <v>86</v>
      </c>
      <c r="W141" s="9">
        <v>62</v>
      </c>
      <c r="X141" s="9">
        <v>31</v>
      </c>
      <c r="Y141" s="9">
        <v>117</v>
      </c>
      <c r="Z141" s="8">
        <v>1474</v>
      </c>
      <c r="AA141" s="8">
        <v>0</v>
      </c>
      <c r="AB141" s="8">
        <v>0</v>
      </c>
      <c r="AC141" s="7">
        <v>-1.1000000000000001</v>
      </c>
      <c r="AD141" s="7">
        <v>112.6</v>
      </c>
      <c r="AE141" s="7">
        <v>114.3</v>
      </c>
      <c r="AF141" s="7">
        <v>-1.7</v>
      </c>
      <c r="AG141" s="7">
        <v>9.3000000000000007</v>
      </c>
      <c r="AH141" s="7">
        <v>1.66</v>
      </c>
      <c r="AI141" s="7">
        <v>16.399999999999999</v>
      </c>
      <c r="AJ141" s="7">
        <v>1.9</v>
      </c>
      <c r="AK141" s="7">
        <v>10.199999999999999</v>
      </c>
      <c r="AL141" s="7">
        <v>6.1</v>
      </c>
      <c r="AM141" s="7">
        <v>9.9</v>
      </c>
      <c r="AN141" s="7">
        <v>52.5</v>
      </c>
      <c r="AO141" s="7">
        <v>57</v>
      </c>
      <c r="AP141" s="7">
        <v>15</v>
      </c>
      <c r="AQ141" s="7">
        <v>100.27</v>
      </c>
      <c r="AR141" s="7">
        <v>6.9</v>
      </c>
      <c r="AS141" s="7">
        <v>4440</v>
      </c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1"/>
    </row>
    <row r="142" spans="1:70" ht="13">
      <c r="A142" s="6" t="s">
        <v>321</v>
      </c>
      <c r="B142" s="6" t="s">
        <v>322</v>
      </c>
      <c r="C142" s="7">
        <v>22</v>
      </c>
      <c r="D142" s="7">
        <v>64</v>
      </c>
      <c r="E142" s="7">
        <v>38</v>
      </c>
      <c r="F142" s="7">
        <v>26</v>
      </c>
      <c r="G142" s="7">
        <v>26.8</v>
      </c>
      <c r="H142" s="8">
        <v>749</v>
      </c>
      <c r="I142" s="9">
        <v>282</v>
      </c>
      <c r="J142" s="9">
        <v>627</v>
      </c>
      <c r="K142" s="8">
        <v>44.5</v>
      </c>
      <c r="L142" s="9">
        <v>115</v>
      </c>
      <c r="M142" s="9">
        <v>307</v>
      </c>
      <c r="N142" s="8">
        <v>37.200000000000003</v>
      </c>
      <c r="O142" s="8">
        <v>70</v>
      </c>
      <c r="P142" s="8">
        <v>96</v>
      </c>
      <c r="Q142" s="8">
        <v>75.8</v>
      </c>
      <c r="R142" s="9">
        <v>64</v>
      </c>
      <c r="S142" s="9">
        <v>262</v>
      </c>
      <c r="T142" s="9">
        <v>326</v>
      </c>
      <c r="U142" s="9">
        <v>218</v>
      </c>
      <c r="V142" s="9">
        <v>77</v>
      </c>
      <c r="W142" s="9">
        <v>70</v>
      </c>
      <c r="X142" s="9">
        <v>13</v>
      </c>
      <c r="Y142" s="9">
        <v>96</v>
      </c>
      <c r="Z142" s="8">
        <v>1638</v>
      </c>
      <c r="AA142" s="8">
        <v>2</v>
      </c>
      <c r="AB142" s="8">
        <v>0</v>
      </c>
      <c r="AC142" s="7">
        <v>4.0999999999999996</v>
      </c>
      <c r="AD142" s="7">
        <v>111.6</v>
      </c>
      <c r="AE142" s="7">
        <v>105.1</v>
      </c>
      <c r="AF142" s="7">
        <v>6.6</v>
      </c>
      <c r="AG142" s="7">
        <v>19.399999999999999</v>
      </c>
      <c r="AH142" s="7">
        <v>2.93</v>
      </c>
      <c r="AI142" s="7">
        <v>22.8</v>
      </c>
      <c r="AJ142" s="7">
        <v>3.4</v>
      </c>
      <c r="AK142" s="7">
        <v>15.1</v>
      </c>
      <c r="AL142" s="7">
        <v>8.9</v>
      </c>
      <c r="AM142" s="7">
        <v>7.8</v>
      </c>
      <c r="AN142" s="7">
        <v>53.7</v>
      </c>
      <c r="AO142" s="7">
        <v>55.7</v>
      </c>
      <c r="AP142" s="7">
        <v>17.7</v>
      </c>
      <c r="AQ142" s="7">
        <v>100.36</v>
      </c>
      <c r="AR142" s="7">
        <v>11.4</v>
      </c>
      <c r="AS142" s="7">
        <v>3600</v>
      </c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1"/>
    </row>
    <row r="143" spans="1:70" ht="13">
      <c r="A143" s="6" t="s">
        <v>323</v>
      </c>
      <c r="B143" s="6" t="s">
        <v>324</v>
      </c>
      <c r="C143" s="7">
        <v>24</v>
      </c>
      <c r="D143" s="7">
        <v>30</v>
      </c>
      <c r="E143" s="7">
        <v>10</v>
      </c>
      <c r="F143" s="7">
        <v>20</v>
      </c>
      <c r="G143" s="7">
        <v>28.6</v>
      </c>
      <c r="H143" s="8">
        <v>738</v>
      </c>
      <c r="I143" s="9">
        <v>288</v>
      </c>
      <c r="J143" s="9">
        <v>507</v>
      </c>
      <c r="K143" s="8">
        <v>56.7</v>
      </c>
      <c r="L143" s="9">
        <v>3</v>
      </c>
      <c r="M143" s="9">
        <v>12</v>
      </c>
      <c r="N143" s="8">
        <v>23.1</v>
      </c>
      <c r="O143" s="8">
        <v>159</v>
      </c>
      <c r="P143" s="8">
        <v>240</v>
      </c>
      <c r="Q143" s="8">
        <v>65.599999999999994</v>
      </c>
      <c r="R143" s="9">
        <v>75</v>
      </c>
      <c r="S143" s="9">
        <v>141</v>
      </c>
      <c r="T143" s="9">
        <v>216</v>
      </c>
      <c r="U143" s="9">
        <v>159</v>
      </c>
      <c r="V143" s="9">
        <v>90</v>
      </c>
      <c r="W143" s="9">
        <v>36</v>
      </c>
      <c r="X143" s="9">
        <v>27</v>
      </c>
      <c r="Y143" s="9">
        <v>81</v>
      </c>
      <c r="Z143" s="8">
        <v>1338</v>
      </c>
      <c r="AA143" s="8">
        <v>8</v>
      </c>
      <c r="AB143" s="8">
        <v>2</v>
      </c>
      <c r="AC143" s="7">
        <v>-1.4</v>
      </c>
      <c r="AD143" s="7">
        <v>113.7</v>
      </c>
      <c r="AE143" s="7">
        <v>115.5</v>
      </c>
      <c r="AF143" s="7">
        <v>-1.8</v>
      </c>
      <c r="AG143" s="7">
        <v>32.5</v>
      </c>
      <c r="AH143" s="7">
        <v>1.77</v>
      </c>
      <c r="AI143" s="7">
        <v>18.5</v>
      </c>
      <c r="AJ143" s="7">
        <v>8</v>
      </c>
      <c r="AK143" s="7">
        <v>15.2</v>
      </c>
      <c r="AL143" s="7">
        <v>11.6</v>
      </c>
      <c r="AM143" s="7">
        <v>10.5</v>
      </c>
      <c r="AN143" s="7">
        <v>57</v>
      </c>
      <c r="AO143" s="7">
        <v>60</v>
      </c>
      <c r="AP143" s="7">
        <v>32.5</v>
      </c>
      <c r="AQ143" s="7">
        <v>103.3</v>
      </c>
      <c r="AR143" s="7">
        <v>16.7</v>
      </c>
      <c r="AS143" s="7">
        <v>1841</v>
      </c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1"/>
    </row>
    <row r="144" spans="1:70" ht="13">
      <c r="A144" s="6" t="s">
        <v>325</v>
      </c>
      <c r="B144" s="6" t="s">
        <v>326</v>
      </c>
      <c r="C144" s="7">
        <v>21</v>
      </c>
      <c r="D144" s="7">
        <v>78</v>
      </c>
      <c r="E144" s="7">
        <v>39</v>
      </c>
      <c r="F144" s="7">
        <v>39</v>
      </c>
      <c r="G144" s="7">
        <v>24.2</v>
      </c>
      <c r="H144" s="8">
        <v>733</v>
      </c>
      <c r="I144" s="9">
        <v>265</v>
      </c>
      <c r="J144" s="9">
        <v>616</v>
      </c>
      <c r="K144" s="8">
        <v>42.3</v>
      </c>
      <c r="L144" s="9">
        <v>62</v>
      </c>
      <c r="M144" s="9">
        <v>195</v>
      </c>
      <c r="N144" s="8">
        <v>31.8</v>
      </c>
      <c r="O144" s="8">
        <v>148</v>
      </c>
      <c r="P144" s="8">
        <v>195</v>
      </c>
      <c r="Q144" s="8">
        <v>76.099999999999994</v>
      </c>
      <c r="R144" s="9">
        <v>55</v>
      </c>
      <c r="S144" s="9">
        <v>179</v>
      </c>
      <c r="T144" s="9">
        <v>226</v>
      </c>
      <c r="U144" s="9">
        <v>242</v>
      </c>
      <c r="V144" s="9">
        <v>140</v>
      </c>
      <c r="W144" s="9">
        <v>86</v>
      </c>
      <c r="X144" s="9">
        <v>47</v>
      </c>
      <c r="Y144" s="9">
        <v>164</v>
      </c>
      <c r="Z144" s="8">
        <v>1638</v>
      </c>
      <c r="AA144" s="8">
        <v>1</v>
      </c>
      <c r="AB144" s="8">
        <v>0</v>
      </c>
      <c r="AC144" s="7">
        <v>-0.5</v>
      </c>
      <c r="AD144" s="7">
        <v>106.2</v>
      </c>
      <c r="AE144" s="7">
        <v>107.1</v>
      </c>
      <c r="AF144" s="7">
        <v>-0.9</v>
      </c>
      <c r="AG144" s="7">
        <v>20.100000000000001</v>
      </c>
      <c r="AH144" s="7">
        <v>1.73</v>
      </c>
      <c r="AI144" s="7">
        <v>22.2</v>
      </c>
      <c r="AJ144" s="7">
        <v>2.6</v>
      </c>
      <c r="AK144" s="7">
        <v>10</v>
      </c>
      <c r="AL144" s="7">
        <v>6.1</v>
      </c>
      <c r="AM144" s="7">
        <v>12.8</v>
      </c>
      <c r="AN144" s="7">
        <v>47.3</v>
      </c>
      <c r="AO144" s="7">
        <v>52.1</v>
      </c>
      <c r="AP144" s="7">
        <v>19</v>
      </c>
      <c r="AQ144" s="7">
        <v>97.83</v>
      </c>
      <c r="AR144" s="7">
        <v>8.4</v>
      </c>
      <c r="AS144" s="7">
        <v>3844</v>
      </c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1"/>
    </row>
    <row r="145" spans="1:70" ht="13">
      <c r="A145" s="6" t="s">
        <v>327</v>
      </c>
      <c r="B145" s="6" t="s">
        <v>328</v>
      </c>
      <c r="C145" s="7">
        <v>29</v>
      </c>
      <c r="D145" s="7">
        <v>58</v>
      </c>
      <c r="E145" s="7">
        <v>26</v>
      </c>
      <c r="F145" s="7">
        <v>32</v>
      </c>
      <c r="G145" s="7">
        <v>25.5</v>
      </c>
      <c r="H145" s="8">
        <v>731</v>
      </c>
      <c r="I145" s="9">
        <v>249</v>
      </c>
      <c r="J145" s="9">
        <v>638</v>
      </c>
      <c r="K145" s="8">
        <v>39</v>
      </c>
      <c r="L145" s="9">
        <v>110</v>
      </c>
      <c r="M145" s="9">
        <v>360</v>
      </c>
      <c r="N145" s="8">
        <v>31.4</v>
      </c>
      <c r="O145" s="8">
        <v>122</v>
      </c>
      <c r="P145" s="8">
        <v>145</v>
      </c>
      <c r="Q145" s="8">
        <v>83.4</v>
      </c>
      <c r="R145" s="9">
        <v>17</v>
      </c>
      <c r="S145" s="9">
        <v>139</v>
      </c>
      <c r="T145" s="9">
        <v>162</v>
      </c>
      <c r="U145" s="9">
        <v>296</v>
      </c>
      <c r="V145" s="9">
        <v>110</v>
      </c>
      <c r="W145" s="9">
        <v>58</v>
      </c>
      <c r="X145" s="9">
        <v>23</v>
      </c>
      <c r="Y145" s="9">
        <v>116</v>
      </c>
      <c r="Z145" s="8">
        <v>1502</v>
      </c>
      <c r="AA145" s="8">
        <v>4</v>
      </c>
      <c r="AB145" s="8">
        <v>0</v>
      </c>
      <c r="AC145" s="7">
        <v>0</v>
      </c>
      <c r="AD145" s="7">
        <v>110.1</v>
      </c>
      <c r="AE145" s="7">
        <v>111.6</v>
      </c>
      <c r="AF145" s="7">
        <v>-1.5</v>
      </c>
      <c r="AG145" s="7">
        <v>30.2</v>
      </c>
      <c r="AH145" s="7">
        <v>2.75</v>
      </c>
      <c r="AI145" s="7">
        <v>26.9</v>
      </c>
      <c r="AJ145" s="7">
        <v>1.3</v>
      </c>
      <c r="AK145" s="7">
        <v>9.3000000000000007</v>
      </c>
      <c r="AL145" s="7">
        <v>5.3</v>
      </c>
      <c r="AM145" s="7">
        <v>9.8000000000000007</v>
      </c>
      <c r="AN145" s="7">
        <v>47.9</v>
      </c>
      <c r="AO145" s="7">
        <v>52.2</v>
      </c>
      <c r="AP145" s="7">
        <v>22.8</v>
      </c>
      <c r="AQ145" s="7">
        <v>99.59</v>
      </c>
      <c r="AR145" s="7">
        <v>9.8000000000000007</v>
      </c>
      <c r="AS145" s="7">
        <v>3092</v>
      </c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1"/>
    </row>
    <row r="146" spans="1:70" ht="13">
      <c r="A146" s="6" t="s">
        <v>329</v>
      </c>
      <c r="B146" s="6" t="s">
        <v>330</v>
      </c>
      <c r="C146" s="7">
        <v>20</v>
      </c>
      <c r="D146" s="7">
        <v>59</v>
      </c>
      <c r="E146" s="7">
        <v>13</v>
      </c>
      <c r="F146" s="7">
        <v>46</v>
      </c>
      <c r="G146" s="7">
        <v>33</v>
      </c>
      <c r="H146" s="8">
        <v>726</v>
      </c>
      <c r="I146" s="9">
        <v>266</v>
      </c>
      <c r="J146" s="9">
        <v>625</v>
      </c>
      <c r="K146" s="8">
        <v>42.1</v>
      </c>
      <c r="L146" s="9">
        <v>65</v>
      </c>
      <c r="M146" s="9">
        <v>224</v>
      </c>
      <c r="N146" s="8">
        <v>28.1</v>
      </c>
      <c r="O146" s="8">
        <v>136</v>
      </c>
      <c r="P146" s="8">
        <v>183</v>
      </c>
      <c r="Q146" s="8">
        <v>74.599999999999994</v>
      </c>
      <c r="R146" s="9">
        <v>89</v>
      </c>
      <c r="S146" s="9">
        <v>201</v>
      </c>
      <c r="T146" s="9">
        <v>295</v>
      </c>
      <c r="U146" s="9">
        <v>201</v>
      </c>
      <c r="V146" s="9">
        <v>124</v>
      </c>
      <c r="W146" s="9">
        <v>77</v>
      </c>
      <c r="X146" s="9">
        <v>41</v>
      </c>
      <c r="Y146" s="9">
        <v>142</v>
      </c>
      <c r="Z146" s="8">
        <v>1611</v>
      </c>
      <c r="AA146" s="8">
        <v>3</v>
      </c>
      <c r="AB146" s="8">
        <v>1</v>
      </c>
      <c r="AC146" s="7">
        <v>-9.9</v>
      </c>
      <c r="AD146" s="7">
        <v>104.5</v>
      </c>
      <c r="AE146" s="7">
        <v>118.3</v>
      </c>
      <c r="AF146" s="7">
        <v>-13.8</v>
      </c>
      <c r="AG146" s="7">
        <v>15</v>
      </c>
      <c r="AH146" s="7">
        <v>1.59</v>
      </c>
      <c r="AI146" s="7">
        <v>19.399999999999999</v>
      </c>
      <c r="AJ146" s="7">
        <v>4.3</v>
      </c>
      <c r="AK146" s="7">
        <v>9.8000000000000007</v>
      </c>
      <c r="AL146" s="7">
        <v>7</v>
      </c>
      <c r="AM146" s="7">
        <v>12.2</v>
      </c>
      <c r="AN146" s="7">
        <v>47.2</v>
      </c>
      <c r="AO146" s="7">
        <v>51.5</v>
      </c>
      <c r="AP146" s="7">
        <v>17.5</v>
      </c>
      <c r="AQ146" s="7">
        <v>103.22</v>
      </c>
      <c r="AR146" s="7">
        <v>7</v>
      </c>
      <c r="AS146" s="7">
        <v>4183</v>
      </c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1"/>
    </row>
    <row r="147" spans="1:70" ht="13">
      <c r="A147" s="6" t="s">
        <v>331</v>
      </c>
      <c r="B147" s="6" t="s">
        <v>332</v>
      </c>
      <c r="C147" s="7">
        <v>23</v>
      </c>
      <c r="D147" s="7">
        <v>74</v>
      </c>
      <c r="E147" s="7">
        <v>45</v>
      </c>
      <c r="F147" s="7">
        <v>29</v>
      </c>
      <c r="G147" s="7">
        <v>22.3</v>
      </c>
      <c r="H147" s="8">
        <v>725</v>
      </c>
      <c r="I147" s="9">
        <v>244</v>
      </c>
      <c r="J147" s="9">
        <v>570</v>
      </c>
      <c r="K147" s="8">
        <v>43.3</v>
      </c>
      <c r="L147" s="9">
        <v>126</v>
      </c>
      <c r="M147" s="9">
        <v>340</v>
      </c>
      <c r="N147" s="8">
        <v>37.4</v>
      </c>
      <c r="O147" s="8">
        <v>104</v>
      </c>
      <c r="P147" s="8">
        <v>133</v>
      </c>
      <c r="Q147" s="8">
        <v>79.7</v>
      </c>
      <c r="R147" s="9">
        <v>52</v>
      </c>
      <c r="S147" s="9">
        <v>141</v>
      </c>
      <c r="T147" s="9">
        <v>192</v>
      </c>
      <c r="U147" s="9">
        <v>96</v>
      </c>
      <c r="V147" s="9">
        <v>52</v>
      </c>
      <c r="W147" s="9">
        <v>59</v>
      </c>
      <c r="X147" s="9">
        <v>30</v>
      </c>
      <c r="Y147" s="9">
        <v>118</v>
      </c>
      <c r="Z147" s="8">
        <v>1310</v>
      </c>
      <c r="AA147" s="8">
        <v>0</v>
      </c>
      <c r="AB147" s="8">
        <v>0</v>
      </c>
      <c r="AC147" s="7">
        <v>1.8</v>
      </c>
      <c r="AD147" s="7">
        <v>113.2</v>
      </c>
      <c r="AE147" s="7">
        <v>108.9</v>
      </c>
      <c r="AF147" s="7">
        <v>4.3</v>
      </c>
      <c r="AG147" s="7">
        <v>8.4</v>
      </c>
      <c r="AH147" s="7">
        <v>1.78</v>
      </c>
      <c r="AI147" s="7">
        <v>12.4</v>
      </c>
      <c r="AJ147" s="7">
        <v>2.9</v>
      </c>
      <c r="AK147" s="7">
        <v>8.4</v>
      </c>
      <c r="AL147" s="7">
        <v>5.6</v>
      </c>
      <c r="AM147" s="7">
        <v>7</v>
      </c>
      <c r="AN147" s="7">
        <v>54.4</v>
      </c>
      <c r="AO147" s="7">
        <v>57.8</v>
      </c>
      <c r="AP147" s="7">
        <v>17</v>
      </c>
      <c r="AQ147" s="7">
        <v>100.74</v>
      </c>
      <c r="AR147" s="7">
        <v>7.6</v>
      </c>
      <c r="AS147" s="7">
        <v>3454</v>
      </c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1"/>
    </row>
    <row r="148" spans="1:70" ht="13">
      <c r="A148" s="6" t="s">
        <v>333</v>
      </c>
      <c r="B148" s="6" t="s">
        <v>334</v>
      </c>
      <c r="C148" s="7">
        <v>28</v>
      </c>
      <c r="D148" s="7">
        <v>62</v>
      </c>
      <c r="E148" s="7">
        <v>37</v>
      </c>
      <c r="F148" s="7">
        <v>25</v>
      </c>
      <c r="G148" s="7">
        <v>25.9</v>
      </c>
      <c r="H148" s="8">
        <v>725</v>
      </c>
      <c r="I148" s="9">
        <v>248</v>
      </c>
      <c r="J148" s="9">
        <v>595</v>
      </c>
      <c r="K148" s="8">
        <v>42.2</v>
      </c>
      <c r="L148" s="9">
        <v>174</v>
      </c>
      <c r="M148" s="9">
        <v>440</v>
      </c>
      <c r="N148" s="8">
        <v>39.700000000000003</v>
      </c>
      <c r="O148" s="8">
        <v>50</v>
      </c>
      <c r="P148" s="8">
        <v>62</v>
      </c>
      <c r="Q148" s="8">
        <v>77.8</v>
      </c>
      <c r="R148" s="9">
        <v>31</v>
      </c>
      <c r="S148" s="9">
        <v>198</v>
      </c>
      <c r="T148" s="9">
        <v>229</v>
      </c>
      <c r="U148" s="9">
        <v>223</v>
      </c>
      <c r="V148" s="9">
        <v>99</v>
      </c>
      <c r="W148" s="9">
        <v>74</v>
      </c>
      <c r="X148" s="9">
        <v>19</v>
      </c>
      <c r="Y148" s="9">
        <v>112</v>
      </c>
      <c r="Z148" s="8">
        <v>1507</v>
      </c>
      <c r="AA148" s="8">
        <v>1</v>
      </c>
      <c r="AB148" s="8">
        <v>0</v>
      </c>
      <c r="AC148" s="7">
        <v>2.8</v>
      </c>
      <c r="AD148" s="7">
        <v>114.2</v>
      </c>
      <c r="AE148" s="7">
        <v>109.1</v>
      </c>
      <c r="AF148" s="7">
        <v>5.0999999999999996</v>
      </c>
      <c r="AG148" s="7">
        <v>20.3</v>
      </c>
      <c r="AH148" s="7">
        <v>2.27</v>
      </c>
      <c r="AI148" s="7">
        <v>23.8</v>
      </c>
      <c r="AJ148" s="7">
        <v>2</v>
      </c>
      <c r="AK148" s="7">
        <v>11.5</v>
      </c>
      <c r="AL148" s="7">
        <v>6.8</v>
      </c>
      <c r="AM148" s="7">
        <v>10.5</v>
      </c>
      <c r="AN148" s="7">
        <v>56.8</v>
      </c>
      <c r="AO148" s="7">
        <v>58.2</v>
      </c>
      <c r="AP148" s="7">
        <v>18.8</v>
      </c>
      <c r="AQ148" s="7">
        <v>100.17</v>
      </c>
      <c r="AR148" s="7">
        <v>10</v>
      </c>
      <c r="AS148" s="7">
        <v>3352</v>
      </c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1"/>
    </row>
    <row r="149" spans="1:70" ht="13">
      <c r="A149" s="6" t="s">
        <v>335</v>
      </c>
      <c r="B149" s="6" t="s">
        <v>336</v>
      </c>
      <c r="C149" s="7">
        <v>40</v>
      </c>
      <c r="D149" s="7">
        <v>82</v>
      </c>
      <c r="E149" s="7">
        <v>34</v>
      </c>
      <c r="F149" s="7">
        <v>48</v>
      </c>
      <c r="G149" s="7">
        <v>28</v>
      </c>
      <c r="H149" s="8">
        <v>722</v>
      </c>
      <c r="I149" s="9">
        <v>246</v>
      </c>
      <c r="J149" s="9">
        <v>582</v>
      </c>
      <c r="K149" s="8">
        <v>42.7</v>
      </c>
      <c r="L149" s="9">
        <v>139</v>
      </c>
      <c r="M149" s="9">
        <v>369</v>
      </c>
      <c r="N149" s="8">
        <v>37.700000000000003</v>
      </c>
      <c r="O149" s="8">
        <v>82</v>
      </c>
      <c r="P149" s="8">
        <v>90</v>
      </c>
      <c r="Q149" s="8">
        <v>92.4</v>
      </c>
      <c r="R149" s="9">
        <v>33</v>
      </c>
      <c r="S149" s="9">
        <v>262</v>
      </c>
      <c r="T149" s="9">
        <v>295</v>
      </c>
      <c r="U149" s="9">
        <v>607</v>
      </c>
      <c r="V149" s="9">
        <v>131</v>
      </c>
      <c r="W149" s="9">
        <v>107</v>
      </c>
      <c r="X149" s="9">
        <v>25</v>
      </c>
      <c r="Y149" s="9">
        <v>148</v>
      </c>
      <c r="Z149" s="8">
        <v>2230</v>
      </c>
      <c r="AA149" s="8">
        <v>12</v>
      </c>
      <c r="AB149" s="8">
        <v>0</v>
      </c>
      <c r="AC149" s="7">
        <v>0</v>
      </c>
      <c r="AD149" s="7">
        <v>114.2</v>
      </c>
      <c r="AE149" s="7">
        <v>115</v>
      </c>
      <c r="AF149" s="7">
        <v>-0.8</v>
      </c>
      <c r="AG149" s="7">
        <v>34.200000000000003</v>
      </c>
      <c r="AH149" s="7">
        <v>4.6900000000000004</v>
      </c>
      <c r="AI149" s="7">
        <v>45</v>
      </c>
      <c r="AJ149" s="7">
        <v>1.4</v>
      </c>
      <c r="AK149" s="7">
        <v>11</v>
      </c>
      <c r="AL149" s="7">
        <v>6.2</v>
      </c>
      <c r="AM149" s="7">
        <v>9.6</v>
      </c>
      <c r="AN149" s="7">
        <v>54.7</v>
      </c>
      <c r="AO149" s="7">
        <v>58</v>
      </c>
      <c r="AP149" s="7">
        <v>13.7</v>
      </c>
      <c r="AQ149" s="7">
        <v>100.48</v>
      </c>
      <c r="AR149" s="7">
        <v>10.199999999999999</v>
      </c>
      <c r="AS149" s="7">
        <v>4817</v>
      </c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1"/>
    </row>
    <row r="150" spans="1:70" ht="13">
      <c r="A150" s="6" t="s">
        <v>337</v>
      </c>
      <c r="B150" s="6" t="s">
        <v>338</v>
      </c>
      <c r="C150" s="7">
        <v>26</v>
      </c>
      <c r="D150" s="7">
        <v>70</v>
      </c>
      <c r="E150" s="7">
        <v>20</v>
      </c>
      <c r="F150" s="7">
        <v>50</v>
      </c>
      <c r="G150" s="7">
        <v>26.9</v>
      </c>
      <c r="H150" s="8">
        <v>721</v>
      </c>
      <c r="I150" s="9">
        <v>322</v>
      </c>
      <c r="J150" s="9">
        <v>567</v>
      </c>
      <c r="K150" s="8">
        <v>56.3</v>
      </c>
      <c r="L150" s="9">
        <v>7</v>
      </c>
      <c r="M150" s="9">
        <v>21</v>
      </c>
      <c r="N150" s="8">
        <v>23.8</v>
      </c>
      <c r="O150" s="8">
        <v>77</v>
      </c>
      <c r="P150" s="8">
        <v>154</v>
      </c>
      <c r="Q150" s="8">
        <v>51.3</v>
      </c>
      <c r="R150" s="9">
        <v>154</v>
      </c>
      <c r="S150" s="9">
        <v>357</v>
      </c>
      <c r="T150" s="9">
        <v>518</v>
      </c>
      <c r="U150" s="9">
        <v>154</v>
      </c>
      <c r="V150" s="9">
        <v>84</v>
      </c>
      <c r="W150" s="9">
        <v>63</v>
      </c>
      <c r="X150" s="9">
        <v>98</v>
      </c>
      <c r="Y150" s="9">
        <v>147</v>
      </c>
      <c r="Z150" s="8">
        <v>1974</v>
      </c>
      <c r="AA150" s="8">
        <v>13</v>
      </c>
      <c r="AB150" s="8">
        <v>0</v>
      </c>
      <c r="AC150" s="7">
        <v>-7.1</v>
      </c>
      <c r="AD150" s="7">
        <v>103.6</v>
      </c>
      <c r="AE150" s="7">
        <v>116.2</v>
      </c>
      <c r="AF150" s="7">
        <v>-12.6</v>
      </c>
      <c r="AG150" s="7">
        <v>14</v>
      </c>
      <c r="AH150" s="7">
        <v>1.8</v>
      </c>
      <c r="AI150" s="7">
        <v>17.899999999999999</v>
      </c>
      <c r="AJ150" s="7">
        <v>8</v>
      </c>
      <c r="AK150" s="7">
        <v>19.8</v>
      </c>
      <c r="AL150" s="7">
        <v>13.7</v>
      </c>
      <c r="AM150" s="7">
        <v>9.9</v>
      </c>
      <c r="AN150" s="7">
        <v>56.8</v>
      </c>
      <c r="AO150" s="7">
        <v>56.9</v>
      </c>
      <c r="AP150" s="7">
        <v>16.600000000000001</v>
      </c>
      <c r="AQ150" s="7">
        <v>97.38</v>
      </c>
      <c r="AR150" s="7">
        <v>11.5</v>
      </c>
      <c r="AS150" s="7">
        <v>3811</v>
      </c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1"/>
    </row>
    <row r="151" spans="1:70" ht="13">
      <c r="A151" s="6" t="s">
        <v>339</v>
      </c>
      <c r="B151" s="6" t="s">
        <v>340</v>
      </c>
      <c r="C151" s="7">
        <v>22</v>
      </c>
      <c r="D151" s="7">
        <v>47</v>
      </c>
      <c r="E151" s="7">
        <v>28</v>
      </c>
      <c r="F151" s="7">
        <v>19</v>
      </c>
      <c r="G151" s="7">
        <v>24.3</v>
      </c>
      <c r="H151" s="8">
        <v>719</v>
      </c>
      <c r="I151" s="9">
        <v>259</v>
      </c>
      <c r="J151" s="9">
        <v>569</v>
      </c>
      <c r="K151" s="8">
        <v>45.4</v>
      </c>
      <c r="L151" s="9">
        <v>47</v>
      </c>
      <c r="M151" s="9">
        <v>150</v>
      </c>
      <c r="N151" s="8">
        <v>30.5</v>
      </c>
      <c r="O151" s="8">
        <v>155</v>
      </c>
      <c r="P151" s="8">
        <v>235</v>
      </c>
      <c r="Q151" s="8">
        <v>66.8</v>
      </c>
      <c r="R151" s="9">
        <v>56</v>
      </c>
      <c r="S151" s="9">
        <v>160</v>
      </c>
      <c r="T151" s="9">
        <v>216</v>
      </c>
      <c r="U151" s="9">
        <v>103</v>
      </c>
      <c r="V151" s="9">
        <v>71</v>
      </c>
      <c r="W151" s="9">
        <v>38</v>
      </c>
      <c r="X151" s="9">
        <v>19</v>
      </c>
      <c r="Y151" s="9">
        <v>89</v>
      </c>
      <c r="Z151" s="8">
        <v>1241</v>
      </c>
      <c r="AA151" s="8">
        <v>2</v>
      </c>
      <c r="AB151" s="8">
        <v>0</v>
      </c>
      <c r="AC151" s="7">
        <v>0.2</v>
      </c>
      <c r="AD151" s="7">
        <v>110</v>
      </c>
      <c r="AE151" s="7">
        <v>108.9</v>
      </c>
      <c r="AF151" s="7">
        <v>1</v>
      </c>
      <c r="AG151" s="7">
        <v>15.1</v>
      </c>
      <c r="AH151" s="7">
        <v>1.46</v>
      </c>
      <c r="AI151" s="7">
        <v>12.2</v>
      </c>
      <c r="AJ151" s="7">
        <v>4.5</v>
      </c>
      <c r="AK151" s="7">
        <v>13.4</v>
      </c>
      <c r="AL151" s="7">
        <v>8.8000000000000007</v>
      </c>
      <c r="AM151" s="7">
        <v>8.3000000000000007</v>
      </c>
      <c r="AN151" s="7">
        <v>49.5</v>
      </c>
      <c r="AO151" s="7">
        <v>53.5</v>
      </c>
      <c r="AP151" s="7">
        <v>27.1</v>
      </c>
      <c r="AQ151" s="7">
        <v>100.21</v>
      </c>
      <c r="AR151" s="7">
        <v>11</v>
      </c>
      <c r="AS151" s="7">
        <v>2381</v>
      </c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1"/>
    </row>
    <row r="152" spans="1:70" ht="13">
      <c r="A152" s="13" t="s">
        <v>341</v>
      </c>
      <c r="B152" s="6" t="s">
        <v>342</v>
      </c>
      <c r="C152" s="7">
        <v>33</v>
      </c>
      <c r="D152" s="7">
        <v>79</v>
      </c>
      <c r="E152" s="7">
        <v>49</v>
      </c>
      <c r="F152" s="7">
        <v>30</v>
      </c>
      <c r="G152" s="7">
        <v>17.899999999999999</v>
      </c>
      <c r="H152" s="8">
        <v>719</v>
      </c>
      <c r="I152" s="9">
        <v>324</v>
      </c>
      <c r="J152" s="9">
        <v>624</v>
      </c>
      <c r="K152" s="8">
        <v>51.9</v>
      </c>
      <c r="L152" s="9">
        <v>16</v>
      </c>
      <c r="M152" s="9">
        <v>47</v>
      </c>
      <c r="N152" s="8">
        <v>30.6</v>
      </c>
      <c r="O152" s="8">
        <v>55</v>
      </c>
      <c r="P152" s="8">
        <v>79</v>
      </c>
      <c r="Q152" s="8">
        <v>74</v>
      </c>
      <c r="R152" s="9">
        <v>47</v>
      </c>
      <c r="S152" s="9">
        <v>150</v>
      </c>
      <c r="T152" s="9">
        <v>190</v>
      </c>
      <c r="U152" s="9">
        <v>348</v>
      </c>
      <c r="V152" s="9">
        <v>111</v>
      </c>
      <c r="W152" s="9">
        <v>87</v>
      </c>
      <c r="X152" s="9">
        <v>24</v>
      </c>
      <c r="Y152" s="9">
        <v>79</v>
      </c>
      <c r="Z152" s="8">
        <v>1683</v>
      </c>
      <c r="AA152" s="8">
        <v>2</v>
      </c>
      <c r="AB152" s="8">
        <v>0</v>
      </c>
      <c r="AC152" s="7">
        <v>-0.7</v>
      </c>
      <c r="AD152" s="7">
        <v>111.1</v>
      </c>
      <c r="AE152" s="7">
        <v>113.8</v>
      </c>
      <c r="AF152" s="7">
        <v>-2.7</v>
      </c>
      <c r="AG152" s="7">
        <v>35.9</v>
      </c>
      <c r="AH152" s="7">
        <v>3.22</v>
      </c>
      <c r="AI152" s="7">
        <v>31.3</v>
      </c>
      <c r="AJ152" s="7">
        <v>3.2</v>
      </c>
      <c r="AK152" s="7">
        <v>10.4</v>
      </c>
      <c r="AL152" s="7">
        <v>6.9</v>
      </c>
      <c r="AM152" s="7">
        <v>9.6999999999999993</v>
      </c>
      <c r="AN152" s="7">
        <v>53.1</v>
      </c>
      <c r="AO152" s="7">
        <v>54.7</v>
      </c>
      <c r="AP152" s="7">
        <v>22.6</v>
      </c>
      <c r="AQ152" s="7">
        <v>103.69</v>
      </c>
      <c r="AR152" s="7">
        <v>12.9</v>
      </c>
      <c r="AS152" s="7">
        <v>3069</v>
      </c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1"/>
    </row>
    <row r="153" spans="1:70" ht="13">
      <c r="A153" s="6" t="s">
        <v>343</v>
      </c>
      <c r="B153" s="6" t="s">
        <v>344</v>
      </c>
      <c r="C153" s="7">
        <v>26</v>
      </c>
      <c r="D153" s="7">
        <v>71</v>
      </c>
      <c r="E153" s="7">
        <v>57</v>
      </c>
      <c r="F153" s="7">
        <v>14</v>
      </c>
      <c r="G153" s="7">
        <v>29.2</v>
      </c>
      <c r="H153" s="8">
        <v>717</v>
      </c>
      <c r="I153" s="9">
        <v>256</v>
      </c>
      <c r="J153" s="9">
        <v>596</v>
      </c>
      <c r="K153" s="8">
        <v>43.5</v>
      </c>
      <c r="L153" s="9">
        <v>170</v>
      </c>
      <c r="M153" s="9">
        <v>412</v>
      </c>
      <c r="N153" s="8">
        <v>41.2</v>
      </c>
      <c r="O153" s="8">
        <v>36</v>
      </c>
      <c r="P153" s="8">
        <v>43</v>
      </c>
      <c r="Q153" s="8">
        <v>71.7</v>
      </c>
      <c r="R153" s="9">
        <v>92</v>
      </c>
      <c r="S153" s="9">
        <v>206</v>
      </c>
      <c r="T153" s="9">
        <v>291</v>
      </c>
      <c r="U153" s="9">
        <v>114</v>
      </c>
      <c r="V153" s="9">
        <v>50</v>
      </c>
      <c r="W153" s="9">
        <v>78</v>
      </c>
      <c r="X153" s="9">
        <v>36</v>
      </c>
      <c r="Y153" s="9">
        <v>206</v>
      </c>
      <c r="Z153" s="8">
        <v>1548</v>
      </c>
      <c r="AA153" s="8">
        <v>0</v>
      </c>
      <c r="AB153" s="8">
        <v>0</v>
      </c>
      <c r="AC153" s="7">
        <v>7.7</v>
      </c>
      <c r="AD153" s="7">
        <v>120.4</v>
      </c>
      <c r="AE153" s="7">
        <v>107.3</v>
      </c>
      <c r="AF153" s="7">
        <v>13.1</v>
      </c>
      <c r="AG153" s="7">
        <v>6.7</v>
      </c>
      <c r="AH153" s="7">
        <v>2.25</v>
      </c>
      <c r="AI153" s="7">
        <v>14.8</v>
      </c>
      <c r="AJ153" s="7">
        <v>4.0999999999999996</v>
      </c>
      <c r="AK153" s="7">
        <v>9.3000000000000007</v>
      </c>
      <c r="AL153" s="7">
        <v>6.7</v>
      </c>
      <c r="AM153" s="7">
        <v>6.6</v>
      </c>
      <c r="AN153" s="7">
        <v>57.8</v>
      </c>
      <c r="AO153" s="7">
        <v>58.6</v>
      </c>
      <c r="AP153" s="7">
        <v>13.3</v>
      </c>
      <c r="AQ153" s="7">
        <v>101.75</v>
      </c>
      <c r="AR153" s="7">
        <v>6.3</v>
      </c>
      <c r="AS153" s="7">
        <v>4383</v>
      </c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1"/>
    </row>
    <row r="154" spans="1:70" ht="13">
      <c r="A154" s="6" t="s">
        <v>345</v>
      </c>
      <c r="B154" s="6" t="s">
        <v>346</v>
      </c>
      <c r="C154" s="7">
        <v>24</v>
      </c>
      <c r="D154" s="7">
        <v>78</v>
      </c>
      <c r="E154" s="7">
        <v>47</v>
      </c>
      <c r="F154" s="7">
        <v>31</v>
      </c>
      <c r="G154" s="7">
        <v>19.2</v>
      </c>
      <c r="H154" s="8">
        <v>710</v>
      </c>
      <c r="I154" s="9">
        <v>257</v>
      </c>
      <c r="J154" s="9">
        <v>554</v>
      </c>
      <c r="K154" s="8">
        <v>46.1</v>
      </c>
      <c r="L154" s="9">
        <v>125</v>
      </c>
      <c r="M154" s="9">
        <v>343</v>
      </c>
      <c r="N154" s="8">
        <v>37.6</v>
      </c>
      <c r="O154" s="8">
        <v>62</v>
      </c>
      <c r="P154" s="8">
        <v>86</v>
      </c>
      <c r="Q154" s="8">
        <v>76.2</v>
      </c>
      <c r="R154" s="9">
        <v>39</v>
      </c>
      <c r="S154" s="9">
        <v>179</v>
      </c>
      <c r="T154" s="9">
        <v>218</v>
      </c>
      <c r="U154" s="9">
        <v>62</v>
      </c>
      <c r="V154" s="9">
        <v>39</v>
      </c>
      <c r="W154" s="9">
        <v>23</v>
      </c>
      <c r="X154" s="9">
        <v>8</v>
      </c>
      <c r="Y154" s="9">
        <v>94</v>
      </c>
      <c r="Z154" s="8">
        <v>1123</v>
      </c>
      <c r="AA154" s="8">
        <v>0</v>
      </c>
      <c r="AB154" s="8">
        <v>0</v>
      </c>
      <c r="AC154" s="7">
        <v>-0.9</v>
      </c>
      <c r="AD154" s="7">
        <v>112.2</v>
      </c>
      <c r="AE154" s="7">
        <v>114.9</v>
      </c>
      <c r="AF154" s="7">
        <v>-2.8</v>
      </c>
      <c r="AG154" s="7">
        <v>6.7</v>
      </c>
      <c r="AH154" s="7">
        <v>1.78</v>
      </c>
      <c r="AI154" s="7">
        <v>9.5</v>
      </c>
      <c r="AJ154" s="7">
        <v>2.6</v>
      </c>
      <c r="AK154" s="7">
        <v>11.6</v>
      </c>
      <c r="AL154" s="7">
        <v>7.3</v>
      </c>
      <c r="AM154" s="7">
        <v>5.3</v>
      </c>
      <c r="AN154" s="7">
        <v>57.6</v>
      </c>
      <c r="AO154" s="7">
        <v>59.4</v>
      </c>
      <c r="AP154" s="7">
        <v>18.100000000000001</v>
      </c>
      <c r="AQ154" s="7">
        <v>98.26</v>
      </c>
      <c r="AR154" s="7">
        <v>8.6999999999999993</v>
      </c>
      <c r="AS154" s="7">
        <v>3063</v>
      </c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1"/>
    </row>
    <row r="155" spans="1:70" ht="13">
      <c r="A155" s="6" t="s">
        <v>347</v>
      </c>
      <c r="B155" s="6" t="s">
        <v>348</v>
      </c>
      <c r="C155" s="7">
        <v>26</v>
      </c>
      <c r="D155" s="7">
        <v>61</v>
      </c>
      <c r="E155" s="7">
        <v>14</v>
      </c>
      <c r="F155" s="7">
        <v>47</v>
      </c>
      <c r="G155" s="7">
        <v>26.3</v>
      </c>
      <c r="H155" s="8">
        <v>708</v>
      </c>
      <c r="I155" s="9">
        <v>256</v>
      </c>
      <c r="J155" s="9">
        <v>567</v>
      </c>
      <c r="K155" s="8">
        <v>45.1</v>
      </c>
      <c r="L155" s="9">
        <v>122</v>
      </c>
      <c r="M155" s="9">
        <v>329</v>
      </c>
      <c r="N155" s="8">
        <v>36.4</v>
      </c>
      <c r="O155" s="8">
        <v>73</v>
      </c>
      <c r="P155" s="8">
        <v>85</v>
      </c>
      <c r="Q155" s="8">
        <v>85.2</v>
      </c>
      <c r="R155" s="9">
        <v>37</v>
      </c>
      <c r="S155" s="9">
        <v>146</v>
      </c>
      <c r="T155" s="9">
        <v>183</v>
      </c>
      <c r="U155" s="9">
        <v>104</v>
      </c>
      <c r="V155" s="9">
        <v>61</v>
      </c>
      <c r="W155" s="9">
        <v>24</v>
      </c>
      <c r="X155" s="9">
        <v>12</v>
      </c>
      <c r="Y155" s="9">
        <v>98</v>
      </c>
      <c r="Z155" s="8">
        <v>1135</v>
      </c>
      <c r="AA155" s="8">
        <v>0</v>
      </c>
      <c r="AB155" s="8">
        <v>0</v>
      </c>
      <c r="AC155" s="7">
        <v>-4.5</v>
      </c>
      <c r="AD155" s="7">
        <v>108.7</v>
      </c>
      <c r="AE155" s="7">
        <v>117.1</v>
      </c>
      <c r="AF155" s="7">
        <v>-8.5</v>
      </c>
      <c r="AG155" s="7">
        <v>9.4</v>
      </c>
      <c r="AH155" s="7">
        <v>1.61</v>
      </c>
      <c r="AI155" s="7">
        <v>13.4</v>
      </c>
      <c r="AJ155" s="7">
        <v>2.1</v>
      </c>
      <c r="AK155" s="7">
        <v>8.4</v>
      </c>
      <c r="AL155" s="7">
        <v>5.3</v>
      </c>
      <c r="AM155" s="7">
        <v>8.3000000000000007</v>
      </c>
      <c r="AN155" s="7">
        <v>55.8</v>
      </c>
      <c r="AO155" s="7">
        <v>58.4</v>
      </c>
      <c r="AP155" s="7">
        <v>16.899999999999999</v>
      </c>
      <c r="AQ155" s="7">
        <v>102.68</v>
      </c>
      <c r="AR155" s="7">
        <v>7.4</v>
      </c>
      <c r="AS155" s="7">
        <v>3433</v>
      </c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1"/>
    </row>
    <row r="156" spans="1:70" ht="13">
      <c r="A156" s="6" t="s">
        <v>349</v>
      </c>
      <c r="B156" s="6" t="s">
        <v>350</v>
      </c>
      <c r="C156" s="7">
        <v>26</v>
      </c>
      <c r="D156" s="7">
        <v>57</v>
      </c>
      <c r="E156" s="7">
        <v>28</v>
      </c>
      <c r="F156" s="7">
        <v>29</v>
      </c>
      <c r="G156" s="7">
        <v>21.5</v>
      </c>
      <c r="H156" s="8">
        <v>701</v>
      </c>
      <c r="I156" s="9">
        <v>285</v>
      </c>
      <c r="J156" s="9">
        <v>405</v>
      </c>
      <c r="K156" s="8">
        <v>70.2</v>
      </c>
      <c r="L156" s="8">
        <v>0</v>
      </c>
      <c r="M156" s="8">
        <v>0</v>
      </c>
      <c r="N156" s="8">
        <v>0</v>
      </c>
      <c r="O156" s="8">
        <v>137</v>
      </c>
      <c r="P156" s="8">
        <v>194</v>
      </c>
      <c r="Q156" s="8">
        <v>68.900000000000006</v>
      </c>
      <c r="R156" s="9">
        <v>154</v>
      </c>
      <c r="S156" s="9">
        <v>234</v>
      </c>
      <c r="T156" s="9">
        <v>388</v>
      </c>
      <c r="U156" s="9">
        <v>80</v>
      </c>
      <c r="V156" s="9">
        <v>68</v>
      </c>
      <c r="W156" s="9">
        <v>23</v>
      </c>
      <c r="X156" s="9">
        <v>103</v>
      </c>
      <c r="Y156" s="9">
        <v>154</v>
      </c>
      <c r="Z156" s="8">
        <v>1596</v>
      </c>
      <c r="AA156" s="8">
        <v>8</v>
      </c>
      <c r="AB156" s="8">
        <v>0</v>
      </c>
      <c r="AC156" s="7">
        <v>0.6</v>
      </c>
      <c r="AD156" s="7">
        <v>114.9</v>
      </c>
      <c r="AE156" s="7">
        <v>113.4</v>
      </c>
      <c r="AF156" s="7">
        <v>1.5</v>
      </c>
      <c r="AG156" s="7">
        <v>9.6999999999999993</v>
      </c>
      <c r="AH156" s="7">
        <v>1.21</v>
      </c>
      <c r="AI156" s="7">
        <v>12.7</v>
      </c>
      <c r="AJ156" s="7">
        <v>12.7</v>
      </c>
      <c r="AK156" s="7">
        <v>16.8</v>
      </c>
      <c r="AL156" s="7">
        <v>14.9</v>
      </c>
      <c r="AM156" s="7">
        <v>10.4</v>
      </c>
      <c r="AN156" s="7">
        <v>70.2</v>
      </c>
      <c r="AO156" s="7">
        <v>71.599999999999994</v>
      </c>
      <c r="AP156" s="7">
        <v>18.600000000000001</v>
      </c>
      <c r="AQ156" s="7">
        <v>101.73</v>
      </c>
      <c r="AR156" s="7">
        <v>14.1</v>
      </c>
      <c r="AS156" s="7">
        <v>2597</v>
      </c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1"/>
    </row>
    <row r="157" spans="1:70" ht="13">
      <c r="A157" s="6" t="s">
        <v>351</v>
      </c>
      <c r="B157" s="6" t="s">
        <v>352</v>
      </c>
      <c r="C157" s="7">
        <v>27</v>
      </c>
      <c r="D157" s="7">
        <v>72</v>
      </c>
      <c r="E157" s="7">
        <v>41</v>
      </c>
      <c r="F157" s="7">
        <v>31</v>
      </c>
      <c r="G157" s="7">
        <v>24.3</v>
      </c>
      <c r="H157" s="8">
        <v>698</v>
      </c>
      <c r="I157" s="9">
        <v>238</v>
      </c>
      <c r="J157" s="9">
        <v>511</v>
      </c>
      <c r="K157" s="8">
        <v>47.1</v>
      </c>
      <c r="L157" s="9">
        <v>101</v>
      </c>
      <c r="M157" s="9">
        <v>245</v>
      </c>
      <c r="N157" s="8">
        <v>40.9</v>
      </c>
      <c r="O157" s="8">
        <v>115</v>
      </c>
      <c r="P157" s="8">
        <v>130</v>
      </c>
      <c r="Q157" s="8">
        <v>89.1</v>
      </c>
      <c r="R157" s="9">
        <v>29</v>
      </c>
      <c r="S157" s="9">
        <v>130</v>
      </c>
      <c r="T157" s="9">
        <v>158</v>
      </c>
      <c r="U157" s="9">
        <v>79</v>
      </c>
      <c r="V157" s="9">
        <v>43</v>
      </c>
      <c r="W157" s="9">
        <v>43</v>
      </c>
      <c r="X157" s="9">
        <v>7</v>
      </c>
      <c r="Y157" s="9">
        <v>122</v>
      </c>
      <c r="Z157" s="8">
        <v>1102</v>
      </c>
      <c r="AA157" s="8">
        <v>0</v>
      </c>
      <c r="AB157" s="8">
        <v>0</v>
      </c>
      <c r="AC157" s="7">
        <v>-0.9</v>
      </c>
      <c r="AD157" s="7">
        <v>109.1</v>
      </c>
      <c r="AE157" s="7">
        <v>110.6</v>
      </c>
      <c r="AF157" s="7">
        <v>-1.4</v>
      </c>
      <c r="AG157" s="7">
        <v>6.5</v>
      </c>
      <c r="AH157" s="7">
        <v>1.71</v>
      </c>
      <c r="AI157" s="7">
        <v>11.2</v>
      </c>
      <c r="AJ157" s="7">
        <v>1.9</v>
      </c>
      <c r="AK157" s="7">
        <v>7.2</v>
      </c>
      <c r="AL157" s="7">
        <v>4.5999999999999996</v>
      </c>
      <c r="AM157" s="7">
        <v>6.6</v>
      </c>
      <c r="AN157" s="7">
        <v>57</v>
      </c>
      <c r="AO157" s="7">
        <v>61.4</v>
      </c>
      <c r="AP157" s="7">
        <v>15</v>
      </c>
      <c r="AQ157" s="7">
        <v>99.23</v>
      </c>
      <c r="AR157" s="7">
        <v>7.2</v>
      </c>
      <c r="AS157" s="7">
        <v>3606</v>
      </c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1"/>
    </row>
    <row r="158" spans="1:70" ht="13">
      <c r="A158" s="13" t="s">
        <v>353</v>
      </c>
      <c r="B158" s="6" t="s">
        <v>354</v>
      </c>
      <c r="C158" s="7">
        <v>22</v>
      </c>
      <c r="D158" s="7">
        <v>57</v>
      </c>
      <c r="E158" s="7">
        <v>40</v>
      </c>
      <c r="F158" s="7">
        <v>17</v>
      </c>
      <c r="G158" s="7">
        <v>30.1</v>
      </c>
      <c r="H158" s="8">
        <v>695</v>
      </c>
      <c r="I158" s="9">
        <v>251</v>
      </c>
      <c r="J158" s="9">
        <v>564</v>
      </c>
      <c r="K158" s="8">
        <v>43.8</v>
      </c>
      <c r="L158" s="9">
        <v>97</v>
      </c>
      <c r="M158" s="9">
        <v>279</v>
      </c>
      <c r="N158" s="8">
        <v>35.4</v>
      </c>
      <c r="O158" s="8">
        <v>103</v>
      </c>
      <c r="P158" s="8">
        <v>125</v>
      </c>
      <c r="Q158" s="8">
        <v>82.5</v>
      </c>
      <c r="R158" s="9">
        <v>103</v>
      </c>
      <c r="S158" s="9">
        <v>296</v>
      </c>
      <c r="T158" s="9">
        <v>399</v>
      </c>
      <c r="U158" s="9">
        <v>63</v>
      </c>
      <c r="V158" s="9">
        <v>63</v>
      </c>
      <c r="W158" s="9">
        <v>23</v>
      </c>
      <c r="X158" s="9">
        <v>40</v>
      </c>
      <c r="Y158" s="9">
        <v>125</v>
      </c>
      <c r="Z158" s="8">
        <v>1402</v>
      </c>
      <c r="AA158" s="8">
        <v>8</v>
      </c>
      <c r="AB158" s="8">
        <v>0</v>
      </c>
      <c r="AC158" s="7">
        <v>4.4000000000000004</v>
      </c>
      <c r="AD158" s="7">
        <v>113.4</v>
      </c>
      <c r="AE158" s="7">
        <v>106.1</v>
      </c>
      <c r="AF158" s="7">
        <v>7.3</v>
      </c>
      <c r="AG158" s="7">
        <v>4.8</v>
      </c>
      <c r="AH158" s="7">
        <v>0.98</v>
      </c>
      <c r="AI158" s="7">
        <v>8.1</v>
      </c>
      <c r="AJ158" s="7">
        <v>5.5</v>
      </c>
      <c r="AK158" s="7">
        <v>16.2</v>
      </c>
      <c r="AL158" s="7">
        <v>10.7</v>
      </c>
      <c r="AM158" s="7">
        <v>8.1999999999999993</v>
      </c>
      <c r="AN158" s="7">
        <v>52.5</v>
      </c>
      <c r="AO158" s="7">
        <v>56.2</v>
      </c>
      <c r="AP158" s="7">
        <v>16</v>
      </c>
      <c r="AQ158" s="7">
        <v>100</v>
      </c>
      <c r="AR158" s="7">
        <v>9.3000000000000007</v>
      </c>
      <c r="AS158" s="7">
        <v>3569</v>
      </c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1"/>
    </row>
    <row r="159" spans="1:70" ht="13">
      <c r="A159" s="6" t="s">
        <v>355</v>
      </c>
      <c r="B159" s="6" t="s">
        <v>356</v>
      </c>
      <c r="C159" s="7">
        <v>21</v>
      </c>
      <c r="D159" s="7">
        <v>72</v>
      </c>
      <c r="E159" s="7">
        <v>13</v>
      </c>
      <c r="F159" s="7">
        <v>59</v>
      </c>
      <c r="G159" s="7">
        <v>21.1</v>
      </c>
      <c r="H159" s="8">
        <v>691</v>
      </c>
      <c r="I159" s="9">
        <v>259</v>
      </c>
      <c r="J159" s="9">
        <v>518</v>
      </c>
      <c r="K159" s="8">
        <v>50.2</v>
      </c>
      <c r="L159" s="9">
        <v>79</v>
      </c>
      <c r="M159" s="9">
        <v>223</v>
      </c>
      <c r="N159" s="8">
        <v>35</v>
      </c>
      <c r="O159" s="8">
        <v>94</v>
      </c>
      <c r="P159" s="8">
        <v>144</v>
      </c>
      <c r="Q159" s="8">
        <v>65</v>
      </c>
      <c r="R159" s="9">
        <v>115</v>
      </c>
      <c r="S159" s="9">
        <v>331</v>
      </c>
      <c r="T159" s="9">
        <v>439</v>
      </c>
      <c r="U159" s="9">
        <v>137</v>
      </c>
      <c r="V159" s="9">
        <v>101</v>
      </c>
      <c r="W159" s="9">
        <v>50</v>
      </c>
      <c r="X159" s="9">
        <v>22</v>
      </c>
      <c r="Y159" s="9">
        <v>173</v>
      </c>
      <c r="Z159" s="8">
        <v>1534</v>
      </c>
      <c r="AA159" s="8">
        <v>13</v>
      </c>
      <c r="AB159" s="8">
        <v>0</v>
      </c>
      <c r="AC159" s="7">
        <v>-5.0999999999999996</v>
      </c>
      <c r="AD159" s="7">
        <v>107.7</v>
      </c>
      <c r="AE159" s="7">
        <v>118.9</v>
      </c>
      <c r="AF159" s="7">
        <v>-11.3</v>
      </c>
      <c r="AG159" s="7">
        <v>14</v>
      </c>
      <c r="AH159" s="7">
        <v>1.37</v>
      </c>
      <c r="AI159" s="7">
        <v>17</v>
      </c>
      <c r="AJ159" s="7">
        <v>7</v>
      </c>
      <c r="AK159" s="7">
        <v>21.3</v>
      </c>
      <c r="AL159" s="7">
        <v>14</v>
      </c>
      <c r="AM159" s="7">
        <v>12.4</v>
      </c>
      <c r="AN159" s="7">
        <v>57.6</v>
      </c>
      <c r="AO159" s="7">
        <v>59.4</v>
      </c>
      <c r="AP159" s="7">
        <v>18.399999999999999</v>
      </c>
      <c r="AQ159" s="7">
        <v>102.46</v>
      </c>
      <c r="AR159" s="7">
        <v>10.3</v>
      </c>
      <c r="AS159" s="7">
        <v>3248</v>
      </c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1"/>
    </row>
    <row r="160" spans="1:70" ht="13">
      <c r="A160" s="6" t="s">
        <v>357</v>
      </c>
      <c r="B160" s="6" t="s">
        <v>358</v>
      </c>
      <c r="C160" s="7">
        <v>34</v>
      </c>
      <c r="D160" s="7">
        <v>62</v>
      </c>
      <c r="E160" s="7">
        <v>47</v>
      </c>
      <c r="F160" s="7">
        <v>15</v>
      </c>
      <c r="G160" s="7">
        <v>30.6</v>
      </c>
      <c r="H160" s="8">
        <v>688</v>
      </c>
      <c r="I160" s="9">
        <v>254</v>
      </c>
      <c r="J160" s="9">
        <v>570</v>
      </c>
      <c r="K160" s="8">
        <v>44.3</v>
      </c>
      <c r="L160" s="9">
        <v>105</v>
      </c>
      <c r="M160" s="9">
        <v>304</v>
      </c>
      <c r="N160" s="8">
        <v>35.299999999999997</v>
      </c>
      <c r="O160" s="8">
        <v>68</v>
      </c>
      <c r="P160" s="8">
        <v>74</v>
      </c>
      <c r="Q160" s="8">
        <v>90.9</v>
      </c>
      <c r="R160" s="9">
        <v>74</v>
      </c>
      <c r="S160" s="9">
        <v>186</v>
      </c>
      <c r="T160" s="9">
        <v>267</v>
      </c>
      <c r="U160" s="9">
        <v>242</v>
      </c>
      <c r="V160" s="9">
        <v>74</v>
      </c>
      <c r="W160" s="9">
        <v>68</v>
      </c>
      <c r="X160" s="9">
        <v>25</v>
      </c>
      <c r="Y160" s="9">
        <v>99</v>
      </c>
      <c r="Z160" s="8">
        <v>1562</v>
      </c>
      <c r="AA160" s="8">
        <v>1</v>
      </c>
      <c r="AB160" s="8">
        <v>0</v>
      </c>
      <c r="AC160" s="7">
        <v>5.5</v>
      </c>
      <c r="AD160" s="7">
        <v>116.6</v>
      </c>
      <c r="AE160" s="7">
        <v>107.7</v>
      </c>
      <c r="AF160" s="7">
        <v>8.9</v>
      </c>
      <c r="AG160" s="7">
        <v>17.399999999999999</v>
      </c>
      <c r="AH160" s="7">
        <v>3.1</v>
      </c>
      <c r="AI160" s="7">
        <v>25.9</v>
      </c>
      <c r="AJ160" s="7">
        <v>3.8</v>
      </c>
      <c r="AK160" s="7">
        <v>9.1</v>
      </c>
      <c r="AL160" s="7">
        <v>6.5</v>
      </c>
      <c r="AM160" s="7">
        <v>8.3000000000000007</v>
      </c>
      <c r="AN160" s="7">
        <v>53.8</v>
      </c>
      <c r="AO160" s="7">
        <v>56.5</v>
      </c>
      <c r="AP160" s="7">
        <v>15.6</v>
      </c>
      <c r="AQ160" s="7">
        <v>99.38</v>
      </c>
      <c r="AR160" s="7">
        <v>8.8000000000000007</v>
      </c>
      <c r="AS160" s="7">
        <v>3921</v>
      </c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1"/>
    </row>
    <row r="161" spans="1:70" ht="13">
      <c r="A161" s="6" t="s">
        <v>359</v>
      </c>
      <c r="B161" s="6" t="s">
        <v>360</v>
      </c>
      <c r="C161" s="7">
        <v>20</v>
      </c>
      <c r="D161" s="7">
        <v>80</v>
      </c>
      <c r="E161" s="7">
        <v>39</v>
      </c>
      <c r="F161" s="7">
        <v>41</v>
      </c>
      <c r="G161" s="7">
        <v>18.899999999999999</v>
      </c>
      <c r="H161" s="8">
        <v>688</v>
      </c>
      <c r="I161" s="9">
        <v>256</v>
      </c>
      <c r="J161" s="9">
        <v>552</v>
      </c>
      <c r="K161" s="8">
        <v>45.4</v>
      </c>
      <c r="L161" s="9">
        <v>96</v>
      </c>
      <c r="M161" s="9">
        <v>264</v>
      </c>
      <c r="N161" s="8">
        <v>36.1</v>
      </c>
      <c r="O161" s="8">
        <v>88</v>
      </c>
      <c r="P161" s="8">
        <v>112</v>
      </c>
      <c r="Q161" s="8">
        <v>81.5</v>
      </c>
      <c r="R161" s="9">
        <v>56</v>
      </c>
      <c r="S161" s="9">
        <v>224</v>
      </c>
      <c r="T161" s="9">
        <v>280</v>
      </c>
      <c r="U161" s="9">
        <v>80</v>
      </c>
      <c r="V161" s="9">
        <v>72</v>
      </c>
      <c r="W161" s="9">
        <v>32</v>
      </c>
      <c r="X161" s="9">
        <v>72</v>
      </c>
      <c r="Y161" s="9">
        <v>128</v>
      </c>
      <c r="Z161" s="8">
        <v>1376</v>
      </c>
      <c r="AA161" s="8">
        <v>1</v>
      </c>
      <c r="AB161" s="8">
        <v>0</v>
      </c>
      <c r="AC161" s="7">
        <v>-0.4</v>
      </c>
      <c r="AD161" s="7">
        <v>110.4</v>
      </c>
      <c r="AE161" s="7">
        <v>112.1</v>
      </c>
      <c r="AF161" s="7">
        <v>-1.7</v>
      </c>
      <c r="AG161" s="7">
        <v>7.2</v>
      </c>
      <c r="AH161" s="7">
        <v>1.07</v>
      </c>
      <c r="AI161" s="7">
        <v>10.4</v>
      </c>
      <c r="AJ161" s="7">
        <v>3.5</v>
      </c>
      <c r="AK161" s="7">
        <v>13.3</v>
      </c>
      <c r="AL161" s="7">
        <v>8.5</v>
      </c>
      <c r="AM161" s="7">
        <v>9.8000000000000007</v>
      </c>
      <c r="AN161" s="7">
        <v>54.1</v>
      </c>
      <c r="AO161" s="7">
        <v>57.1</v>
      </c>
      <c r="AP161" s="7">
        <v>18.100000000000001</v>
      </c>
      <c r="AQ161" s="7">
        <v>105.38</v>
      </c>
      <c r="AR161" s="7">
        <v>7.9</v>
      </c>
      <c r="AS161" s="7">
        <v>3328</v>
      </c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1"/>
    </row>
    <row r="162" spans="1:70" ht="13">
      <c r="A162" s="6" t="s">
        <v>361</v>
      </c>
      <c r="B162" s="6" t="s">
        <v>362</v>
      </c>
      <c r="C162" s="7">
        <v>24</v>
      </c>
      <c r="D162" s="7">
        <v>57</v>
      </c>
      <c r="E162" s="7">
        <v>36</v>
      </c>
      <c r="F162" s="7">
        <v>21</v>
      </c>
      <c r="G162" s="7">
        <v>24.9</v>
      </c>
      <c r="H162" s="8">
        <v>684</v>
      </c>
      <c r="I162" s="9">
        <v>274</v>
      </c>
      <c r="J162" s="9">
        <v>559</v>
      </c>
      <c r="K162" s="8">
        <v>48.7</v>
      </c>
      <c r="L162" s="9">
        <v>63</v>
      </c>
      <c r="M162" s="9">
        <v>182</v>
      </c>
      <c r="N162" s="8">
        <v>34.200000000000003</v>
      </c>
      <c r="O162" s="8">
        <v>80</v>
      </c>
      <c r="P162" s="8">
        <v>103</v>
      </c>
      <c r="Q162" s="8">
        <v>76</v>
      </c>
      <c r="R162" s="9">
        <v>125</v>
      </c>
      <c r="S162" s="9">
        <v>234</v>
      </c>
      <c r="T162" s="9">
        <v>365</v>
      </c>
      <c r="U162" s="9">
        <v>86</v>
      </c>
      <c r="V162" s="9">
        <v>63</v>
      </c>
      <c r="W162" s="9">
        <v>97</v>
      </c>
      <c r="X162" s="9">
        <v>51</v>
      </c>
      <c r="Y162" s="9">
        <v>137</v>
      </c>
      <c r="Z162" s="8">
        <v>1619</v>
      </c>
      <c r="AA162" s="8">
        <v>6</v>
      </c>
      <c r="AB162" s="8">
        <v>0</v>
      </c>
      <c r="AC162" s="7">
        <v>2.5</v>
      </c>
      <c r="AD162" s="7">
        <v>114.8</v>
      </c>
      <c r="AE162" s="7">
        <v>109.2</v>
      </c>
      <c r="AF162" s="7">
        <v>5.6</v>
      </c>
      <c r="AG162" s="7">
        <v>8.1999999999999993</v>
      </c>
      <c r="AH162" s="7">
        <v>1.28</v>
      </c>
      <c r="AI162" s="7">
        <v>11</v>
      </c>
      <c r="AJ162" s="7">
        <v>8.1</v>
      </c>
      <c r="AK162" s="7">
        <v>15.8</v>
      </c>
      <c r="AL162" s="7">
        <v>11.8</v>
      </c>
      <c r="AM162" s="7">
        <v>8.6</v>
      </c>
      <c r="AN162" s="7">
        <v>54.3</v>
      </c>
      <c r="AO162" s="7">
        <v>56.7</v>
      </c>
      <c r="AP162" s="7">
        <v>18.5</v>
      </c>
      <c r="AQ162" s="7">
        <v>101.55</v>
      </c>
      <c r="AR162" s="7">
        <v>11.7</v>
      </c>
      <c r="AS162" s="7">
        <v>2994</v>
      </c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1"/>
    </row>
    <row r="163" spans="1:70" ht="13">
      <c r="A163" s="6" t="s">
        <v>363</v>
      </c>
      <c r="B163" s="6" t="s">
        <v>364</v>
      </c>
      <c r="C163" s="7">
        <v>26</v>
      </c>
      <c r="D163" s="7">
        <v>69</v>
      </c>
      <c r="E163" s="7">
        <v>39</v>
      </c>
      <c r="F163" s="7">
        <v>30</v>
      </c>
      <c r="G163" s="7">
        <v>24.3</v>
      </c>
      <c r="H163" s="8">
        <v>683</v>
      </c>
      <c r="I163" s="9">
        <v>255</v>
      </c>
      <c r="J163" s="9">
        <v>607</v>
      </c>
      <c r="K163" s="8">
        <v>42.5</v>
      </c>
      <c r="L163" s="9">
        <v>131</v>
      </c>
      <c r="M163" s="9">
        <v>393</v>
      </c>
      <c r="N163" s="8">
        <v>33.799999999999997</v>
      </c>
      <c r="O163" s="8">
        <v>35</v>
      </c>
      <c r="P163" s="8">
        <v>48</v>
      </c>
      <c r="Q163" s="8">
        <v>71.400000000000006</v>
      </c>
      <c r="R163" s="9">
        <v>28</v>
      </c>
      <c r="S163" s="9">
        <v>173</v>
      </c>
      <c r="T163" s="9">
        <v>207</v>
      </c>
      <c r="U163" s="9">
        <v>159</v>
      </c>
      <c r="V163" s="9">
        <v>69</v>
      </c>
      <c r="W163" s="9">
        <v>69</v>
      </c>
      <c r="X163" s="9">
        <v>21</v>
      </c>
      <c r="Y163" s="9">
        <v>124</v>
      </c>
      <c r="Z163" s="8">
        <v>1359</v>
      </c>
      <c r="AA163" s="8">
        <v>0</v>
      </c>
      <c r="AB163" s="8">
        <v>0</v>
      </c>
      <c r="AC163" s="7">
        <v>1.5</v>
      </c>
      <c r="AD163" s="7">
        <v>114.5</v>
      </c>
      <c r="AE163" s="7">
        <v>111.7</v>
      </c>
      <c r="AF163" s="7">
        <v>2.8</v>
      </c>
      <c r="AG163" s="7">
        <v>12.4</v>
      </c>
      <c r="AH163" s="7">
        <v>2.33</v>
      </c>
      <c r="AI163" s="7">
        <v>18.399999999999999</v>
      </c>
      <c r="AJ163" s="7">
        <v>1.7</v>
      </c>
      <c r="AK163" s="7">
        <v>9.8000000000000007</v>
      </c>
      <c r="AL163" s="7">
        <v>5.8</v>
      </c>
      <c r="AM163" s="7">
        <v>7.9</v>
      </c>
      <c r="AN163" s="7">
        <v>53.5</v>
      </c>
      <c r="AO163" s="7">
        <v>54.4</v>
      </c>
      <c r="AP163" s="7">
        <v>17.100000000000001</v>
      </c>
      <c r="AQ163" s="7">
        <v>102.32</v>
      </c>
      <c r="AR163" s="7">
        <v>7.3</v>
      </c>
      <c r="AS163" s="7">
        <v>3581</v>
      </c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1"/>
    </row>
    <row r="164" spans="1:70" ht="13">
      <c r="A164" s="6" t="s">
        <v>365</v>
      </c>
      <c r="B164" s="6" t="s">
        <v>366</v>
      </c>
      <c r="C164" s="7">
        <v>32</v>
      </c>
      <c r="D164" s="7">
        <v>75</v>
      </c>
      <c r="E164" s="7">
        <v>33</v>
      </c>
      <c r="F164" s="7">
        <v>42</v>
      </c>
      <c r="G164" s="7">
        <v>24.5</v>
      </c>
      <c r="H164" s="8">
        <v>683</v>
      </c>
      <c r="I164" s="9">
        <v>240</v>
      </c>
      <c r="J164" s="9">
        <v>570</v>
      </c>
      <c r="K164" s="8">
        <v>42.3</v>
      </c>
      <c r="L164" s="9">
        <v>180</v>
      </c>
      <c r="M164" s="9">
        <v>443</v>
      </c>
      <c r="N164" s="8">
        <v>40.6</v>
      </c>
      <c r="O164" s="8">
        <v>23</v>
      </c>
      <c r="P164" s="8">
        <v>23</v>
      </c>
      <c r="Q164" s="8">
        <v>73.099999999999994</v>
      </c>
      <c r="R164" s="9">
        <v>53</v>
      </c>
      <c r="S164" s="9">
        <v>293</v>
      </c>
      <c r="T164" s="9">
        <v>353</v>
      </c>
      <c r="U164" s="9">
        <v>165</v>
      </c>
      <c r="V164" s="9">
        <v>68</v>
      </c>
      <c r="W164" s="9">
        <v>68</v>
      </c>
      <c r="X164" s="9">
        <v>38</v>
      </c>
      <c r="Y164" s="9">
        <v>150</v>
      </c>
      <c r="Z164" s="8">
        <v>1583</v>
      </c>
      <c r="AA164" s="8">
        <v>1</v>
      </c>
      <c r="AB164" s="8">
        <v>0</v>
      </c>
      <c r="AC164" s="7">
        <v>-2.1</v>
      </c>
      <c r="AD164" s="7">
        <v>112.1</v>
      </c>
      <c r="AE164" s="7">
        <v>116.4</v>
      </c>
      <c r="AF164" s="7">
        <v>-4.2</v>
      </c>
      <c r="AG164" s="7">
        <v>12.8</v>
      </c>
      <c r="AH164" s="7">
        <v>2.5099999999999998</v>
      </c>
      <c r="AI164" s="7">
        <v>20.100000000000001</v>
      </c>
      <c r="AJ164" s="7">
        <v>2.9</v>
      </c>
      <c r="AK164" s="7">
        <v>15.7</v>
      </c>
      <c r="AL164" s="7">
        <v>9.4</v>
      </c>
      <c r="AM164" s="7">
        <v>8</v>
      </c>
      <c r="AN164" s="7">
        <v>58</v>
      </c>
      <c r="AO164" s="7">
        <v>58.5</v>
      </c>
      <c r="AP164" s="7">
        <v>15.1</v>
      </c>
      <c r="AQ164" s="7">
        <v>100.27</v>
      </c>
      <c r="AR164" s="7">
        <v>8.5</v>
      </c>
      <c r="AS164" s="7">
        <v>3840</v>
      </c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1"/>
    </row>
    <row r="165" spans="1:70" ht="13">
      <c r="A165" s="6" t="s">
        <v>367</v>
      </c>
      <c r="B165" s="6" t="s">
        <v>368</v>
      </c>
      <c r="C165" s="7">
        <v>30</v>
      </c>
      <c r="D165" s="7">
        <v>49</v>
      </c>
      <c r="E165" s="7">
        <v>30</v>
      </c>
      <c r="F165" s="7">
        <v>19</v>
      </c>
      <c r="G165" s="7">
        <v>25.4</v>
      </c>
      <c r="H165" s="8">
        <v>681</v>
      </c>
      <c r="I165" s="9">
        <v>279</v>
      </c>
      <c r="J165" s="9">
        <v>593</v>
      </c>
      <c r="K165" s="8">
        <v>46.6</v>
      </c>
      <c r="L165" s="9">
        <v>64</v>
      </c>
      <c r="M165" s="9">
        <v>176</v>
      </c>
      <c r="N165" s="8">
        <v>36.5</v>
      </c>
      <c r="O165" s="8">
        <v>59</v>
      </c>
      <c r="P165" s="8">
        <v>74</v>
      </c>
      <c r="Q165" s="8">
        <v>83.6</v>
      </c>
      <c r="R165" s="9">
        <v>88</v>
      </c>
      <c r="S165" s="9">
        <v>323</v>
      </c>
      <c r="T165" s="9">
        <v>412</v>
      </c>
      <c r="U165" s="9">
        <v>103</v>
      </c>
      <c r="V165" s="9">
        <v>59</v>
      </c>
      <c r="W165" s="9">
        <v>34</v>
      </c>
      <c r="X165" s="9">
        <v>25</v>
      </c>
      <c r="Y165" s="9">
        <v>93</v>
      </c>
      <c r="Z165" s="8">
        <v>1455</v>
      </c>
      <c r="AA165" s="8">
        <v>11</v>
      </c>
      <c r="AB165" s="8">
        <v>0</v>
      </c>
      <c r="AC165" s="7">
        <v>1.9</v>
      </c>
      <c r="AD165" s="7">
        <v>114.1</v>
      </c>
      <c r="AE165" s="7">
        <v>110.8</v>
      </c>
      <c r="AF165" s="7">
        <v>3.4</v>
      </c>
      <c r="AG165" s="7">
        <v>12.6</v>
      </c>
      <c r="AH165" s="7">
        <v>1.82</v>
      </c>
      <c r="AI165" s="7">
        <v>13.2</v>
      </c>
      <c r="AJ165" s="7">
        <v>7.1</v>
      </c>
      <c r="AK165" s="7">
        <v>23.5</v>
      </c>
      <c r="AL165" s="7">
        <v>15.6</v>
      </c>
      <c r="AM165" s="7">
        <v>7.2</v>
      </c>
      <c r="AN165" s="7">
        <v>52</v>
      </c>
      <c r="AO165" s="7">
        <v>54.2</v>
      </c>
      <c r="AP165" s="7">
        <v>23.4</v>
      </c>
      <c r="AQ165" s="7">
        <v>101.2</v>
      </c>
      <c r="AR165" s="7">
        <v>13.1</v>
      </c>
      <c r="AS165" s="7">
        <v>2625</v>
      </c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1"/>
    </row>
    <row r="166" spans="1:70" ht="13">
      <c r="A166" s="6" t="s">
        <v>369</v>
      </c>
      <c r="B166" s="6" t="s">
        <v>370</v>
      </c>
      <c r="C166" s="7">
        <v>23</v>
      </c>
      <c r="D166" s="7">
        <v>36</v>
      </c>
      <c r="E166" s="7">
        <v>18</v>
      </c>
      <c r="F166" s="7">
        <v>18</v>
      </c>
      <c r="G166" s="7">
        <v>35.700000000000003</v>
      </c>
      <c r="H166" s="8">
        <v>680</v>
      </c>
      <c r="I166" s="9">
        <v>270</v>
      </c>
      <c r="J166" s="9">
        <v>544</v>
      </c>
      <c r="K166" s="8">
        <v>50</v>
      </c>
      <c r="L166" s="9">
        <v>43</v>
      </c>
      <c r="M166" s="9">
        <v>140</v>
      </c>
      <c r="N166" s="8">
        <v>31.2</v>
      </c>
      <c r="O166" s="8">
        <v>94</v>
      </c>
      <c r="P166" s="8">
        <v>126</v>
      </c>
      <c r="Q166" s="8">
        <v>74.599999999999994</v>
      </c>
      <c r="R166" s="9">
        <v>61</v>
      </c>
      <c r="S166" s="9">
        <v>299</v>
      </c>
      <c r="T166" s="9">
        <v>360</v>
      </c>
      <c r="U166" s="9">
        <v>180</v>
      </c>
      <c r="V166" s="9">
        <v>104</v>
      </c>
      <c r="W166" s="9">
        <v>58</v>
      </c>
      <c r="X166" s="9">
        <v>36</v>
      </c>
      <c r="Y166" s="9">
        <v>68</v>
      </c>
      <c r="Z166" s="8">
        <v>1552</v>
      </c>
      <c r="AA166" s="8">
        <v>20</v>
      </c>
      <c r="AB166" s="8">
        <v>1</v>
      </c>
      <c r="AC166" s="7">
        <v>1.5</v>
      </c>
      <c r="AD166" s="7">
        <v>111.8</v>
      </c>
      <c r="AE166" s="7">
        <v>110.2</v>
      </c>
      <c r="AF166" s="7">
        <v>1.6</v>
      </c>
      <c r="AG166" s="7">
        <v>20.3</v>
      </c>
      <c r="AH166" s="7">
        <v>1.71</v>
      </c>
      <c r="AI166" s="7">
        <v>20.5</v>
      </c>
      <c r="AJ166" s="7">
        <v>4.5999999999999996</v>
      </c>
      <c r="AK166" s="7">
        <v>21.6</v>
      </c>
      <c r="AL166" s="7">
        <v>13.2</v>
      </c>
      <c r="AM166" s="7">
        <v>12</v>
      </c>
      <c r="AN166" s="7">
        <v>54.1</v>
      </c>
      <c r="AO166" s="7">
        <v>56.9</v>
      </c>
      <c r="AP166" s="7">
        <v>21.4</v>
      </c>
      <c r="AQ166" s="7">
        <v>106.68</v>
      </c>
      <c r="AR166" s="7">
        <v>13.5</v>
      </c>
      <c r="AS166" s="7">
        <v>2858</v>
      </c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1"/>
    </row>
    <row r="167" spans="1:70" ht="13">
      <c r="A167" s="6" t="s">
        <v>371</v>
      </c>
      <c r="B167" s="6" t="s">
        <v>372</v>
      </c>
      <c r="C167" s="7">
        <v>31</v>
      </c>
      <c r="D167" s="7">
        <v>64</v>
      </c>
      <c r="E167" s="7">
        <v>27</v>
      </c>
      <c r="F167" s="7">
        <v>37</v>
      </c>
      <c r="G167" s="7">
        <v>25.9</v>
      </c>
      <c r="H167" s="8">
        <v>678</v>
      </c>
      <c r="I167" s="9">
        <v>250</v>
      </c>
      <c r="J167" s="9">
        <v>634</v>
      </c>
      <c r="K167" s="8">
        <v>39.1</v>
      </c>
      <c r="L167" s="9">
        <v>90</v>
      </c>
      <c r="M167" s="9">
        <v>307</v>
      </c>
      <c r="N167" s="8">
        <v>29.5</v>
      </c>
      <c r="O167" s="8">
        <v>90</v>
      </c>
      <c r="P167" s="8">
        <v>109</v>
      </c>
      <c r="Q167" s="8">
        <v>85.2</v>
      </c>
      <c r="R167" s="9">
        <v>45</v>
      </c>
      <c r="S167" s="9">
        <v>192</v>
      </c>
      <c r="T167" s="9">
        <v>237</v>
      </c>
      <c r="U167" s="9">
        <v>166</v>
      </c>
      <c r="V167" s="9">
        <v>77</v>
      </c>
      <c r="W167" s="9">
        <v>38</v>
      </c>
      <c r="X167" s="9">
        <v>13</v>
      </c>
      <c r="Y167" s="9">
        <v>70</v>
      </c>
      <c r="Z167" s="8">
        <v>1293</v>
      </c>
      <c r="AA167" s="8">
        <v>0</v>
      </c>
      <c r="AB167" s="8">
        <v>0</v>
      </c>
      <c r="AC167" s="7">
        <v>-2.2000000000000002</v>
      </c>
      <c r="AD167" s="7">
        <v>107.3</v>
      </c>
      <c r="AE167" s="7">
        <v>112.3</v>
      </c>
      <c r="AF167" s="7">
        <v>-4.9000000000000004</v>
      </c>
      <c r="AG167" s="7">
        <v>15.2</v>
      </c>
      <c r="AH167" s="7">
        <v>2.14</v>
      </c>
      <c r="AI167" s="7">
        <v>18.100000000000001</v>
      </c>
      <c r="AJ167" s="7">
        <v>2.5</v>
      </c>
      <c r="AK167" s="7">
        <v>11.3</v>
      </c>
      <c r="AL167" s="7">
        <v>6.8</v>
      </c>
      <c r="AM167" s="7">
        <v>8.4</v>
      </c>
      <c r="AN167" s="7">
        <v>46.2</v>
      </c>
      <c r="AO167" s="7">
        <v>49.7</v>
      </c>
      <c r="AP167" s="7">
        <v>19.5</v>
      </c>
      <c r="AQ167" s="7">
        <v>99.13</v>
      </c>
      <c r="AR167" s="7">
        <v>7.8</v>
      </c>
      <c r="AS167" s="7">
        <v>3437</v>
      </c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1"/>
    </row>
    <row r="168" spans="1:70" ht="13">
      <c r="A168" s="6" t="s">
        <v>373</v>
      </c>
      <c r="B168" s="6" t="s">
        <v>374</v>
      </c>
      <c r="C168" s="7">
        <v>29</v>
      </c>
      <c r="D168" s="7">
        <v>64</v>
      </c>
      <c r="E168" s="7">
        <v>29</v>
      </c>
      <c r="F168" s="7">
        <v>35</v>
      </c>
      <c r="G168" s="7">
        <v>24.1</v>
      </c>
      <c r="H168" s="8">
        <v>678</v>
      </c>
      <c r="I168" s="9">
        <v>218</v>
      </c>
      <c r="J168" s="9">
        <v>486</v>
      </c>
      <c r="K168" s="8">
        <v>44.8</v>
      </c>
      <c r="L168" s="9">
        <v>147</v>
      </c>
      <c r="M168" s="9">
        <v>352</v>
      </c>
      <c r="N168" s="8">
        <v>42.6</v>
      </c>
      <c r="O168" s="8">
        <v>96</v>
      </c>
      <c r="P168" s="8">
        <v>115</v>
      </c>
      <c r="Q168" s="8">
        <v>81.599999999999994</v>
      </c>
      <c r="R168" s="9">
        <v>32</v>
      </c>
      <c r="S168" s="9">
        <v>160</v>
      </c>
      <c r="T168" s="9">
        <v>192</v>
      </c>
      <c r="U168" s="9">
        <v>134</v>
      </c>
      <c r="V168" s="9">
        <v>77</v>
      </c>
      <c r="W168" s="9">
        <v>51</v>
      </c>
      <c r="X168" s="9">
        <v>19</v>
      </c>
      <c r="Y168" s="9">
        <v>96</v>
      </c>
      <c r="Z168" s="8">
        <v>1261</v>
      </c>
      <c r="AA168" s="8">
        <v>1</v>
      </c>
      <c r="AB168" s="8">
        <v>0</v>
      </c>
      <c r="AC168" s="7">
        <v>-1.2</v>
      </c>
      <c r="AD168" s="7">
        <v>114.7</v>
      </c>
      <c r="AE168" s="7">
        <v>118</v>
      </c>
      <c r="AF168" s="7">
        <v>-3.3</v>
      </c>
      <c r="AG168" s="7">
        <v>12.5</v>
      </c>
      <c r="AH168" s="7">
        <v>1.83</v>
      </c>
      <c r="AI168" s="7">
        <v>18.2</v>
      </c>
      <c r="AJ168" s="7">
        <v>2.2999999999999998</v>
      </c>
      <c r="AK168" s="7">
        <v>10.3</v>
      </c>
      <c r="AL168" s="7">
        <v>6.4</v>
      </c>
      <c r="AM168" s="7">
        <v>10</v>
      </c>
      <c r="AN168" s="7">
        <v>60</v>
      </c>
      <c r="AO168" s="7">
        <v>63.1</v>
      </c>
      <c r="AP168" s="7">
        <v>16.899999999999999</v>
      </c>
      <c r="AQ168" s="7">
        <v>100.84</v>
      </c>
      <c r="AR168" s="7">
        <v>8.4</v>
      </c>
      <c r="AS168" s="7">
        <v>3255</v>
      </c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1"/>
    </row>
    <row r="169" spans="1:70" ht="13">
      <c r="A169" s="6" t="s">
        <v>375</v>
      </c>
      <c r="B169" s="6" t="s">
        <v>376</v>
      </c>
      <c r="C169" s="7">
        <v>31</v>
      </c>
      <c r="D169" s="7">
        <v>47</v>
      </c>
      <c r="E169" s="7">
        <v>22</v>
      </c>
      <c r="F169" s="7">
        <v>25</v>
      </c>
      <c r="G169" s="7">
        <v>32.4</v>
      </c>
      <c r="H169" s="8">
        <v>677</v>
      </c>
      <c r="I169" s="9">
        <v>216</v>
      </c>
      <c r="J169" s="9">
        <v>573</v>
      </c>
      <c r="K169" s="8">
        <v>37.299999999999997</v>
      </c>
      <c r="L169" s="9">
        <v>108</v>
      </c>
      <c r="M169" s="9">
        <v>296</v>
      </c>
      <c r="N169" s="8">
        <v>36.5</v>
      </c>
      <c r="O169" s="8">
        <v>141</v>
      </c>
      <c r="P169" s="8">
        <v>165</v>
      </c>
      <c r="Q169" s="8">
        <v>84.9</v>
      </c>
      <c r="R169" s="9">
        <v>28</v>
      </c>
      <c r="S169" s="9">
        <v>136</v>
      </c>
      <c r="T169" s="9">
        <v>165</v>
      </c>
      <c r="U169" s="9">
        <v>99</v>
      </c>
      <c r="V169" s="9">
        <v>66</v>
      </c>
      <c r="W169" s="9">
        <v>42</v>
      </c>
      <c r="X169" s="9">
        <v>47</v>
      </c>
      <c r="Y169" s="9">
        <v>108</v>
      </c>
      <c r="Z169" s="8">
        <v>1222</v>
      </c>
      <c r="AA169" s="8">
        <v>0</v>
      </c>
      <c r="AB169" s="8">
        <v>0</v>
      </c>
      <c r="AC169" s="7">
        <v>-4.3</v>
      </c>
      <c r="AD169" s="7">
        <v>107.4</v>
      </c>
      <c r="AE169" s="7">
        <v>113.4</v>
      </c>
      <c r="AF169" s="7">
        <v>-6.1</v>
      </c>
      <c r="AG169" s="7">
        <v>9.9</v>
      </c>
      <c r="AH169" s="7">
        <v>1.55</v>
      </c>
      <c r="AI169" s="7">
        <v>12.5</v>
      </c>
      <c r="AJ169" s="7">
        <v>1.5</v>
      </c>
      <c r="AK169" s="7">
        <v>8.8000000000000007</v>
      </c>
      <c r="AL169" s="7">
        <v>5</v>
      </c>
      <c r="AM169" s="7">
        <v>8</v>
      </c>
      <c r="AN169" s="7">
        <v>46.7</v>
      </c>
      <c r="AO169" s="7">
        <v>52.3</v>
      </c>
      <c r="AP169" s="7">
        <v>19.2</v>
      </c>
      <c r="AQ169" s="7">
        <v>100.41</v>
      </c>
      <c r="AR169" s="7">
        <v>7</v>
      </c>
      <c r="AS169" s="7">
        <v>3183</v>
      </c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1"/>
    </row>
    <row r="170" spans="1:70" ht="13">
      <c r="A170" s="6" t="s">
        <v>377</v>
      </c>
      <c r="B170" s="6" t="s">
        <v>378</v>
      </c>
      <c r="C170" s="7">
        <v>23</v>
      </c>
      <c r="D170" s="7">
        <v>44</v>
      </c>
      <c r="E170" s="7">
        <v>9</v>
      </c>
      <c r="F170" s="7">
        <v>35</v>
      </c>
      <c r="G170" s="7">
        <v>26.6</v>
      </c>
      <c r="H170" s="8">
        <v>673</v>
      </c>
      <c r="I170" s="9">
        <v>268</v>
      </c>
      <c r="J170" s="9">
        <v>449</v>
      </c>
      <c r="K170" s="8">
        <v>60.4</v>
      </c>
      <c r="L170" s="8">
        <v>0</v>
      </c>
      <c r="M170" s="9">
        <v>4</v>
      </c>
      <c r="N170" s="8">
        <v>0</v>
      </c>
      <c r="O170" s="8">
        <v>132</v>
      </c>
      <c r="P170" s="8">
        <v>163</v>
      </c>
      <c r="Q170" s="8">
        <v>80.400000000000006</v>
      </c>
      <c r="R170" s="9">
        <v>132</v>
      </c>
      <c r="S170" s="9">
        <v>317</v>
      </c>
      <c r="T170" s="9">
        <v>449</v>
      </c>
      <c r="U170" s="9">
        <v>110</v>
      </c>
      <c r="V170" s="9">
        <v>70</v>
      </c>
      <c r="W170" s="9">
        <v>31</v>
      </c>
      <c r="X170" s="9">
        <v>53</v>
      </c>
      <c r="Y170" s="9">
        <v>106</v>
      </c>
      <c r="Z170" s="8">
        <v>1558</v>
      </c>
      <c r="AA170" s="8">
        <v>21</v>
      </c>
      <c r="AB170" s="8">
        <v>0</v>
      </c>
      <c r="AC170" s="7">
        <v>-6.8</v>
      </c>
      <c r="AD170" s="7">
        <v>106.3</v>
      </c>
      <c r="AE170" s="7">
        <v>118.9</v>
      </c>
      <c r="AF170" s="7">
        <v>-12.7</v>
      </c>
      <c r="AG170" s="7">
        <v>15.4</v>
      </c>
      <c r="AH170" s="7">
        <v>1.54</v>
      </c>
      <c r="AI170" s="7">
        <v>15.7</v>
      </c>
      <c r="AJ170" s="7">
        <v>10.3</v>
      </c>
      <c r="AK170" s="7">
        <v>25.5</v>
      </c>
      <c r="AL170" s="7">
        <v>17.8</v>
      </c>
      <c r="AM170" s="7">
        <v>10.199999999999999</v>
      </c>
      <c r="AN170" s="7">
        <v>60.4</v>
      </c>
      <c r="AO170" s="7">
        <v>64.7</v>
      </c>
      <c r="AP170" s="7">
        <v>21</v>
      </c>
      <c r="AQ170" s="7">
        <v>100.77</v>
      </c>
      <c r="AR170" s="7">
        <v>15.6</v>
      </c>
      <c r="AS170" s="7">
        <v>2463</v>
      </c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1"/>
    </row>
    <row r="171" spans="1:70" ht="13">
      <c r="A171" s="6" t="s">
        <v>379</v>
      </c>
      <c r="B171" s="6" t="s">
        <v>380</v>
      </c>
      <c r="C171" s="7">
        <v>32</v>
      </c>
      <c r="D171" s="7">
        <v>77</v>
      </c>
      <c r="E171" s="7">
        <v>38</v>
      </c>
      <c r="F171" s="7">
        <v>39</v>
      </c>
      <c r="G171" s="7">
        <v>29.6</v>
      </c>
      <c r="H171" s="8">
        <v>670</v>
      </c>
      <c r="I171" s="9">
        <v>239</v>
      </c>
      <c r="J171" s="9">
        <v>547</v>
      </c>
      <c r="K171" s="8">
        <v>43.9</v>
      </c>
      <c r="L171" s="9">
        <v>116</v>
      </c>
      <c r="M171" s="9">
        <v>331</v>
      </c>
      <c r="N171" s="8">
        <v>34.200000000000003</v>
      </c>
      <c r="O171" s="8">
        <v>85</v>
      </c>
      <c r="P171" s="8">
        <v>92</v>
      </c>
      <c r="Q171" s="8">
        <v>86.3</v>
      </c>
      <c r="R171" s="9">
        <v>31</v>
      </c>
      <c r="S171" s="9">
        <v>139</v>
      </c>
      <c r="T171" s="9">
        <v>169</v>
      </c>
      <c r="U171" s="9">
        <v>139</v>
      </c>
      <c r="V171" s="9">
        <v>62</v>
      </c>
      <c r="W171" s="9">
        <v>100</v>
      </c>
      <c r="X171" s="9">
        <v>31</v>
      </c>
      <c r="Y171" s="9">
        <v>139</v>
      </c>
      <c r="Z171" s="8">
        <v>1417</v>
      </c>
      <c r="AA171" s="8">
        <v>0</v>
      </c>
      <c r="AB171" s="8">
        <v>0</v>
      </c>
      <c r="AC171" s="7">
        <v>0.1</v>
      </c>
      <c r="AD171" s="7">
        <v>109.1</v>
      </c>
      <c r="AE171" s="7">
        <v>108.6</v>
      </c>
      <c r="AF171" s="7">
        <v>0.5</v>
      </c>
      <c r="AG171" s="7">
        <v>8.6</v>
      </c>
      <c r="AH171" s="7">
        <v>2.19</v>
      </c>
      <c r="AI171" s="7">
        <v>17.7</v>
      </c>
      <c r="AJ171" s="7">
        <v>1.4</v>
      </c>
      <c r="AK171" s="7">
        <v>6.4</v>
      </c>
      <c r="AL171" s="7">
        <v>3.8</v>
      </c>
      <c r="AM171" s="7">
        <v>8.1</v>
      </c>
      <c r="AN171" s="7">
        <v>54.3</v>
      </c>
      <c r="AO171" s="7">
        <v>57.4</v>
      </c>
      <c r="AP171" s="7">
        <v>12.1</v>
      </c>
      <c r="AQ171" s="7">
        <v>96.52</v>
      </c>
      <c r="AR171" s="7">
        <v>6.5</v>
      </c>
      <c r="AS171" s="7">
        <v>4577</v>
      </c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1"/>
    </row>
    <row r="172" spans="1:70" ht="13">
      <c r="A172" s="6" t="s">
        <v>381</v>
      </c>
      <c r="B172" s="6" t="s">
        <v>382</v>
      </c>
      <c r="C172" s="7">
        <v>25</v>
      </c>
      <c r="D172" s="7">
        <v>64</v>
      </c>
      <c r="E172" s="7">
        <v>19</v>
      </c>
      <c r="F172" s="7">
        <v>45</v>
      </c>
      <c r="G172" s="7">
        <v>27.2</v>
      </c>
      <c r="H172" s="8">
        <v>666</v>
      </c>
      <c r="I172" s="9">
        <v>269</v>
      </c>
      <c r="J172" s="9">
        <v>531</v>
      </c>
      <c r="K172" s="8">
        <v>49.8</v>
      </c>
      <c r="L172" s="9">
        <v>102</v>
      </c>
      <c r="M172" s="9">
        <v>256</v>
      </c>
      <c r="N172" s="8">
        <v>39.9</v>
      </c>
      <c r="O172" s="8">
        <v>32</v>
      </c>
      <c r="P172" s="8">
        <v>51</v>
      </c>
      <c r="Q172" s="8">
        <v>70.8</v>
      </c>
      <c r="R172" s="9">
        <v>64</v>
      </c>
      <c r="S172" s="9">
        <v>179</v>
      </c>
      <c r="T172" s="9">
        <v>243</v>
      </c>
      <c r="U172" s="9">
        <v>96</v>
      </c>
      <c r="V172" s="9">
        <v>51</v>
      </c>
      <c r="W172" s="9">
        <v>58</v>
      </c>
      <c r="X172" s="9">
        <v>32</v>
      </c>
      <c r="Y172" s="9">
        <v>128</v>
      </c>
      <c r="Z172" s="8">
        <v>1312</v>
      </c>
      <c r="AA172" s="8">
        <v>0</v>
      </c>
      <c r="AB172" s="8">
        <v>0</v>
      </c>
      <c r="AC172" s="7">
        <v>-3.3</v>
      </c>
      <c r="AD172" s="7">
        <v>106.4</v>
      </c>
      <c r="AE172" s="7">
        <v>112.2</v>
      </c>
      <c r="AF172" s="7">
        <v>-5.7</v>
      </c>
      <c r="AG172" s="7">
        <v>8.1</v>
      </c>
      <c r="AH172" s="7">
        <v>1.81</v>
      </c>
      <c r="AI172" s="7">
        <v>13.9</v>
      </c>
      <c r="AJ172" s="7">
        <v>3.3</v>
      </c>
      <c r="AK172" s="7">
        <v>9.8000000000000007</v>
      </c>
      <c r="AL172" s="7">
        <v>6.6</v>
      </c>
      <c r="AM172" s="7">
        <v>7.6</v>
      </c>
      <c r="AN172" s="7">
        <v>59.3</v>
      </c>
      <c r="AO172" s="7">
        <v>60.1</v>
      </c>
      <c r="AP172" s="7">
        <v>14.4</v>
      </c>
      <c r="AQ172" s="7">
        <v>101.93</v>
      </c>
      <c r="AR172" s="7">
        <v>8.1</v>
      </c>
      <c r="AS172" s="7">
        <v>3691</v>
      </c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1"/>
    </row>
    <row r="173" spans="1:70" ht="13">
      <c r="A173" s="6" t="s">
        <v>383</v>
      </c>
      <c r="B173" s="6" t="s">
        <v>384</v>
      </c>
      <c r="C173" s="7">
        <v>21</v>
      </c>
      <c r="D173" s="7">
        <v>73</v>
      </c>
      <c r="E173" s="7">
        <v>19</v>
      </c>
      <c r="F173" s="7">
        <v>54</v>
      </c>
      <c r="G173" s="7">
        <v>26.8</v>
      </c>
      <c r="H173" s="8">
        <v>664</v>
      </c>
      <c r="I173" s="9">
        <v>270</v>
      </c>
      <c r="J173" s="9">
        <v>489</v>
      </c>
      <c r="K173" s="8">
        <v>54.7</v>
      </c>
      <c r="L173" s="8">
        <v>0</v>
      </c>
      <c r="M173" s="8">
        <v>0</v>
      </c>
      <c r="N173" s="8">
        <v>0</v>
      </c>
      <c r="O173" s="8">
        <v>124</v>
      </c>
      <c r="P173" s="8">
        <v>204</v>
      </c>
      <c r="Q173" s="8">
        <v>62.3</v>
      </c>
      <c r="R173" s="9">
        <v>256</v>
      </c>
      <c r="S173" s="9">
        <v>343</v>
      </c>
      <c r="T173" s="9">
        <v>599</v>
      </c>
      <c r="U173" s="9">
        <v>102</v>
      </c>
      <c r="V173" s="9">
        <v>80</v>
      </c>
      <c r="W173" s="9">
        <v>37</v>
      </c>
      <c r="X173" s="9">
        <v>95</v>
      </c>
      <c r="Y173" s="9">
        <v>146</v>
      </c>
      <c r="Z173" s="8">
        <v>1854</v>
      </c>
      <c r="AA173" s="8">
        <v>14</v>
      </c>
      <c r="AB173" s="8">
        <v>0</v>
      </c>
      <c r="AC173" s="7">
        <v>-7</v>
      </c>
      <c r="AD173" s="7">
        <v>107.8</v>
      </c>
      <c r="AE173" s="7">
        <v>120.5</v>
      </c>
      <c r="AF173" s="7">
        <v>-12.7</v>
      </c>
      <c r="AG173" s="7">
        <v>7.2</v>
      </c>
      <c r="AH173" s="7">
        <v>1.21</v>
      </c>
      <c r="AI173" s="7">
        <v>12.9</v>
      </c>
      <c r="AJ173" s="7">
        <v>12.2</v>
      </c>
      <c r="AK173" s="7">
        <v>17.7</v>
      </c>
      <c r="AL173" s="7">
        <v>14.9</v>
      </c>
      <c r="AM173" s="7">
        <v>10.7</v>
      </c>
      <c r="AN173" s="7">
        <v>54.7</v>
      </c>
      <c r="AO173" s="7">
        <v>57.2</v>
      </c>
      <c r="AP173" s="7">
        <v>14.1</v>
      </c>
      <c r="AQ173" s="7">
        <v>99.85</v>
      </c>
      <c r="AR173" s="7">
        <v>9</v>
      </c>
      <c r="AS173" s="7">
        <v>4069</v>
      </c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1"/>
    </row>
    <row r="174" spans="1:70" ht="13">
      <c r="A174" s="6" t="s">
        <v>385</v>
      </c>
      <c r="B174" s="6" t="s">
        <v>386</v>
      </c>
      <c r="C174" s="7">
        <v>35</v>
      </c>
      <c r="D174" s="7">
        <v>41</v>
      </c>
      <c r="E174" s="7">
        <v>15</v>
      </c>
      <c r="F174" s="7">
        <v>26</v>
      </c>
      <c r="G174" s="7">
        <v>32.5</v>
      </c>
      <c r="H174" s="8">
        <v>664</v>
      </c>
      <c r="I174" s="9">
        <v>246</v>
      </c>
      <c r="J174" s="9">
        <v>570</v>
      </c>
      <c r="K174" s="8">
        <v>43</v>
      </c>
      <c r="L174" s="9">
        <v>94</v>
      </c>
      <c r="M174" s="9">
        <v>267</v>
      </c>
      <c r="N174" s="8">
        <v>35.799999999999997</v>
      </c>
      <c r="O174" s="8">
        <v>78</v>
      </c>
      <c r="P174" s="8">
        <v>98</v>
      </c>
      <c r="Q174" s="8">
        <v>81.400000000000006</v>
      </c>
      <c r="R174" s="9">
        <v>25</v>
      </c>
      <c r="S174" s="9">
        <v>197</v>
      </c>
      <c r="T174" s="9">
        <v>217</v>
      </c>
      <c r="U174" s="9">
        <v>176</v>
      </c>
      <c r="V174" s="9">
        <v>107</v>
      </c>
      <c r="W174" s="9">
        <v>74</v>
      </c>
      <c r="X174" s="9">
        <v>21</v>
      </c>
      <c r="Y174" s="9">
        <v>103</v>
      </c>
      <c r="Z174" s="8">
        <v>1374</v>
      </c>
      <c r="AA174" s="8">
        <v>3</v>
      </c>
      <c r="AB174" s="8">
        <v>0</v>
      </c>
      <c r="AC174" s="7">
        <v>-2</v>
      </c>
      <c r="AD174" s="7">
        <v>108.3</v>
      </c>
      <c r="AE174" s="7">
        <v>112.2</v>
      </c>
      <c r="AF174" s="7">
        <v>-3.8</v>
      </c>
      <c r="AG174" s="7">
        <v>21.7</v>
      </c>
      <c r="AH174" s="7">
        <v>1.68</v>
      </c>
      <c r="AI174" s="7">
        <v>19.899999999999999</v>
      </c>
      <c r="AJ174" s="7">
        <v>1.8</v>
      </c>
      <c r="AK174" s="7">
        <v>15.3</v>
      </c>
      <c r="AL174" s="7">
        <v>8.3000000000000007</v>
      </c>
      <c r="AM174" s="7">
        <v>11.8</v>
      </c>
      <c r="AN174" s="7">
        <v>51.4</v>
      </c>
      <c r="AO174" s="7">
        <v>54.3</v>
      </c>
      <c r="AP174" s="7">
        <v>23.3</v>
      </c>
      <c r="AQ174" s="7">
        <v>98.87</v>
      </c>
      <c r="AR174" s="7">
        <v>10.6</v>
      </c>
      <c r="AS174" s="7">
        <v>2757</v>
      </c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1"/>
    </row>
    <row r="175" spans="1:70" ht="13">
      <c r="A175" s="6" t="s">
        <v>387</v>
      </c>
      <c r="B175" s="6" t="s">
        <v>388</v>
      </c>
      <c r="C175" s="7">
        <v>25</v>
      </c>
      <c r="D175" s="7">
        <v>80</v>
      </c>
      <c r="E175" s="7">
        <v>39</v>
      </c>
      <c r="F175" s="7">
        <v>41</v>
      </c>
      <c r="G175" s="7">
        <v>24.4</v>
      </c>
      <c r="H175" s="8">
        <v>664</v>
      </c>
      <c r="I175" s="9">
        <v>224</v>
      </c>
      <c r="J175" s="9">
        <v>464</v>
      </c>
      <c r="K175" s="8">
        <v>48.9</v>
      </c>
      <c r="L175" s="9">
        <v>136</v>
      </c>
      <c r="M175" s="9">
        <v>320</v>
      </c>
      <c r="N175" s="8">
        <v>43.3</v>
      </c>
      <c r="O175" s="8">
        <v>72</v>
      </c>
      <c r="P175" s="8">
        <v>88</v>
      </c>
      <c r="Q175" s="8">
        <v>84.9</v>
      </c>
      <c r="R175" s="9">
        <v>64</v>
      </c>
      <c r="S175" s="9">
        <v>152</v>
      </c>
      <c r="T175" s="9">
        <v>216</v>
      </c>
      <c r="U175" s="9">
        <v>120</v>
      </c>
      <c r="V175" s="9">
        <v>72</v>
      </c>
      <c r="W175" s="9">
        <v>120</v>
      </c>
      <c r="X175" s="9">
        <v>64</v>
      </c>
      <c r="Y175" s="9">
        <v>176</v>
      </c>
      <c r="Z175" s="8">
        <v>1584</v>
      </c>
      <c r="AA175" s="8">
        <v>0</v>
      </c>
      <c r="AB175" s="8">
        <v>0</v>
      </c>
      <c r="AC175" s="7">
        <v>0.8</v>
      </c>
      <c r="AD175" s="7">
        <v>116.1</v>
      </c>
      <c r="AE175" s="7">
        <v>113.2</v>
      </c>
      <c r="AF175" s="7">
        <v>3</v>
      </c>
      <c r="AG175" s="7">
        <v>8</v>
      </c>
      <c r="AH175" s="7">
        <v>1.69</v>
      </c>
      <c r="AI175" s="7">
        <v>17.399999999999999</v>
      </c>
      <c r="AJ175" s="7">
        <v>3.1</v>
      </c>
      <c r="AK175" s="7">
        <v>7.9</v>
      </c>
      <c r="AL175" s="7">
        <v>5.5</v>
      </c>
      <c r="AM175" s="7">
        <v>10.3</v>
      </c>
      <c r="AN175" s="7">
        <v>63.9</v>
      </c>
      <c r="AO175" s="7">
        <v>66.400000000000006</v>
      </c>
      <c r="AP175" s="7">
        <v>12.5</v>
      </c>
      <c r="AQ175" s="7">
        <v>99.07</v>
      </c>
      <c r="AR175" s="7">
        <v>7.3</v>
      </c>
      <c r="AS175" s="7">
        <v>3997</v>
      </c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1"/>
    </row>
    <row r="176" spans="1:70" ht="13">
      <c r="A176" s="6" t="s">
        <v>389</v>
      </c>
      <c r="B176" s="6" t="s">
        <v>390</v>
      </c>
      <c r="C176" s="7">
        <v>31</v>
      </c>
      <c r="D176" s="7">
        <v>80</v>
      </c>
      <c r="E176" s="7">
        <v>46</v>
      </c>
      <c r="F176" s="7">
        <v>34</v>
      </c>
      <c r="G176" s="7">
        <v>27.1</v>
      </c>
      <c r="H176" s="8">
        <v>656</v>
      </c>
      <c r="I176" s="9">
        <v>232</v>
      </c>
      <c r="J176" s="9">
        <v>512</v>
      </c>
      <c r="K176" s="8">
        <v>45.7</v>
      </c>
      <c r="L176" s="9">
        <v>144</v>
      </c>
      <c r="M176" s="9">
        <v>336</v>
      </c>
      <c r="N176" s="8">
        <v>43.9</v>
      </c>
      <c r="O176" s="8">
        <v>40</v>
      </c>
      <c r="P176" s="8">
        <v>48</v>
      </c>
      <c r="Q176" s="8">
        <v>81.3</v>
      </c>
      <c r="R176" s="9">
        <v>32</v>
      </c>
      <c r="S176" s="9">
        <v>256</v>
      </c>
      <c r="T176" s="9">
        <v>288</v>
      </c>
      <c r="U176" s="9">
        <v>152</v>
      </c>
      <c r="V176" s="9">
        <v>80</v>
      </c>
      <c r="W176" s="9">
        <v>80</v>
      </c>
      <c r="X176" s="9">
        <v>16</v>
      </c>
      <c r="Y176" s="9">
        <v>168</v>
      </c>
      <c r="Z176" s="8">
        <v>1424</v>
      </c>
      <c r="AA176" s="8">
        <v>1</v>
      </c>
      <c r="AB176" s="8">
        <v>0</v>
      </c>
      <c r="AC176" s="7">
        <v>-0.3</v>
      </c>
      <c r="AD176" s="7">
        <v>114</v>
      </c>
      <c r="AE176" s="7">
        <v>114.5</v>
      </c>
      <c r="AF176" s="7">
        <v>-0.4</v>
      </c>
      <c r="AG176" s="7">
        <v>9.3000000000000007</v>
      </c>
      <c r="AH176" s="7">
        <v>1.89</v>
      </c>
      <c r="AI176" s="7">
        <v>20.100000000000001</v>
      </c>
      <c r="AJ176" s="7">
        <v>1.6</v>
      </c>
      <c r="AK176" s="7">
        <v>11</v>
      </c>
      <c r="AL176" s="7">
        <v>6.5</v>
      </c>
      <c r="AM176" s="7">
        <v>10.6</v>
      </c>
      <c r="AN176" s="7">
        <v>60</v>
      </c>
      <c r="AO176" s="7">
        <v>61.3</v>
      </c>
      <c r="AP176" s="7">
        <v>12.3</v>
      </c>
      <c r="AQ176" s="7">
        <v>100.95</v>
      </c>
      <c r="AR176" s="7">
        <v>6.4</v>
      </c>
      <c r="AS176" s="7">
        <v>4554</v>
      </c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1"/>
    </row>
    <row r="177" spans="1:70" ht="13">
      <c r="A177" s="6" t="s">
        <v>391</v>
      </c>
      <c r="B177" s="6" t="s">
        <v>392</v>
      </c>
      <c r="C177" s="7">
        <v>25</v>
      </c>
      <c r="D177" s="7">
        <v>65</v>
      </c>
      <c r="E177" s="7">
        <v>44</v>
      </c>
      <c r="F177" s="7">
        <v>21</v>
      </c>
      <c r="G177" s="7">
        <v>28.9</v>
      </c>
      <c r="H177" s="8">
        <v>650</v>
      </c>
      <c r="I177" s="9">
        <v>247</v>
      </c>
      <c r="J177" s="9">
        <v>540</v>
      </c>
      <c r="K177" s="8">
        <v>45.8</v>
      </c>
      <c r="L177" s="9">
        <v>52</v>
      </c>
      <c r="M177" s="9">
        <v>176</v>
      </c>
      <c r="N177" s="8">
        <v>29.1</v>
      </c>
      <c r="O177" s="8">
        <v>111</v>
      </c>
      <c r="P177" s="8">
        <v>137</v>
      </c>
      <c r="Q177" s="8">
        <v>79.400000000000006</v>
      </c>
      <c r="R177" s="9">
        <v>33</v>
      </c>
      <c r="S177" s="9">
        <v>182</v>
      </c>
      <c r="T177" s="9">
        <v>215</v>
      </c>
      <c r="U177" s="9">
        <v>325</v>
      </c>
      <c r="V177" s="9">
        <v>111</v>
      </c>
      <c r="W177" s="9">
        <v>78</v>
      </c>
      <c r="X177" s="9">
        <v>13</v>
      </c>
      <c r="Y177" s="9">
        <v>150</v>
      </c>
      <c r="Z177" s="8">
        <v>1560</v>
      </c>
      <c r="AA177" s="8">
        <v>2</v>
      </c>
      <c r="AB177" s="8">
        <v>0</v>
      </c>
      <c r="AC177" s="7">
        <v>3.1</v>
      </c>
      <c r="AD177" s="7">
        <v>115.5</v>
      </c>
      <c r="AE177" s="7">
        <v>110.2</v>
      </c>
      <c r="AF177" s="7">
        <v>5.3</v>
      </c>
      <c r="AG177" s="7">
        <v>22.5</v>
      </c>
      <c r="AH177" s="7">
        <v>2.91</v>
      </c>
      <c r="AI177" s="7">
        <v>31.4</v>
      </c>
      <c r="AJ177" s="7">
        <v>1.8</v>
      </c>
      <c r="AK177" s="7">
        <v>9.3000000000000007</v>
      </c>
      <c r="AL177" s="7">
        <v>5.7</v>
      </c>
      <c r="AM177" s="7">
        <v>10.8</v>
      </c>
      <c r="AN177" s="7">
        <v>50.6</v>
      </c>
      <c r="AO177" s="7">
        <v>54.5</v>
      </c>
      <c r="AP177" s="7">
        <v>16.3</v>
      </c>
      <c r="AQ177" s="7">
        <v>101.31</v>
      </c>
      <c r="AR177" s="7">
        <v>8.1</v>
      </c>
      <c r="AS177" s="7">
        <v>3967</v>
      </c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1"/>
    </row>
    <row r="178" spans="1:70" ht="13">
      <c r="A178" s="6" t="s">
        <v>393</v>
      </c>
      <c r="B178" s="6" t="s">
        <v>394</v>
      </c>
      <c r="C178" s="7">
        <v>23</v>
      </c>
      <c r="D178" s="7">
        <v>58</v>
      </c>
      <c r="E178" s="7">
        <v>14</v>
      </c>
      <c r="F178" s="7">
        <v>44</v>
      </c>
      <c r="G178" s="7">
        <v>30</v>
      </c>
      <c r="H178" s="8">
        <v>644</v>
      </c>
      <c r="I178" s="9">
        <v>278</v>
      </c>
      <c r="J178" s="9">
        <v>418</v>
      </c>
      <c r="K178" s="8">
        <v>66.3</v>
      </c>
      <c r="L178" s="9">
        <v>6</v>
      </c>
      <c r="M178" s="9">
        <v>35</v>
      </c>
      <c r="N178" s="8">
        <v>17.600000000000001</v>
      </c>
      <c r="O178" s="8">
        <v>81</v>
      </c>
      <c r="P178" s="8">
        <v>151</v>
      </c>
      <c r="Q178" s="8">
        <v>52</v>
      </c>
      <c r="R178" s="9">
        <v>267</v>
      </c>
      <c r="S178" s="9">
        <v>441</v>
      </c>
      <c r="T178" s="9">
        <v>708</v>
      </c>
      <c r="U178" s="9">
        <v>99</v>
      </c>
      <c r="V178" s="9">
        <v>87</v>
      </c>
      <c r="W178" s="9">
        <v>35</v>
      </c>
      <c r="X178" s="9">
        <v>139</v>
      </c>
      <c r="Y178" s="9">
        <v>128</v>
      </c>
      <c r="Z178" s="8">
        <v>2071</v>
      </c>
      <c r="AA178" s="8">
        <v>28</v>
      </c>
      <c r="AB178" s="8">
        <v>0</v>
      </c>
      <c r="AC178" s="7">
        <v>-5.7</v>
      </c>
      <c r="AD178" s="7">
        <v>109.2</v>
      </c>
      <c r="AE178" s="7">
        <v>118.3</v>
      </c>
      <c r="AF178" s="7">
        <v>-9.1</v>
      </c>
      <c r="AG178" s="7">
        <v>8.3000000000000007</v>
      </c>
      <c r="AH178" s="7">
        <v>1.1299999999999999</v>
      </c>
      <c r="AI178" s="7">
        <v>14.6</v>
      </c>
      <c r="AJ178" s="7">
        <v>14.5</v>
      </c>
      <c r="AK178" s="7">
        <v>23.5</v>
      </c>
      <c r="AL178" s="7">
        <v>19</v>
      </c>
      <c r="AM178" s="7">
        <v>13</v>
      </c>
      <c r="AN178" s="7">
        <v>67.099999999999994</v>
      </c>
      <c r="AO178" s="7">
        <v>66</v>
      </c>
      <c r="AP178" s="7">
        <v>13.3</v>
      </c>
      <c r="AQ178" s="7">
        <v>100.8</v>
      </c>
      <c r="AR178" s="7">
        <v>12.7</v>
      </c>
      <c r="AS178" s="7">
        <v>3656</v>
      </c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1"/>
    </row>
    <row r="179" spans="1:70" ht="13">
      <c r="A179" s="6" t="s">
        <v>395</v>
      </c>
      <c r="B179" s="6" t="s">
        <v>396</v>
      </c>
      <c r="C179" s="7">
        <v>27</v>
      </c>
      <c r="D179" s="7">
        <v>57</v>
      </c>
      <c r="E179" s="7">
        <v>49</v>
      </c>
      <c r="F179" s="7">
        <v>8</v>
      </c>
      <c r="G179" s="7">
        <v>27.9</v>
      </c>
      <c r="H179" s="8">
        <v>638</v>
      </c>
      <c r="I179" s="9">
        <v>279</v>
      </c>
      <c r="J179" s="9">
        <v>479</v>
      </c>
      <c r="K179" s="8">
        <v>58.1</v>
      </c>
      <c r="L179" s="8">
        <v>0</v>
      </c>
      <c r="M179" s="9">
        <v>17</v>
      </c>
      <c r="N179" s="8">
        <v>0</v>
      </c>
      <c r="O179" s="8">
        <v>80</v>
      </c>
      <c r="P179" s="8">
        <v>120</v>
      </c>
      <c r="Q179" s="8">
        <v>67.5</v>
      </c>
      <c r="R179" s="9">
        <v>165</v>
      </c>
      <c r="S179" s="9">
        <v>450</v>
      </c>
      <c r="T179" s="9">
        <v>610</v>
      </c>
      <c r="U179" s="9">
        <v>217</v>
      </c>
      <c r="V179" s="9">
        <v>97</v>
      </c>
      <c r="W179" s="9">
        <v>46</v>
      </c>
      <c r="X179" s="9">
        <v>63</v>
      </c>
      <c r="Y179" s="9">
        <v>171</v>
      </c>
      <c r="Z179" s="8">
        <v>1927</v>
      </c>
      <c r="AA179" s="8">
        <v>28</v>
      </c>
      <c r="AB179" s="8">
        <v>0</v>
      </c>
      <c r="AC179" s="7">
        <v>7.3</v>
      </c>
      <c r="AD179" s="7">
        <v>118.3</v>
      </c>
      <c r="AE179" s="7">
        <v>105.3</v>
      </c>
      <c r="AF179" s="7">
        <v>13</v>
      </c>
      <c r="AG179" s="7">
        <v>17.7</v>
      </c>
      <c r="AH179" s="7">
        <v>2.27</v>
      </c>
      <c r="AI179" s="7">
        <v>25.8</v>
      </c>
      <c r="AJ179" s="7">
        <v>10.3</v>
      </c>
      <c r="AK179" s="7">
        <v>26.2</v>
      </c>
      <c r="AL179" s="7">
        <v>18.5</v>
      </c>
      <c r="AM179" s="7">
        <v>11.3</v>
      </c>
      <c r="AN179" s="7">
        <v>58.1</v>
      </c>
      <c r="AO179" s="7">
        <v>59.9</v>
      </c>
      <c r="AP179" s="7">
        <v>16.5</v>
      </c>
      <c r="AQ179" s="7">
        <v>101.56</v>
      </c>
      <c r="AR179" s="7">
        <v>13.8</v>
      </c>
      <c r="AS179" s="7">
        <v>3355</v>
      </c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1"/>
    </row>
    <row r="180" spans="1:70" ht="13">
      <c r="A180" s="6" t="s">
        <v>397</v>
      </c>
      <c r="B180" s="6" t="s">
        <v>398</v>
      </c>
      <c r="C180" s="7">
        <v>23</v>
      </c>
      <c r="D180" s="7">
        <v>63</v>
      </c>
      <c r="E180" s="7">
        <v>22</v>
      </c>
      <c r="F180" s="7">
        <v>41</v>
      </c>
      <c r="G180" s="7">
        <v>24.5</v>
      </c>
      <c r="H180" s="8">
        <v>630</v>
      </c>
      <c r="I180" s="9">
        <v>214</v>
      </c>
      <c r="J180" s="9">
        <v>523</v>
      </c>
      <c r="K180" s="8">
        <v>41.2</v>
      </c>
      <c r="L180" s="9">
        <v>101</v>
      </c>
      <c r="M180" s="9">
        <v>302</v>
      </c>
      <c r="N180" s="8">
        <v>34.1</v>
      </c>
      <c r="O180" s="8">
        <v>101</v>
      </c>
      <c r="P180" s="8">
        <v>126</v>
      </c>
      <c r="Q180" s="8">
        <v>82.1</v>
      </c>
      <c r="R180" s="9">
        <v>63</v>
      </c>
      <c r="S180" s="9">
        <v>227</v>
      </c>
      <c r="T180" s="9">
        <v>290</v>
      </c>
      <c r="U180" s="9">
        <v>82</v>
      </c>
      <c r="V180" s="9">
        <v>69</v>
      </c>
      <c r="W180" s="9">
        <v>63</v>
      </c>
      <c r="X180" s="9">
        <v>25</v>
      </c>
      <c r="Y180" s="9">
        <v>151</v>
      </c>
      <c r="Z180" s="8">
        <v>1304</v>
      </c>
      <c r="AA180" s="8">
        <v>2</v>
      </c>
      <c r="AB180" s="8">
        <v>0</v>
      </c>
      <c r="AC180" s="7">
        <v>-5.2</v>
      </c>
      <c r="AD180" s="7">
        <v>106.5</v>
      </c>
      <c r="AE180" s="7">
        <v>116.2</v>
      </c>
      <c r="AF180" s="7">
        <v>-9.6999999999999993</v>
      </c>
      <c r="AG180" s="7">
        <v>8.6</v>
      </c>
      <c r="AH180" s="7">
        <v>1.25</v>
      </c>
      <c r="AI180" s="7">
        <v>11.6</v>
      </c>
      <c r="AJ180" s="7">
        <v>3.7</v>
      </c>
      <c r="AK180" s="7">
        <v>15.4</v>
      </c>
      <c r="AL180" s="7">
        <v>9.3000000000000007</v>
      </c>
      <c r="AM180" s="7">
        <v>9.3000000000000007</v>
      </c>
      <c r="AN180" s="7">
        <v>51.1</v>
      </c>
      <c r="AO180" s="7">
        <v>55</v>
      </c>
      <c r="AP180" s="7">
        <v>17.899999999999999</v>
      </c>
      <c r="AQ180" s="7">
        <v>97.77</v>
      </c>
      <c r="AR180" s="7">
        <v>8.1</v>
      </c>
      <c r="AS180" s="7">
        <v>3128</v>
      </c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1"/>
    </row>
    <row r="181" spans="1:70" ht="13">
      <c r="A181" s="6" t="s">
        <v>399</v>
      </c>
      <c r="B181" s="6" t="s">
        <v>400</v>
      </c>
      <c r="C181" s="7">
        <v>25</v>
      </c>
      <c r="D181" s="7">
        <v>67</v>
      </c>
      <c r="E181" s="7">
        <v>35</v>
      </c>
      <c r="F181" s="7">
        <v>32</v>
      </c>
      <c r="G181" s="7">
        <v>18.399999999999999</v>
      </c>
      <c r="H181" s="8">
        <v>630</v>
      </c>
      <c r="I181" s="9">
        <v>228</v>
      </c>
      <c r="J181" s="9">
        <v>543</v>
      </c>
      <c r="K181" s="8">
        <v>42.4</v>
      </c>
      <c r="L181" s="9">
        <v>74</v>
      </c>
      <c r="M181" s="9">
        <v>221</v>
      </c>
      <c r="N181" s="8">
        <v>35.299999999999997</v>
      </c>
      <c r="O181" s="8">
        <v>94</v>
      </c>
      <c r="P181" s="8">
        <v>114</v>
      </c>
      <c r="Q181" s="8">
        <v>82.3</v>
      </c>
      <c r="R181" s="9">
        <v>47</v>
      </c>
      <c r="S181" s="9">
        <v>161</v>
      </c>
      <c r="T181" s="9">
        <v>201</v>
      </c>
      <c r="U181" s="9">
        <v>194</v>
      </c>
      <c r="V181" s="9">
        <v>101</v>
      </c>
      <c r="W181" s="9">
        <v>47</v>
      </c>
      <c r="X181" s="9">
        <v>34</v>
      </c>
      <c r="Y181" s="9">
        <v>154</v>
      </c>
      <c r="Z181" s="8">
        <v>1286</v>
      </c>
      <c r="AA181" s="8">
        <v>0</v>
      </c>
      <c r="AB181" s="8">
        <v>0</v>
      </c>
      <c r="AC181" s="7">
        <v>-0.2</v>
      </c>
      <c r="AD181" s="7">
        <v>107.7</v>
      </c>
      <c r="AE181" s="7">
        <v>109</v>
      </c>
      <c r="AF181" s="7">
        <v>-1.2</v>
      </c>
      <c r="AG181" s="7">
        <v>25.3</v>
      </c>
      <c r="AH181" s="7">
        <v>1.85</v>
      </c>
      <c r="AI181" s="7">
        <v>21.6</v>
      </c>
      <c r="AJ181" s="7">
        <v>3.4</v>
      </c>
      <c r="AK181" s="7">
        <v>13.1</v>
      </c>
      <c r="AL181" s="7">
        <v>8</v>
      </c>
      <c r="AM181" s="7">
        <v>11.6</v>
      </c>
      <c r="AN181" s="7">
        <v>49.4</v>
      </c>
      <c r="AO181" s="7">
        <v>53.1</v>
      </c>
      <c r="AP181" s="7">
        <v>23.8</v>
      </c>
      <c r="AQ181" s="7">
        <v>97.7</v>
      </c>
      <c r="AR181" s="7">
        <v>10.5</v>
      </c>
      <c r="AS181" s="7">
        <v>2519</v>
      </c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1"/>
    </row>
    <row r="182" spans="1:70" ht="13">
      <c r="A182" s="13" t="s">
        <v>401</v>
      </c>
      <c r="B182" s="6" t="s">
        <v>402</v>
      </c>
      <c r="C182" s="7">
        <v>26</v>
      </c>
      <c r="D182" s="7">
        <v>68</v>
      </c>
      <c r="E182" s="7">
        <v>31</v>
      </c>
      <c r="F182" s="7">
        <v>37</v>
      </c>
      <c r="G182" s="7">
        <v>25.9</v>
      </c>
      <c r="H182" s="8">
        <v>619</v>
      </c>
      <c r="I182" s="9">
        <v>224</v>
      </c>
      <c r="J182" s="9">
        <v>490</v>
      </c>
      <c r="K182" s="8">
        <v>46</v>
      </c>
      <c r="L182" s="9">
        <v>34</v>
      </c>
      <c r="M182" s="9">
        <v>156</v>
      </c>
      <c r="N182" s="8">
        <v>23.4</v>
      </c>
      <c r="O182" s="8">
        <v>129</v>
      </c>
      <c r="P182" s="8">
        <v>177</v>
      </c>
      <c r="Q182" s="8">
        <v>73.7</v>
      </c>
      <c r="R182" s="9">
        <v>150</v>
      </c>
      <c r="S182" s="9">
        <v>340</v>
      </c>
      <c r="T182" s="9">
        <v>490</v>
      </c>
      <c r="U182" s="9">
        <v>136</v>
      </c>
      <c r="V182" s="9">
        <v>75</v>
      </c>
      <c r="W182" s="9">
        <v>54</v>
      </c>
      <c r="X182" s="9">
        <v>41</v>
      </c>
      <c r="Y182" s="9">
        <v>197</v>
      </c>
      <c r="Z182" s="8">
        <v>1612</v>
      </c>
      <c r="AA182" s="8">
        <v>10</v>
      </c>
      <c r="AB182" s="8">
        <v>0</v>
      </c>
      <c r="AC182" s="7">
        <v>-0.2</v>
      </c>
      <c r="AD182" s="7">
        <v>107.8</v>
      </c>
      <c r="AE182" s="7">
        <v>107.8</v>
      </c>
      <c r="AF182" s="7">
        <v>0</v>
      </c>
      <c r="AG182" s="7">
        <v>11.7</v>
      </c>
      <c r="AH182" s="7">
        <v>1.74</v>
      </c>
      <c r="AI182" s="7">
        <v>17.2</v>
      </c>
      <c r="AJ182" s="7">
        <v>8.3000000000000007</v>
      </c>
      <c r="AK182" s="7">
        <v>20.2</v>
      </c>
      <c r="AL182" s="7">
        <v>14</v>
      </c>
      <c r="AM182" s="7">
        <v>9.9</v>
      </c>
      <c r="AN182" s="7">
        <v>49.8</v>
      </c>
      <c r="AO182" s="7">
        <v>54.4</v>
      </c>
      <c r="AP182" s="7">
        <v>15.9</v>
      </c>
      <c r="AQ182" s="7">
        <v>97.19</v>
      </c>
      <c r="AR182" s="7">
        <v>9.9</v>
      </c>
      <c r="AS182" s="7">
        <v>3554</v>
      </c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1"/>
    </row>
    <row r="183" spans="1:70" ht="13">
      <c r="A183" s="6" t="s">
        <v>403</v>
      </c>
      <c r="B183" s="6" t="s">
        <v>404</v>
      </c>
      <c r="C183" s="7">
        <v>20</v>
      </c>
      <c r="D183" s="7">
        <v>71</v>
      </c>
      <c r="E183" s="7">
        <v>14</v>
      </c>
      <c r="F183" s="7">
        <v>57</v>
      </c>
      <c r="G183" s="7">
        <v>25.9</v>
      </c>
      <c r="H183" s="8">
        <v>618</v>
      </c>
      <c r="I183" s="9">
        <v>234</v>
      </c>
      <c r="J183" s="9">
        <v>554</v>
      </c>
      <c r="K183" s="8">
        <v>42.2</v>
      </c>
      <c r="L183" s="9">
        <v>43</v>
      </c>
      <c r="M183" s="9">
        <v>170</v>
      </c>
      <c r="N183" s="8">
        <v>24.9</v>
      </c>
      <c r="O183" s="8">
        <v>107</v>
      </c>
      <c r="P183" s="8">
        <v>156</v>
      </c>
      <c r="Q183" s="8">
        <v>68.2</v>
      </c>
      <c r="R183" s="9">
        <v>36</v>
      </c>
      <c r="S183" s="9">
        <v>206</v>
      </c>
      <c r="T183" s="9">
        <v>234</v>
      </c>
      <c r="U183" s="9">
        <v>447</v>
      </c>
      <c r="V183" s="9">
        <v>206</v>
      </c>
      <c r="W183" s="9">
        <v>64</v>
      </c>
      <c r="X183" s="9">
        <v>14</v>
      </c>
      <c r="Y183" s="9">
        <v>149</v>
      </c>
      <c r="Z183" s="8">
        <v>1605</v>
      </c>
      <c r="AA183" s="8">
        <v>11</v>
      </c>
      <c r="AB183" s="8">
        <v>0</v>
      </c>
      <c r="AC183" s="7">
        <v>-5.7</v>
      </c>
      <c r="AD183" s="7">
        <v>108.3</v>
      </c>
      <c r="AE183" s="7">
        <v>118.6</v>
      </c>
      <c r="AF183" s="7">
        <v>-10.4</v>
      </c>
      <c r="AG183" s="7">
        <v>34.200000000000003</v>
      </c>
      <c r="AH183" s="7">
        <v>2.14</v>
      </c>
      <c r="AI183" s="7">
        <v>34.9</v>
      </c>
      <c r="AJ183" s="7">
        <v>1.7</v>
      </c>
      <c r="AK183" s="7">
        <v>10.4</v>
      </c>
      <c r="AL183" s="7">
        <v>6.1</v>
      </c>
      <c r="AM183" s="7">
        <v>16.3</v>
      </c>
      <c r="AN183" s="7">
        <v>45.9</v>
      </c>
      <c r="AO183" s="7">
        <v>49.4</v>
      </c>
      <c r="AP183" s="7">
        <v>18.600000000000001</v>
      </c>
      <c r="AQ183" s="7">
        <v>102.44</v>
      </c>
      <c r="AR183" s="7">
        <v>7.7</v>
      </c>
      <c r="AS183" s="7">
        <v>3927</v>
      </c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1"/>
    </row>
    <row r="184" spans="1:70" ht="13">
      <c r="A184" s="6" t="s">
        <v>405</v>
      </c>
      <c r="B184" s="6" t="s">
        <v>406</v>
      </c>
      <c r="C184" s="7">
        <v>22</v>
      </c>
      <c r="D184" s="7">
        <v>54</v>
      </c>
      <c r="E184" s="7">
        <v>21</v>
      </c>
      <c r="F184" s="7">
        <v>33</v>
      </c>
      <c r="G184" s="7">
        <v>25.3</v>
      </c>
      <c r="H184" s="8">
        <v>616</v>
      </c>
      <c r="I184" s="9">
        <v>248</v>
      </c>
      <c r="J184" s="9">
        <v>470</v>
      </c>
      <c r="K184" s="8">
        <v>53.5</v>
      </c>
      <c r="L184" s="9">
        <v>27</v>
      </c>
      <c r="M184" s="9">
        <v>92</v>
      </c>
      <c r="N184" s="8">
        <v>30.8</v>
      </c>
      <c r="O184" s="8">
        <v>86</v>
      </c>
      <c r="P184" s="8">
        <v>124</v>
      </c>
      <c r="Q184" s="8">
        <v>69.599999999999994</v>
      </c>
      <c r="R184" s="9">
        <v>130</v>
      </c>
      <c r="S184" s="9">
        <v>227</v>
      </c>
      <c r="T184" s="9">
        <v>351</v>
      </c>
      <c r="U184" s="9">
        <v>130</v>
      </c>
      <c r="V184" s="9">
        <v>86</v>
      </c>
      <c r="W184" s="9">
        <v>43</v>
      </c>
      <c r="X184" s="9">
        <v>27</v>
      </c>
      <c r="Y184" s="9">
        <v>130</v>
      </c>
      <c r="Z184" s="8">
        <v>1361</v>
      </c>
      <c r="AA184" s="8">
        <v>8</v>
      </c>
      <c r="AB184" s="8">
        <v>0</v>
      </c>
      <c r="AC184" s="7">
        <v>-1.6</v>
      </c>
      <c r="AD184" s="7">
        <v>111.9</v>
      </c>
      <c r="AE184" s="7">
        <v>114.5</v>
      </c>
      <c r="AF184" s="7">
        <v>-2.7</v>
      </c>
      <c r="AG184" s="7">
        <v>13.8</v>
      </c>
      <c r="AH184" s="7">
        <v>1.52</v>
      </c>
      <c r="AI184" s="7">
        <v>17.399999999999999</v>
      </c>
      <c r="AJ184" s="7">
        <v>8.8000000000000007</v>
      </c>
      <c r="AK184" s="7">
        <v>15.4</v>
      </c>
      <c r="AL184" s="7">
        <v>12.1</v>
      </c>
      <c r="AM184" s="7">
        <v>11.4</v>
      </c>
      <c r="AN184" s="7">
        <v>56.5</v>
      </c>
      <c r="AO184" s="7">
        <v>58.9</v>
      </c>
      <c r="AP184" s="7">
        <v>18.399999999999999</v>
      </c>
      <c r="AQ184" s="7">
        <v>101.53</v>
      </c>
      <c r="AR184" s="7">
        <v>10.1</v>
      </c>
      <c r="AS184" s="7">
        <v>2880</v>
      </c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1"/>
    </row>
    <row r="185" spans="1:70" ht="13">
      <c r="A185" s="6" t="s">
        <v>407</v>
      </c>
      <c r="B185" s="6" t="s">
        <v>408</v>
      </c>
      <c r="C185" s="7">
        <v>35</v>
      </c>
      <c r="D185" s="7">
        <v>68</v>
      </c>
      <c r="E185" s="7">
        <v>42</v>
      </c>
      <c r="F185" s="7">
        <v>26</v>
      </c>
      <c r="G185" s="7">
        <v>29.2</v>
      </c>
      <c r="H185" s="8">
        <v>612</v>
      </c>
      <c r="I185" s="9">
        <v>218</v>
      </c>
      <c r="J185" s="9">
        <v>510</v>
      </c>
      <c r="K185" s="8">
        <v>42.4</v>
      </c>
      <c r="L185" s="9">
        <v>82</v>
      </c>
      <c r="M185" s="9">
        <v>245</v>
      </c>
      <c r="N185" s="8">
        <v>32.5</v>
      </c>
      <c r="O185" s="8">
        <v>102</v>
      </c>
      <c r="P185" s="8">
        <v>150</v>
      </c>
      <c r="Q185" s="8">
        <v>68.7</v>
      </c>
      <c r="R185" s="9">
        <v>75</v>
      </c>
      <c r="S185" s="9">
        <v>340</v>
      </c>
      <c r="T185" s="9">
        <v>415</v>
      </c>
      <c r="U185" s="9">
        <v>381</v>
      </c>
      <c r="V185" s="9">
        <v>177</v>
      </c>
      <c r="W185" s="9">
        <v>102</v>
      </c>
      <c r="X185" s="9">
        <v>68</v>
      </c>
      <c r="Y185" s="9">
        <v>218</v>
      </c>
      <c r="Z185" s="8">
        <v>2020</v>
      </c>
      <c r="AA185" s="8">
        <v>6</v>
      </c>
      <c r="AB185" s="8">
        <v>1</v>
      </c>
      <c r="AC185" s="7">
        <v>4</v>
      </c>
      <c r="AD185" s="7">
        <v>115.4</v>
      </c>
      <c r="AE185" s="7">
        <v>108.8</v>
      </c>
      <c r="AF185" s="7">
        <v>6.6</v>
      </c>
      <c r="AG185" s="7">
        <v>25.5</v>
      </c>
      <c r="AH185" s="7">
        <v>2.2000000000000002</v>
      </c>
      <c r="AI185" s="7">
        <v>33.9</v>
      </c>
      <c r="AJ185" s="7">
        <v>3.6</v>
      </c>
      <c r="AK185" s="7">
        <v>16.8</v>
      </c>
      <c r="AL185" s="7">
        <v>10.199999999999999</v>
      </c>
      <c r="AM185" s="7">
        <v>15.4</v>
      </c>
      <c r="AN185" s="7">
        <v>50.3</v>
      </c>
      <c r="AO185" s="7">
        <v>53.4</v>
      </c>
      <c r="AP185" s="7">
        <v>15.7</v>
      </c>
      <c r="AQ185" s="7">
        <v>101.35</v>
      </c>
      <c r="AR185" s="7">
        <v>8.8000000000000007</v>
      </c>
      <c r="AS185" s="7">
        <v>4186</v>
      </c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1"/>
    </row>
    <row r="186" spans="1:70" ht="13">
      <c r="A186" s="6" t="s">
        <v>409</v>
      </c>
      <c r="B186" s="6" t="s">
        <v>410</v>
      </c>
      <c r="C186" s="7">
        <v>24</v>
      </c>
      <c r="D186" s="7">
        <v>64</v>
      </c>
      <c r="E186" s="7">
        <v>39</v>
      </c>
      <c r="F186" s="7">
        <v>25</v>
      </c>
      <c r="G186" s="7">
        <v>24.9</v>
      </c>
      <c r="H186" s="8">
        <v>608</v>
      </c>
      <c r="I186" s="9">
        <v>224</v>
      </c>
      <c r="J186" s="9">
        <v>544</v>
      </c>
      <c r="K186" s="8">
        <v>40.6</v>
      </c>
      <c r="L186" s="9">
        <v>115</v>
      </c>
      <c r="M186" s="9">
        <v>314</v>
      </c>
      <c r="N186" s="8">
        <v>36.9</v>
      </c>
      <c r="O186" s="8">
        <v>51</v>
      </c>
      <c r="P186" s="8">
        <v>64</v>
      </c>
      <c r="Q186" s="8">
        <v>81.3</v>
      </c>
      <c r="R186" s="9">
        <v>45</v>
      </c>
      <c r="S186" s="9">
        <v>115</v>
      </c>
      <c r="T186" s="9">
        <v>160</v>
      </c>
      <c r="U186" s="9">
        <v>186</v>
      </c>
      <c r="V186" s="9">
        <v>38</v>
      </c>
      <c r="W186" s="9">
        <v>64</v>
      </c>
      <c r="X186" s="9">
        <v>19</v>
      </c>
      <c r="Y186" s="9">
        <v>109</v>
      </c>
      <c r="Z186" s="8">
        <v>1293</v>
      </c>
      <c r="AA186" s="8">
        <v>0</v>
      </c>
      <c r="AB186" s="8">
        <v>0</v>
      </c>
      <c r="AC186" s="7">
        <v>3.3</v>
      </c>
      <c r="AD186" s="7">
        <v>116.8</v>
      </c>
      <c r="AE186" s="7">
        <v>109.7</v>
      </c>
      <c r="AF186" s="7">
        <v>7.1</v>
      </c>
      <c r="AG186" s="7">
        <v>15.5</v>
      </c>
      <c r="AH186" s="7">
        <v>4.5599999999999996</v>
      </c>
      <c r="AI186" s="7">
        <v>23.3</v>
      </c>
      <c r="AJ186" s="7">
        <v>2.8</v>
      </c>
      <c r="AK186" s="7">
        <v>6.9</v>
      </c>
      <c r="AL186" s="7">
        <v>4.9000000000000004</v>
      </c>
      <c r="AM186" s="7">
        <v>5.0999999999999996</v>
      </c>
      <c r="AN186" s="7">
        <v>51.1</v>
      </c>
      <c r="AO186" s="7">
        <v>53.1</v>
      </c>
      <c r="AP186" s="7">
        <v>16.2</v>
      </c>
      <c r="AQ186" s="7">
        <v>99.2</v>
      </c>
      <c r="AR186" s="7">
        <v>7.7</v>
      </c>
      <c r="AS186" s="7">
        <v>3283</v>
      </c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1"/>
    </row>
    <row r="187" spans="1:70" ht="13">
      <c r="A187" s="6" t="s">
        <v>411</v>
      </c>
      <c r="B187" s="6" t="s">
        <v>412</v>
      </c>
      <c r="C187" s="7">
        <v>23</v>
      </c>
      <c r="D187" s="7">
        <v>66</v>
      </c>
      <c r="E187" s="7">
        <v>35</v>
      </c>
      <c r="F187" s="7">
        <v>31</v>
      </c>
      <c r="G187" s="7">
        <v>21.5</v>
      </c>
      <c r="H187" s="8">
        <v>607</v>
      </c>
      <c r="I187" s="9">
        <v>251</v>
      </c>
      <c r="J187" s="9">
        <v>436</v>
      </c>
      <c r="K187" s="8">
        <v>58</v>
      </c>
      <c r="L187" s="9">
        <v>20</v>
      </c>
      <c r="M187" s="9">
        <v>53</v>
      </c>
      <c r="N187" s="8">
        <v>34.6</v>
      </c>
      <c r="O187" s="8">
        <v>92</v>
      </c>
      <c r="P187" s="8">
        <v>125</v>
      </c>
      <c r="Q187" s="8">
        <v>70.900000000000006</v>
      </c>
      <c r="R187" s="9">
        <v>231</v>
      </c>
      <c r="S187" s="9">
        <v>317</v>
      </c>
      <c r="T187" s="9">
        <v>548</v>
      </c>
      <c r="U187" s="9">
        <v>66</v>
      </c>
      <c r="V187" s="9">
        <v>86</v>
      </c>
      <c r="W187" s="9">
        <v>33</v>
      </c>
      <c r="X187" s="9">
        <v>86</v>
      </c>
      <c r="Y187" s="9">
        <v>185</v>
      </c>
      <c r="Z187" s="8">
        <v>1643</v>
      </c>
      <c r="AA187" s="8">
        <v>12</v>
      </c>
      <c r="AB187" s="8">
        <v>0</v>
      </c>
      <c r="AC187" s="7">
        <v>2.5</v>
      </c>
      <c r="AD187" s="7">
        <v>116.8</v>
      </c>
      <c r="AE187" s="7">
        <v>111.5</v>
      </c>
      <c r="AF187" s="7">
        <v>5.3</v>
      </c>
      <c r="AG187" s="7">
        <v>5.9</v>
      </c>
      <c r="AH187" s="7">
        <v>0.74</v>
      </c>
      <c r="AI187" s="7">
        <v>10.199999999999999</v>
      </c>
      <c r="AJ187" s="7">
        <v>15.3</v>
      </c>
      <c r="AK187" s="7">
        <v>20.399999999999999</v>
      </c>
      <c r="AL187" s="7">
        <v>17.899999999999999</v>
      </c>
      <c r="AM187" s="7">
        <v>13.9</v>
      </c>
      <c r="AN187" s="7">
        <v>60</v>
      </c>
      <c r="AO187" s="7">
        <v>62.4</v>
      </c>
      <c r="AP187" s="7">
        <v>15.6</v>
      </c>
      <c r="AQ187" s="7">
        <v>104.2</v>
      </c>
      <c r="AR187" s="7">
        <v>11.1</v>
      </c>
      <c r="AS187" s="7">
        <v>3074</v>
      </c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1"/>
    </row>
    <row r="188" spans="1:70" ht="13">
      <c r="A188" s="6" t="s">
        <v>413</v>
      </c>
      <c r="B188" s="6" t="s">
        <v>414</v>
      </c>
      <c r="C188" s="7">
        <v>23</v>
      </c>
      <c r="D188" s="7">
        <v>56</v>
      </c>
      <c r="E188" s="7">
        <v>18</v>
      </c>
      <c r="F188" s="7">
        <v>38</v>
      </c>
      <c r="G188" s="7">
        <v>23.6</v>
      </c>
      <c r="H188" s="8">
        <v>605</v>
      </c>
      <c r="I188" s="9">
        <v>207</v>
      </c>
      <c r="J188" s="9">
        <v>554</v>
      </c>
      <c r="K188" s="8">
        <v>37.200000000000003</v>
      </c>
      <c r="L188" s="9">
        <v>112</v>
      </c>
      <c r="M188" s="9">
        <v>330</v>
      </c>
      <c r="N188" s="8">
        <v>33.1</v>
      </c>
      <c r="O188" s="8">
        <v>78</v>
      </c>
      <c r="P188" s="8">
        <v>101</v>
      </c>
      <c r="Q188" s="8">
        <v>81.599999999999994</v>
      </c>
      <c r="R188" s="9">
        <v>22</v>
      </c>
      <c r="S188" s="9">
        <v>134</v>
      </c>
      <c r="T188" s="9">
        <v>157</v>
      </c>
      <c r="U188" s="9">
        <v>67</v>
      </c>
      <c r="V188" s="9">
        <v>56</v>
      </c>
      <c r="W188" s="9">
        <v>28</v>
      </c>
      <c r="X188" s="9">
        <v>22</v>
      </c>
      <c r="Y188" s="9">
        <v>50</v>
      </c>
      <c r="Z188" s="8">
        <v>991</v>
      </c>
      <c r="AA188" s="8">
        <v>0</v>
      </c>
      <c r="AB188" s="8">
        <v>0</v>
      </c>
      <c r="AC188" s="7">
        <v>-5.7</v>
      </c>
      <c r="AD188" s="7">
        <v>106.6</v>
      </c>
      <c r="AE188" s="7">
        <v>118.1</v>
      </c>
      <c r="AF188" s="7">
        <v>-11.4</v>
      </c>
      <c r="AG188" s="7">
        <v>7.6</v>
      </c>
      <c r="AH188" s="7">
        <v>1.1399999999999999</v>
      </c>
      <c r="AI188" s="7">
        <v>9.1999999999999993</v>
      </c>
      <c r="AJ188" s="7">
        <v>1.7</v>
      </c>
      <c r="AK188" s="7">
        <v>9.6999999999999993</v>
      </c>
      <c r="AL188" s="7">
        <v>5.6</v>
      </c>
      <c r="AM188" s="7">
        <v>8.1</v>
      </c>
      <c r="AN188" s="7">
        <v>47.1</v>
      </c>
      <c r="AO188" s="7">
        <v>50.4</v>
      </c>
      <c r="AP188" s="7">
        <v>20.399999999999999</v>
      </c>
      <c r="AQ188" s="7">
        <v>101.14</v>
      </c>
      <c r="AR188" s="7">
        <v>6.6</v>
      </c>
      <c r="AS188" s="7">
        <v>2783</v>
      </c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1"/>
    </row>
    <row r="189" spans="1:70" ht="13">
      <c r="A189" s="6" t="s">
        <v>415</v>
      </c>
      <c r="B189" s="6" t="s">
        <v>416</v>
      </c>
      <c r="C189" s="7">
        <v>27</v>
      </c>
      <c r="D189" s="7">
        <v>71</v>
      </c>
      <c r="E189" s="7">
        <v>52</v>
      </c>
      <c r="F189" s="7">
        <v>19</v>
      </c>
      <c r="G189" s="7">
        <v>21.7</v>
      </c>
      <c r="H189" s="8">
        <v>604</v>
      </c>
      <c r="I189" s="9">
        <v>213</v>
      </c>
      <c r="J189" s="9">
        <v>476</v>
      </c>
      <c r="K189" s="8">
        <v>45.1</v>
      </c>
      <c r="L189" s="9">
        <v>163</v>
      </c>
      <c r="M189" s="9">
        <v>398</v>
      </c>
      <c r="N189" s="8">
        <v>41.6</v>
      </c>
      <c r="O189" s="8">
        <v>14</v>
      </c>
      <c r="P189" s="8">
        <v>14</v>
      </c>
      <c r="Q189" s="8">
        <v>100</v>
      </c>
      <c r="R189" s="9">
        <v>43</v>
      </c>
      <c r="S189" s="9">
        <v>178</v>
      </c>
      <c r="T189" s="9">
        <v>227</v>
      </c>
      <c r="U189" s="9">
        <v>64</v>
      </c>
      <c r="V189" s="9">
        <v>21</v>
      </c>
      <c r="W189" s="9">
        <v>43</v>
      </c>
      <c r="X189" s="9">
        <v>14</v>
      </c>
      <c r="Y189" s="9">
        <v>85</v>
      </c>
      <c r="Z189" s="8">
        <v>1108</v>
      </c>
      <c r="AA189" s="8">
        <v>0</v>
      </c>
      <c r="AB189" s="8">
        <v>0</v>
      </c>
      <c r="AC189" s="7">
        <v>4.5999999999999996</v>
      </c>
      <c r="AD189" s="7">
        <v>119.8</v>
      </c>
      <c r="AE189" s="7">
        <v>109.8</v>
      </c>
      <c r="AF189" s="7">
        <v>10</v>
      </c>
      <c r="AG189" s="7">
        <v>5.7</v>
      </c>
      <c r="AH189" s="7">
        <v>2.78</v>
      </c>
      <c r="AI189" s="7">
        <v>11.3</v>
      </c>
      <c r="AJ189" s="7">
        <v>2.7</v>
      </c>
      <c r="AK189" s="7">
        <v>11.3</v>
      </c>
      <c r="AL189" s="7">
        <v>7</v>
      </c>
      <c r="AM189" s="7">
        <v>4.0999999999999996</v>
      </c>
      <c r="AN189" s="7">
        <v>62.7</v>
      </c>
      <c r="AO189" s="7">
        <v>63.2</v>
      </c>
      <c r="AP189" s="7">
        <v>14</v>
      </c>
      <c r="AQ189" s="7">
        <v>96.4</v>
      </c>
      <c r="AR189" s="7">
        <v>8.3000000000000007</v>
      </c>
      <c r="AS189" s="7">
        <v>3102</v>
      </c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1"/>
    </row>
    <row r="190" spans="1:70" ht="13">
      <c r="A190" s="6" t="s">
        <v>417</v>
      </c>
      <c r="B190" s="6" t="s">
        <v>418</v>
      </c>
      <c r="C190" s="7">
        <v>23</v>
      </c>
      <c r="D190" s="7">
        <v>25</v>
      </c>
      <c r="E190" s="7">
        <v>8</v>
      </c>
      <c r="F190" s="7">
        <v>17</v>
      </c>
      <c r="G190" s="7">
        <v>31.2</v>
      </c>
      <c r="H190" s="8">
        <v>600</v>
      </c>
      <c r="I190" s="9">
        <v>200</v>
      </c>
      <c r="J190" s="9">
        <v>455</v>
      </c>
      <c r="K190" s="8">
        <v>43.8</v>
      </c>
      <c r="L190" s="9">
        <v>68</v>
      </c>
      <c r="M190" s="9">
        <v>195</v>
      </c>
      <c r="N190" s="8">
        <v>34.9</v>
      </c>
      <c r="O190" s="8">
        <v>133</v>
      </c>
      <c r="P190" s="8">
        <v>150</v>
      </c>
      <c r="Q190" s="8">
        <v>88.1</v>
      </c>
      <c r="R190" s="9">
        <v>15</v>
      </c>
      <c r="S190" s="9">
        <v>68</v>
      </c>
      <c r="T190" s="9">
        <v>83</v>
      </c>
      <c r="U190" s="9">
        <v>95</v>
      </c>
      <c r="V190" s="9">
        <v>63</v>
      </c>
      <c r="W190" s="9">
        <v>15</v>
      </c>
      <c r="X190" s="9">
        <v>3</v>
      </c>
      <c r="Y190" s="9">
        <v>45</v>
      </c>
      <c r="Z190" s="8">
        <v>828</v>
      </c>
      <c r="AA190" s="8">
        <v>1</v>
      </c>
      <c r="AB190" s="8">
        <v>0</v>
      </c>
      <c r="AC190" s="7">
        <v>-3.7</v>
      </c>
      <c r="AD190" s="7">
        <v>114.9</v>
      </c>
      <c r="AE190" s="7">
        <v>120.6</v>
      </c>
      <c r="AF190" s="7">
        <v>-5.7</v>
      </c>
      <c r="AG190" s="7">
        <v>21.7</v>
      </c>
      <c r="AH190" s="7">
        <v>1.52</v>
      </c>
      <c r="AI190" s="7">
        <v>14</v>
      </c>
      <c r="AJ190" s="7">
        <v>2</v>
      </c>
      <c r="AK190" s="7">
        <v>8.9</v>
      </c>
      <c r="AL190" s="7">
        <v>5.4</v>
      </c>
      <c r="AM190" s="7">
        <v>9.1999999999999993</v>
      </c>
      <c r="AN190" s="7">
        <v>51.3</v>
      </c>
      <c r="AO190" s="7">
        <v>57.5</v>
      </c>
      <c r="AP190" s="7">
        <v>32.799999999999997</v>
      </c>
      <c r="AQ190" s="7">
        <v>96.1</v>
      </c>
      <c r="AR190" s="7">
        <v>12.2</v>
      </c>
      <c r="AS190" s="7">
        <v>1563</v>
      </c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1"/>
    </row>
    <row r="191" spans="1:70" ht="13">
      <c r="A191" s="6" t="s">
        <v>419</v>
      </c>
      <c r="B191" s="6" t="s">
        <v>420</v>
      </c>
      <c r="C191" s="7">
        <v>33</v>
      </c>
      <c r="D191" s="7">
        <v>37</v>
      </c>
      <c r="E191" s="7">
        <v>10</v>
      </c>
      <c r="F191" s="7">
        <v>27</v>
      </c>
      <c r="G191" s="7">
        <v>26</v>
      </c>
      <c r="H191" s="8">
        <v>599</v>
      </c>
      <c r="I191" s="9">
        <v>200</v>
      </c>
      <c r="J191" s="9">
        <v>492</v>
      </c>
      <c r="K191" s="8">
        <v>40.799999999999997</v>
      </c>
      <c r="L191" s="9">
        <v>85</v>
      </c>
      <c r="M191" s="9">
        <v>233</v>
      </c>
      <c r="N191" s="8">
        <v>36.200000000000003</v>
      </c>
      <c r="O191" s="8">
        <v>115</v>
      </c>
      <c r="P191" s="8">
        <v>144</v>
      </c>
      <c r="Q191" s="8">
        <v>79.7</v>
      </c>
      <c r="R191" s="9">
        <v>26</v>
      </c>
      <c r="S191" s="9">
        <v>93</v>
      </c>
      <c r="T191" s="9">
        <v>118</v>
      </c>
      <c r="U191" s="9">
        <v>137</v>
      </c>
      <c r="V191" s="9">
        <v>85</v>
      </c>
      <c r="W191" s="9">
        <v>30</v>
      </c>
      <c r="X191" s="9">
        <v>7</v>
      </c>
      <c r="Y191" s="9">
        <v>52</v>
      </c>
      <c r="Z191" s="8">
        <v>984</v>
      </c>
      <c r="AA191" s="8">
        <v>0</v>
      </c>
      <c r="AB191" s="8">
        <v>0</v>
      </c>
      <c r="AC191" s="7">
        <v>-5.5</v>
      </c>
      <c r="AD191" s="7">
        <v>107.5</v>
      </c>
      <c r="AE191" s="7">
        <v>117.5</v>
      </c>
      <c r="AF191" s="7">
        <v>-10</v>
      </c>
      <c r="AG191" s="7">
        <v>23.8</v>
      </c>
      <c r="AH191" s="7">
        <v>1.6</v>
      </c>
      <c r="AI191" s="7">
        <v>17.8</v>
      </c>
      <c r="AJ191" s="7">
        <v>2.5</v>
      </c>
      <c r="AK191" s="7">
        <v>9.1999999999999993</v>
      </c>
      <c r="AL191" s="7">
        <v>5.8</v>
      </c>
      <c r="AM191" s="7">
        <v>11.1</v>
      </c>
      <c r="AN191" s="7">
        <v>49.3</v>
      </c>
      <c r="AO191" s="7">
        <v>54</v>
      </c>
      <c r="AP191" s="7">
        <v>26.9</v>
      </c>
      <c r="AQ191" s="7">
        <v>102.16</v>
      </c>
      <c r="AR191" s="7">
        <v>10.199999999999999</v>
      </c>
      <c r="AS191" s="7">
        <v>2049</v>
      </c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1"/>
    </row>
    <row r="192" spans="1:70" ht="13">
      <c r="A192" s="6" t="s">
        <v>421</v>
      </c>
      <c r="B192" s="6" t="s">
        <v>422</v>
      </c>
      <c r="C192" s="7">
        <v>22</v>
      </c>
      <c r="D192" s="7">
        <v>59</v>
      </c>
      <c r="E192" s="7">
        <v>34</v>
      </c>
      <c r="F192" s="7">
        <v>25</v>
      </c>
      <c r="G192" s="7">
        <v>22.5</v>
      </c>
      <c r="H192" s="8">
        <v>596</v>
      </c>
      <c r="I192" s="9">
        <v>248</v>
      </c>
      <c r="J192" s="9">
        <v>460</v>
      </c>
      <c r="K192" s="8">
        <v>53.5</v>
      </c>
      <c r="L192" s="9">
        <v>12</v>
      </c>
      <c r="M192" s="9">
        <v>47</v>
      </c>
      <c r="N192" s="8">
        <v>22.4</v>
      </c>
      <c r="O192" s="8">
        <v>89</v>
      </c>
      <c r="P192" s="8">
        <v>142</v>
      </c>
      <c r="Q192" s="8">
        <v>64.099999999999994</v>
      </c>
      <c r="R192" s="9">
        <v>112</v>
      </c>
      <c r="S192" s="9">
        <v>195</v>
      </c>
      <c r="T192" s="9">
        <v>301</v>
      </c>
      <c r="U192" s="9">
        <v>136</v>
      </c>
      <c r="V192" s="9">
        <v>83</v>
      </c>
      <c r="W192" s="9">
        <v>100</v>
      </c>
      <c r="X192" s="9">
        <v>41</v>
      </c>
      <c r="Y192" s="9">
        <v>165</v>
      </c>
      <c r="Z192" s="8">
        <v>1493</v>
      </c>
      <c r="AA192" s="8">
        <v>3</v>
      </c>
      <c r="AB192" s="8">
        <v>0</v>
      </c>
      <c r="AC192" s="7">
        <v>1.1000000000000001</v>
      </c>
      <c r="AD192" s="7">
        <v>113.1</v>
      </c>
      <c r="AE192" s="7">
        <v>109.2</v>
      </c>
      <c r="AF192" s="7">
        <v>4</v>
      </c>
      <c r="AG192" s="7">
        <v>13.9</v>
      </c>
      <c r="AH192" s="7">
        <v>1.68</v>
      </c>
      <c r="AI192" s="7">
        <v>18.2</v>
      </c>
      <c r="AJ192" s="7">
        <v>8.1</v>
      </c>
      <c r="AK192" s="7">
        <v>13.9</v>
      </c>
      <c r="AL192" s="7">
        <v>11</v>
      </c>
      <c r="AM192" s="7">
        <v>10.8</v>
      </c>
      <c r="AN192" s="7">
        <v>54.7</v>
      </c>
      <c r="AO192" s="7">
        <v>56.8</v>
      </c>
      <c r="AP192" s="7">
        <v>18.5</v>
      </c>
      <c r="AQ192" s="7">
        <v>102.76</v>
      </c>
      <c r="AR192" s="7">
        <v>10.4</v>
      </c>
      <c r="AS192" s="7">
        <v>2822</v>
      </c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1"/>
    </row>
    <row r="193" spans="1:70" ht="13">
      <c r="A193" s="6" t="s">
        <v>423</v>
      </c>
      <c r="B193" s="6" t="s">
        <v>424</v>
      </c>
      <c r="C193" s="7">
        <v>21</v>
      </c>
      <c r="D193" s="7">
        <v>64</v>
      </c>
      <c r="E193" s="7">
        <v>28</v>
      </c>
      <c r="F193" s="7">
        <v>36</v>
      </c>
      <c r="G193" s="7">
        <v>22.2</v>
      </c>
      <c r="H193" s="8">
        <v>595</v>
      </c>
      <c r="I193" s="9">
        <v>256</v>
      </c>
      <c r="J193" s="9">
        <v>467</v>
      </c>
      <c r="K193" s="8">
        <v>55.4</v>
      </c>
      <c r="L193" s="9">
        <v>32</v>
      </c>
      <c r="M193" s="9">
        <v>109</v>
      </c>
      <c r="N193" s="8">
        <v>31.5</v>
      </c>
      <c r="O193" s="8">
        <v>45</v>
      </c>
      <c r="P193" s="8">
        <v>64</v>
      </c>
      <c r="Q193" s="8">
        <v>68.7</v>
      </c>
      <c r="R193" s="9">
        <v>115</v>
      </c>
      <c r="S193" s="9">
        <v>358</v>
      </c>
      <c r="T193" s="9">
        <v>474</v>
      </c>
      <c r="U193" s="9">
        <v>58</v>
      </c>
      <c r="V193" s="9">
        <v>58</v>
      </c>
      <c r="W193" s="9">
        <v>38</v>
      </c>
      <c r="X193" s="9">
        <v>70</v>
      </c>
      <c r="Y193" s="9">
        <v>109</v>
      </c>
      <c r="Z193" s="8">
        <v>1523</v>
      </c>
      <c r="AA193" s="8">
        <v>15</v>
      </c>
      <c r="AB193" s="8">
        <v>0</v>
      </c>
      <c r="AC193" s="7">
        <v>0.6</v>
      </c>
      <c r="AD193" s="7">
        <v>112.8</v>
      </c>
      <c r="AE193" s="7">
        <v>110.9</v>
      </c>
      <c r="AF193" s="7">
        <v>1.9</v>
      </c>
      <c r="AG193" s="7">
        <v>6.2</v>
      </c>
      <c r="AH193" s="7">
        <v>1.05</v>
      </c>
      <c r="AI193" s="7">
        <v>9.8000000000000007</v>
      </c>
      <c r="AJ193" s="7">
        <v>8.6999999999999993</v>
      </c>
      <c r="AK193" s="7">
        <v>23.8</v>
      </c>
      <c r="AL193" s="7">
        <v>16.7</v>
      </c>
      <c r="AM193" s="7">
        <v>9.3000000000000007</v>
      </c>
      <c r="AN193" s="7">
        <v>59.2</v>
      </c>
      <c r="AO193" s="7">
        <v>60.3</v>
      </c>
      <c r="AP193" s="7">
        <v>16.899999999999999</v>
      </c>
      <c r="AQ193" s="7">
        <v>98.6</v>
      </c>
      <c r="AR193" s="7">
        <v>11.9</v>
      </c>
      <c r="AS193" s="7">
        <v>2914</v>
      </c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1"/>
    </row>
    <row r="194" spans="1:70" ht="13">
      <c r="A194" s="13" t="s">
        <v>425</v>
      </c>
      <c r="B194" s="6" t="s">
        <v>426</v>
      </c>
      <c r="C194" s="7">
        <v>21</v>
      </c>
      <c r="D194" s="7">
        <v>60</v>
      </c>
      <c r="E194" s="7">
        <v>14</v>
      </c>
      <c r="F194" s="7">
        <v>46</v>
      </c>
      <c r="G194" s="7">
        <v>22.8</v>
      </c>
      <c r="H194" s="8">
        <v>594</v>
      </c>
      <c r="I194" s="9">
        <v>222</v>
      </c>
      <c r="J194" s="9">
        <v>570</v>
      </c>
      <c r="K194" s="8">
        <v>39.1</v>
      </c>
      <c r="L194" s="9">
        <v>102</v>
      </c>
      <c r="M194" s="9">
        <v>306</v>
      </c>
      <c r="N194" s="8">
        <v>34</v>
      </c>
      <c r="O194" s="8">
        <v>42</v>
      </c>
      <c r="P194" s="8">
        <v>48</v>
      </c>
      <c r="Q194" s="8">
        <v>93.5</v>
      </c>
      <c r="R194" s="9">
        <v>12</v>
      </c>
      <c r="S194" s="9">
        <v>114</v>
      </c>
      <c r="T194" s="9">
        <v>126</v>
      </c>
      <c r="U194" s="9">
        <v>144</v>
      </c>
      <c r="V194" s="9">
        <v>84</v>
      </c>
      <c r="W194" s="9">
        <v>18</v>
      </c>
      <c r="X194" s="9">
        <v>6</v>
      </c>
      <c r="Y194" s="9">
        <v>78</v>
      </c>
      <c r="Z194" s="8">
        <v>948</v>
      </c>
      <c r="AA194" s="8">
        <v>1</v>
      </c>
      <c r="AB194" s="8">
        <v>0</v>
      </c>
      <c r="AC194" s="7">
        <v>-6.6</v>
      </c>
      <c r="AD194" s="7">
        <v>102.1</v>
      </c>
      <c r="AE194" s="7">
        <v>116.4</v>
      </c>
      <c r="AF194" s="7">
        <v>-14.3</v>
      </c>
      <c r="AG194" s="7">
        <v>16.899999999999999</v>
      </c>
      <c r="AH194" s="7">
        <v>1.77</v>
      </c>
      <c r="AI194" s="7">
        <v>17.8</v>
      </c>
      <c r="AJ194" s="7">
        <v>0.9</v>
      </c>
      <c r="AK194" s="7">
        <v>8</v>
      </c>
      <c r="AL194" s="7">
        <v>4.3</v>
      </c>
      <c r="AM194" s="7">
        <v>10.1</v>
      </c>
      <c r="AN194" s="7">
        <v>48.2</v>
      </c>
      <c r="AO194" s="7">
        <v>50.2</v>
      </c>
      <c r="AP194" s="7">
        <v>20.5</v>
      </c>
      <c r="AQ194" s="7">
        <v>99.74</v>
      </c>
      <c r="AR194" s="7">
        <v>6.4</v>
      </c>
      <c r="AS194" s="7">
        <v>2848</v>
      </c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1"/>
    </row>
    <row r="195" spans="1:70" ht="13">
      <c r="A195" s="6" t="s">
        <v>427</v>
      </c>
      <c r="B195" s="6" t="s">
        <v>428</v>
      </c>
      <c r="C195" s="7">
        <v>21</v>
      </c>
      <c r="D195" s="7">
        <v>68</v>
      </c>
      <c r="E195" s="7">
        <v>15</v>
      </c>
      <c r="F195" s="7">
        <v>53</v>
      </c>
      <c r="G195" s="7">
        <v>26.5</v>
      </c>
      <c r="H195" s="8">
        <v>592</v>
      </c>
      <c r="I195" s="9">
        <v>204</v>
      </c>
      <c r="J195" s="9">
        <v>544</v>
      </c>
      <c r="K195" s="8">
        <v>37.200000000000003</v>
      </c>
      <c r="L195" s="9">
        <v>116</v>
      </c>
      <c r="M195" s="9">
        <v>354</v>
      </c>
      <c r="N195" s="8">
        <v>32.200000000000003</v>
      </c>
      <c r="O195" s="8">
        <v>68</v>
      </c>
      <c r="P195" s="8">
        <v>95</v>
      </c>
      <c r="Q195" s="8">
        <v>75.3</v>
      </c>
      <c r="R195" s="9">
        <v>48</v>
      </c>
      <c r="S195" s="9">
        <v>238</v>
      </c>
      <c r="T195" s="9">
        <v>286</v>
      </c>
      <c r="U195" s="9">
        <v>170</v>
      </c>
      <c r="V195" s="9">
        <v>95</v>
      </c>
      <c r="W195" s="9">
        <v>68</v>
      </c>
      <c r="X195" s="9">
        <v>48</v>
      </c>
      <c r="Y195" s="9">
        <v>204</v>
      </c>
      <c r="Z195" s="8">
        <v>1442</v>
      </c>
      <c r="AA195" s="8">
        <v>1</v>
      </c>
      <c r="AB195" s="8">
        <v>0</v>
      </c>
      <c r="AC195" s="7">
        <v>-5.3</v>
      </c>
      <c r="AD195" s="7">
        <v>105.4</v>
      </c>
      <c r="AE195" s="7">
        <v>115.5</v>
      </c>
      <c r="AF195" s="7">
        <v>-10.1</v>
      </c>
      <c r="AG195" s="7">
        <v>13.3</v>
      </c>
      <c r="AH195" s="7">
        <v>1.74</v>
      </c>
      <c r="AI195" s="7">
        <v>19.8</v>
      </c>
      <c r="AJ195" s="7">
        <v>2.5</v>
      </c>
      <c r="AK195" s="7">
        <v>12.2</v>
      </c>
      <c r="AL195" s="7">
        <v>7.4</v>
      </c>
      <c r="AM195" s="7">
        <v>11.4</v>
      </c>
      <c r="AN195" s="7">
        <v>47.6</v>
      </c>
      <c r="AO195" s="7">
        <v>50.3</v>
      </c>
      <c r="AP195" s="7">
        <v>15.6</v>
      </c>
      <c r="AQ195" s="7">
        <v>102.7</v>
      </c>
      <c r="AR195" s="7">
        <v>5.8</v>
      </c>
      <c r="AS195" s="7">
        <v>3869</v>
      </c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1"/>
    </row>
    <row r="196" spans="1:70" ht="13">
      <c r="A196" s="6" t="s">
        <v>429</v>
      </c>
      <c r="B196" s="6" t="s">
        <v>430</v>
      </c>
      <c r="C196" s="7">
        <v>23</v>
      </c>
      <c r="D196" s="7">
        <v>65</v>
      </c>
      <c r="E196" s="7">
        <v>41</v>
      </c>
      <c r="F196" s="7">
        <v>24</v>
      </c>
      <c r="G196" s="7">
        <v>21.3</v>
      </c>
      <c r="H196" s="8">
        <v>585</v>
      </c>
      <c r="I196" s="9">
        <v>208</v>
      </c>
      <c r="J196" s="9">
        <v>488</v>
      </c>
      <c r="K196" s="8">
        <v>43.2</v>
      </c>
      <c r="L196" s="9">
        <v>91</v>
      </c>
      <c r="M196" s="9">
        <v>267</v>
      </c>
      <c r="N196" s="8">
        <v>34.9</v>
      </c>
      <c r="O196" s="8">
        <v>72</v>
      </c>
      <c r="P196" s="8">
        <v>91</v>
      </c>
      <c r="Q196" s="8">
        <v>82.2</v>
      </c>
      <c r="R196" s="9">
        <v>20</v>
      </c>
      <c r="S196" s="9">
        <v>124</v>
      </c>
      <c r="T196" s="9">
        <v>143</v>
      </c>
      <c r="U196" s="9">
        <v>85</v>
      </c>
      <c r="V196" s="9">
        <v>59</v>
      </c>
      <c r="W196" s="9">
        <v>39</v>
      </c>
      <c r="X196" s="9">
        <v>13</v>
      </c>
      <c r="Y196" s="9">
        <v>150</v>
      </c>
      <c r="Z196" s="8">
        <v>988</v>
      </c>
      <c r="AA196" s="8">
        <v>0</v>
      </c>
      <c r="AB196" s="8">
        <v>0</v>
      </c>
      <c r="AC196" s="7">
        <v>-1.1000000000000001</v>
      </c>
      <c r="AD196" s="7">
        <v>111.9</v>
      </c>
      <c r="AE196" s="7">
        <v>114.4</v>
      </c>
      <c r="AF196" s="7">
        <v>-2.5</v>
      </c>
      <c r="AG196" s="7">
        <v>8.1999999999999993</v>
      </c>
      <c r="AH196" s="7">
        <v>1.46</v>
      </c>
      <c r="AI196" s="7">
        <v>12.5</v>
      </c>
      <c r="AJ196" s="7">
        <v>1.2</v>
      </c>
      <c r="AK196" s="7">
        <v>8.3000000000000007</v>
      </c>
      <c r="AL196" s="7">
        <v>4.9000000000000004</v>
      </c>
      <c r="AM196" s="7">
        <v>8.6</v>
      </c>
      <c r="AN196" s="7">
        <v>52.9</v>
      </c>
      <c r="AO196" s="7">
        <v>55.9</v>
      </c>
      <c r="AP196" s="7">
        <v>17.3</v>
      </c>
      <c r="AQ196" s="7">
        <v>102.79</v>
      </c>
      <c r="AR196" s="7">
        <v>5.7</v>
      </c>
      <c r="AS196" s="7">
        <v>2964</v>
      </c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1"/>
    </row>
    <row r="197" spans="1:70" ht="13">
      <c r="A197" s="6" t="s">
        <v>431</v>
      </c>
      <c r="B197" s="6" t="s">
        <v>432</v>
      </c>
      <c r="C197" s="7">
        <v>26</v>
      </c>
      <c r="D197" s="7">
        <v>74</v>
      </c>
      <c r="E197" s="7">
        <v>25</v>
      </c>
      <c r="F197" s="7">
        <v>49</v>
      </c>
      <c r="G197" s="7">
        <v>27.4</v>
      </c>
      <c r="H197" s="8">
        <v>585</v>
      </c>
      <c r="I197" s="9">
        <v>222</v>
      </c>
      <c r="J197" s="9">
        <v>474</v>
      </c>
      <c r="K197" s="8">
        <v>46.8</v>
      </c>
      <c r="L197" s="9">
        <v>81</v>
      </c>
      <c r="M197" s="9">
        <v>215</v>
      </c>
      <c r="N197" s="8">
        <v>39.799999999999997</v>
      </c>
      <c r="O197" s="8">
        <v>59</v>
      </c>
      <c r="P197" s="8">
        <v>81</v>
      </c>
      <c r="Q197" s="8">
        <v>69</v>
      </c>
      <c r="R197" s="9">
        <v>37</v>
      </c>
      <c r="S197" s="9">
        <v>133</v>
      </c>
      <c r="T197" s="9">
        <v>170</v>
      </c>
      <c r="U197" s="9">
        <v>363</v>
      </c>
      <c r="V197" s="9">
        <v>126</v>
      </c>
      <c r="W197" s="9">
        <v>74</v>
      </c>
      <c r="X197" s="9">
        <v>15</v>
      </c>
      <c r="Y197" s="9">
        <v>185</v>
      </c>
      <c r="Z197" s="8">
        <v>1473</v>
      </c>
      <c r="AA197" s="8">
        <v>1</v>
      </c>
      <c r="AB197" s="8">
        <v>0</v>
      </c>
      <c r="AC197" s="7">
        <v>0</v>
      </c>
      <c r="AD197" s="7">
        <v>111</v>
      </c>
      <c r="AE197" s="7">
        <v>110.7</v>
      </c>
      <c r="AF197" s="7">
        <v>0.3</v>
      </c>
      <c r="AG197" s="7">
        <v>23.7</v>
      </c>
      <c r="AH197" s="7">
        <v>2.84</v>
      </c>
      <c r="AI197" s="7">
        <v>36.200000000000003</v>
      </c>
      <c r="AJ197" s="7">
        <v>1.7</v>
      </c>
      <c r="AK197" s="7">
        <v>6.3</v>
      </c>
      <c r="AL197" s="7">
        <v>4.0999999999999996</v>
      </c>
      <c r="AM197" s="7">
        <v>12.8</v>
      </c>
      <c r="AN197" s="7">
        <v>55.7</v>
      </c>
      <c r="AO197" s="7">
        <v>57.3</v>
      </c>
      <c r="AP197" s="7">
        <v>13.5</v>
      </c>
      <c r="AQ197" s="7">
        <v>98.76</v>
      </c>
      <c r="AR197" s="7">
        <v>6.9</v>
      </c>
      <c r="AS197" s="7">
        <v>4164</v>
      </c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1"/>
    </row>
    <row r="198" spans="1:70" ht="13">
      <c r="A198" s="6" t="s">
        <v>433</v>
      </c>
      <c r="B198" s="6" t="s">
        <v>434</v>
      </c>
      <c r="C198" s="7">
        <v>32</v>
      </c>
      <c r="D198" s="7">
        <v>54</v>
      </c>
      <c r="E198" s="7">
        <v>33</v>
      </c>
      <c r="F198" s="7">
        <v>21</v>
      </c>
      <c r="G198" s="7">
        <v>25</v>
      </c>
      <c r="H198" s="8">
        <v>583</v>
      </c>
      <c r="I198" s="9">
        <v>211</v>
      </c>
      <c r="J198" s="9">
        <v>491</v>
      </c>
      <c r="K198" s="8">
        <v>42.7</v>
      </c>
      <c r="L198" s="9">
        <v>103</v>
      </c>
      <c r="M198" s="9">
        <v>292</v>
      </c>
      <c r="N198" s="8">
        <v>36.299999999999997</v>
      </c>
      <c r="O198" s="8">
        <v>59</v>
      </c>
      <c r="P198" s="8">
        <v>65</v>
      </c>
      <c r="Q198" s="8">
        <v>87.9</v>
      </c>
      <c r="R198" s="9">
        <v>22</v>
      </c>
      <c r="S198" s="9">
        <v>135</v>
      </c>
      <c r="T198" s="9">
        <v>157</v>
      </c>
      <c r="U198" s="9">
        <v>146</v>
      </c>
      <c r="V198" s="9">
        <v>76</v>
      </c>
      <c r="W198" s="9">
        <v>43</v>
      </c>
      <c r="X198" s="9">
        <v>11</v>
      </c>
      <c r="Y198" s="9">
        <v>130</v>
      </c>
      <c r="Z198" s="8">
        <v>1075</v>
      </c>
      <c r="AA198" s="8">
        <v>1</v>
      </c>
      <c r="AB198" s="8">
        <v>0</v>
      </c>
      <c r="AC198" s="7">
        <v>2</v>
      </c>
      <c r="AD198" s="7">
        <v>112.7</v>
      </c>
      <c r="AE198" s="7">
        <v>110</v>
      </c>
      <c r="AF198" s="7">
        <v>2.7</v>
      </c>
      <c r="AG198" s="7">
        <v>15.2</v>
      </c>
      <c r="AH198" s="7">
        <v>1.97</v>
      </c>
      <c r="AI198" s="7">
        <v>19.7</v>
      </c>
      <c r="AJ198" s="7">
        <v>1.7</v>
      </c>
      <c r="AK198" s="7">
        <v>9.8000000000000007</v>
      </c>
      <c r="AL198" s="7">
        <v>5.7</v>
      </c>
      <c r="AM198" s="7">
        <v>10</v>
      </c>
      <c r="AN198" s="7">
        <v>53.4</v>
      </c>
      <c r="AO198" s="7">
        <v>55.9</v>
      </c>
      <c r="AP198" s="7">
        <v>18.3</v>
      </c>
      <c r="AQ198" s="7">
        <v>101.35</v>
      </c>
      <c r="AR198" s="7">
        <v>7.4</v>
      </c>
      <c r="AS198" s="7">
        <v>2858</v>
      </c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1"/>
    </row>
    <row r="199" spans="1:70" ht="13">
      <c r="A199" s="6" t="s">
        <v>435</v>
      </c>
      <c r="B199" s="6" t="s">
        <v>436</v>
      </c>
      <c r="C199" s="7">
        <v>37</v>
      </c>
      <c r="D199" s="7">
        <v>71</v>
      </c>
      <c r="E199" s="7">
        <v>44</v>
      </c>
      <c r="F199" s="7">
        <v>27</v>
      </c>
      <c r="G199" s="7">
        <v>24.7</v>
      </c>
      <c r="H199" s="8">
        <v>582</v>
      </c>
      <c r="I199" s="9">
        <v>185</v>
      </c>
      <c r="J199" s="9">
        <v>469</v>
      </c>
      <c r="K199" s="8">
        <v>40</v>
      </c>
      <c r="L199" s="9">
        <v>128</v>
      </c>
      <c r="M199" s="9">
        <v>312</v>
      </c>
      <c r="N199" s="8">
        <v>41</v>
      </c>
      <c r="O199" s="8">
        <v>78</v>
      </c>
      <c r="P199" s="8">
        <v>92</v>
      </c>
      <c r="Q199" s="8">
        <v>90</v>
      </c>
      <c r="R199" s="9">
        <v>36</v>
      </c>
      <c r="S199" s="9">
        <v>149</v>
      </c>
      <c r="T199" s="9">
        <v>185</v>
      </c>
      <c r="U199" s="9">
        <v>320</v>
      </c>
      <c r="V199" s="9">
        <v>78</v>
      </c>
      <c r="W199" s="9">
        <v>78</v>
      </c>
      <c r="X199" s="9">
        <v>14</v>
      </c>
      <c r="Y199" s="9">
        <v>114</v>
      </c>
      <c r="Z199" s="8">
        <v>1484</v>
      </c>
      <c r="AA199" s="8">
        <v>1</v>
      </c>
      <c r="AB199" s="8">
        <v>0</v>
      </c>
      <c r="AC199" s="7">
        <v>3.7</v>
      </c>
      <c r="AD199" s="7">
        <v>115.5</v>
      </c>
      <c r="AE199" s="7">
        <v>109</v>
      </c>
      <c r="AF199" s="7">
        <v>6.5</v>
      </c>
      <c r="AG199" s="7">
        <v>24.3</v>
      </c>
      <c r="AH199" s="7">
        <v>4.25</v>
      </c>
      <c r="AI199" s="7">
        <v>35.6</v>
      </c>
      <c r="AJ199" s="7">
        <v>1.8</v>
      </c>
      <c r="AK199" s="7">
        <v>8.5</v>
      </c>
      <c r="AL199" s="7">
        <v>5.2</v>
      </c>
      <c r="AM199" s="7">
        <v>8.4</v>
      </c>
      <c r="AN199" s="7">
        <v>53.5</v>
      </c>
      <c r="AO199" s="7">
        <v>57.3</v>
      </c>
      <c r="AP199" s="7">
        <v>14.1</v>
      </c>
      <c r="AQ199" s="7">
        <v>97.92</v>
      </c>
      <c r="AR199" s="7">
        <v>9.1999999999999993</v>
      </c>
      <c r="AS199" s="7">
        <v>3596</v>
      </c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1"/>
    </row>
    <row r="200" spans="1:70" ht="13">
      <c r="A200" s="6" t="s">
        <v>437</v>
      </c>
      <c r="B200" s="6" t="s">
        <v>438</v>
      </c>
      <c r="C200" s="7">
        <v>28</v>
      </c>
      <c r="D200" s="7">
        <v>65</v>
      </c>
      <c r="E200" s="7">
        <v>37</v>
      </c>
      <c r="F200" s="7">
        <v>28</v>
      </c>
      <c r="G200" s="7">
        <v>22.6</v>
      </c>
      <c r="H200" s="8">
        <v>579</v>
      </c>
      <c r="I200" s="9">
        <v>208</v>
      </c>
      <c r="J200" s="9">
        <v>429</v>
      </c>
      <c r="K200" s="8">
        <v>47.8</v>
      </c>
      <c r="L200" s="9">
        <v>111</v>
      </c>
      <c r="M200" s="9">
        <v>260</v>
      </c>
      <c r="N200" s="8">
        <v>43.3</v>
      </c>
      <c r="O200" s="8">
        <v>52</v>
      </c>
      <c r="P200" s="8">
        <v>59</v>
      </c>
      <c r="Q200" s="8">
        <v>89.5</v>
      </c>
      <c r="R200" s="9">
        <v>39</v>
      </c>
      <c r="S200" s="9">
        <v>143</v>
      </c>
      <c r="T200" s="9">
        <v>182</v>
      </c>
      <c r="U200" s="9">
        <v>215</v>
      </c>
      <c r="V200" s="9">
        <v>72</v>
      </c>
      <c r="W200" s="9">
        <v>52</v>
      </c>
      <c r="X200" s="9">
        <v>7</v>
      </c>
      <c r="Y200" s="9">
        <v>59</v>
      </c>
      <c r="Z200" s="8">
        <v>1209</v>
      </c>
      <c r="AA200" s="8">
        <v>0</v>
      </c>
      <c r="AB200" s="8">
        <v>0</v>
      </c>
      <c r="AC200" s="7">
        <v>1.9</v>
      </c>
      <c r="AD200" s="7">
        <v>117.6</v>
      </c>
      <c r="AE200" s="7">
        <v>114.5</v>
      </c>
      <c r="AF200" s="7">
        <v>3.1</v>
      </c>
      <c r="AG200" s="7">
        <v>17.899999999999999</v>
      </c>
      <c r="AH200" s="7">
        <v>2.99</v>
      </c>
      <c r="AI200" s="7">
        <v>29.3</v>
      </c>
      <c r="AJ200" s="7">
        <v>2.4</v>
      </c>
      <c r="AK200" s="7">
        <v>9.4</v>
      </c>
      <c r="AL200" s="7">
        <v>5.9</v>
      </c>
      <c r="AM200" s="7">
        <v>9.8000000000000007</v>
      </c>
      <c r="AN200" s="7">
        <v>60.9</v>
      </c>
      <c r="AO200" s="7">
        <v>63.1</v>
      </c>
      <c r="AP200" s="7">
        <v>14</v>
      </c>
      <c r="AQ200" s="7">
        <v>104.99</v>
      </c>
      <c r="AR200" s="7">
        <v>9.3000000000000007</v>
      </c>
      <c r="AS200" s="7">
        <v>3228</v>
      </c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1"/>
    </row>
    <row r="201" spans="1:70" ht="13">
      <c r="A201" s="6" t="s">
        <v>439</v>
      </c>
      <c r="B201" s="6" t="s">
        <v>440</v>
      </c>
      <c r="C201" s="7">
        <v>27</v>
      </c>
      <c r="D201" s="7">
        <v>56</v>
      </c>
      <c r="E201" s="7">
        <v>19</v>
      </c>
      <c r="F201" s="7">
        <v>37</v>
      </c>
      <c r="G201" s="7">
        <v>24.4</v>
      </c>
      <c r="H201" s="8">
        <v>577</v>
      </c>
      <c r="I201" s="9">
        <v>202</v>
      </c>
      <c r="J201" s="9">
        <v>521</v>
      </c>
      <c r="K201" s="8">
        <v>39.200000000000003</v>
      </c>
      <c r="L201" s="9">
        <v>112</v>
      </c>
      <c r="M201" s="9">
        <v>308</v>
      </c>
      <c r="N201" s="8">
        <v>35.9</v>
      </c>
      <c r="O201" s="8">
        <v>62</v>
      </c>
      <c r="P201" s="8">
        <v>73</v>
      </c>
      <c r="Q201" s="8">
        <v>81.099999999999994</v>
      </c>
      <c r="R201" s="9">
        <v>28</v>
      </c>
      <c r="S201" s="9">
        <v>106</v>
      </c>
      <c r="T201" s="9">
        <v>134</v>
      </c>
      <c r="U201" s="9">
        <v>258</v>
      </c>
      <c r="V201" s="9">
        <v>84</v>
      </c>
      <c r="W201" s="9">
        <v>73</v>
      </c>
      <c r="X201" s="9">
        <v>17</v>
      </c>
      <c r="Y201" s="9">
        <v>90</v>
      </c>
      <c r="Z201" s="8">
        <v>1310</v>
      </c>
      <c r="AA201" s="8">
        <v>2</v>
      </c>
      <c r="AB201" s="8">
        <v>0</v>
      </c>
      <c r="AC201" s="7">
        <v>-4.0999999999999996</v>
      </c>
      <c r="AD201" s="7">
        <v>108.4</v>
      </c>
      <c r="AE201" s="7">
        <v>117.1</v>
      </c>
      <c r="AF201" s="7">
        <v>-8.6999999999999993</v>
      </c>
      <c r="AG201" s="7">
        <v>27.8</v>
      </c>
      <c r="AH201" s="7">
        <v>3.01</v>
      </c>
      <c r="AI201" s="7">
        <v>29</v>
      </c>
      <c r="AJ201" s="7">
        <v>1.9</v>
      </c>
      <c r="AK201" s="7">
        <v>7.7</v>
      </c>
      <c r="AL201" s="7">
        <v>4.7</v>
      </c>
      <c r="AM201" s="7">
        <v>9.6</v>
      </c>
      <c r="AN201" s="7">
        <v>49.8</v>
      </c>
      <c r="AO201" s="7">
        <v>52.3</v>
      </c>
      <c r="AP201" s="7">
        <v>19.3</v>
      </c>
      <c r="AQ201" s="7">
        <v>99.89</v>
      </c>
      <c r="AR201" s="7">
        <v>9</v>
      </c>
      <c r="AS201" s="7">
        <v>2849</v>
      </c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1"/>
    </row>
    <row r="202" spans="1:70" ht="13">
      <c r="A202" s="6" t="s">
        <v>441</v>
      </c>
      <c r="B202" s="6" t="s">
        <v>442</v>
      </c>
      <c r="C202" s="7">
        <v>26</v>
      </c>
      <c r="D202" s="7">
        <v>40</v>
      </c>
      <c r="E202" s="7">
        <v>17</v>
      </c>
      <c r="F202" s="7">
        <v>23</v>
      </c>
      <c r="G202" s="7">
        <v>30.1</v>
      </c>
      <c r="H202" s="8">
        <v>576</v>
      </c>
      <c r="I202" s="9">
        <v>264</v>
      </c>
      <c r="J202" s="9">
        <v>468</v>
      </c>
      <c r="K202" s="8">
        <v>56.6</v>
      </c>
      <c r="L202" s="9">
        <v>8</v>
      </c>
      <c r="M202" s="9">
        <v>32</v>
      </c>
      <c r="N202" s="8">
        <v>18.8</v>
      </c>
      <c r="O202" s="8">
        <v>40</v>
      </c>
      <c r="P202" s="8">
        <v>60</v>
      </c>
      <c r="Q202" s="8">
        <v>66.7</v>
      </c>
      <c r="R202" s="9">
        <v>124</v>
      </c>
      <c r="S202" s="9">
        <v>284</v>
      </c>
      <c r="T202" s="9">
        <v>408</v>
      </c>
      <c r="U202" s="9">
        <v>64</v>
      </c>
      <c r="V202" s="9">
        <v>68</v>
      </c>
      <c r="W202" s="9">
        <v>32</v>
      </c>
      <c r="X202" s="9">
        <v>40</v>
      </c>
      <c r="Y202" s="9">
        <v>88</v>
      </c>
      <c r="Z202" s="8">
        <v>1300</v>
      </c>
      <c r="AA202" s="8">
        <v>20</v>
      </c>
      <c r="AB202" s="8">
        <v>0</v>
      </c>
      <c r="AC202" s="7">
        <v>-4.0999999999999996</v>
      </c>
      <c r="AD202" s="7">
        <v>110</v>
      </c>
      <c r="AE202" s="7">
        <v>116.8</v>
      </c>
      <c r="AF202" s="7">
        <v>-6.9</v>
      </c>
      <c r="AG202" s="7">
        <v>8.3000000000000007</v>
      </c>
      <c r="AH202" s="7">
        <v>0.93</v>
      </c>
      <c r="AI202" s="7">
        <v>10.199999999999999</v>
      </c>
      <c r="AJ202" s="7">
        <v>9.9</v>
      </c>
      <c r="AK202" s="7">
        <v>24.3</v>
      </c>
      <c r="AL202" s="7">
        <v>16.8</v>
      </c>
      <c r="AM202" s="7">
        <v>11</v>
      </c>
      <c r="AN202" s="7">
        <v>57.3</v>
      </c>
      <c r="AO202" s="7">
        <v>58.3</v>
      </c>
      <c r="AP202" s="7">
        <v>19.7</v>
      </c>
      <c r="AQ202" s="7">
        <v>98.94</v>
      </c>
      <c r="AR202" s="7">
        <v>12.5</v>
      </c>
      <c r="AS202" s="7">
        <v>2489</v>
      </c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1"/>
    </row>
    <row r="203" spans="1:70" ht="13">
      <c r="A203" s="6" t="s">
        <v>443</v>
      </c>
      <c r="B203" s="6" t="s">
        <v>444</v>
      </c>
      <c r="C203" s="7">
        <v>21</v>
      </c>
      <c r="D203" s="7">
        <v>68</v>
      </c>
      <c r="E203" s="7">
        <v>55</v>
      </c>
      <c r="F203" s="7">
        <v>13</v>
      </c>
      <c r="G203" s="7">
        <v>27.6</v>
      </c>
      <c r="H203" s="8">
        <v>571</v>
      </c>
      <c r="I203" s="9">
        <v>231</v>
      </c>
      <c r="J203" s="9">
        <v>490</v>
      </c>
      <c r="K203" s="8">
        <v>47.4</v>
      </c>
      <c r="L203" s="9">
        <v>75</v>
      </c>
      <c r="M203" s="9">
        <v>211</v>
      </c>
      <c r="N203" s="8">
        <v>35.6</v>
      </c>
      <c r="O203" s="8">
        <v>27</v>
      </c>
      <c r="P203" s="8">
        <v>34</v>
      </c>
      <c r="Q203" s="8">
        <v>81.099999999999994</v>
      </c>
      <c r="R203" s="9">
        <v>68</v>
      </c>
      <c r="S203" s="9">
        <v>156</v>
      </c>
      <c r="T203" s="9">
        <v>231</v>
      </c>
      <c r="U203" s="9">
        <v>170</v>
      </c>
      <c r="V203" s="9">
        <v>61</v>
      </c>
      <c r="W203" s="9">
        <v>122</v>
      </c>
      <c r="X203" s="9">
        <v>34</v>
      </c>
      <c r="Y203" s="9">
        <v>143</v>
      </c>
      <c r="Z203" s="8">
        <v>1510</v>
      </c>
      <c r="AA203" s="8">
        <v>0</v>
      </c>
      <c r="AB203" s="8">
        <v>0</v>
      </c>
      <c r="AC203" s="7">
        <v>5.4</v>
      </c>
      <c r="AD203" s="7">
        <v>117.2</v>
      </c>
      <c r="AE203" s="7">
        <v>107.1</v>
      </c>
      <c r="AF203" s="7">
        <v>10.1</v>
      </c>
      <c r="AG203" s="7">
        <v>11.7</v>
      </c>
      <c r="AH203" s="7">
        <v>2.93</v>
      </c>
      <c r="AI203" s="7">
        <v>23.5</v>
      </c>
      <c r="AJ203" s="7">
        <v>3.6</v>
      </c>
      <c r="AK203" s="7">
        <v>7.9</v>
      </c>
      <c r="AL203" s="7">
        <v>5.7</v>
      </c>
      <c r="AM203" s="7">
        <v>8</v>
      </c>
      <c r="AN203" s="7">
        <v>55</v>
      </c>
      <c r="AO203" s="7">
        <v>56.2</v>
      </c>
      <c r="AP203" s="7">
        <v>12.4</v>
      </c>
      <c r="AQ203" s="7">
        <v>101.87</v>
      </c>
      <c r="AR203" s="7">
        <v>7.5</v>
      </c>
      <c r="AS203" s="7">
        <v>3967</v>
      </c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1"/>
    </row>
    <row r="204" spans="1:70" ht="13">
      <c r="A204" s="6" t="s">
        <v>445</v>
      </c>
      <c r="B204" s="6" t="s">
        <v>446</v>
      </c>
      <c r="C204" s="7">
        <v>24</v>
      </c>
      <c r="D204" s="7">
        <v>64</v>
      </c>
      <c r="E204" s="7">
        <v>15</v>
      </c>
      <c r="F204" s="7">
        <v>49</v>
      </c>
      <c r="G204" s="7">
        <v>19.8</v>
      </c>
      <c r="H204" s="8">
        <v>570</v>
      </c>
      <c r="I204" s="9">
        <v>205</v>
      </c>
      <c r="J204" s="9">
        <v>474</v>
      </c>
      <c r="K204" s="8">
        <v>42.9</v>
      </c>
      <c r="L204" s="9">
        <v>115</v>
      </c>
      <c r="M204" s="9">
        <v>314</v>
      </c>
      <c r="N204" s="8">
        <v>37.6</v>
      </c>
      <c r="O204" s="8">
        <v>45</v>
      </c>
      <c r="P204" s="8">
        <v>51</v>
      </c>
      <c r="Q204" s="8">
        <v>84.9</v>
      </c>
      <c r="R204" s="9">
        <v>45</v>
      </c>
      <c r="S204" s="9">
        <v>141</v>
      </c>
      <c r="T204" s="9">
        <v>186</v>
      </c>
      <c r="U204" s="9">
        <v>70</v>
      </c>
      <c r="V204" s="9">
        <v>38</v>
      </c>
      <c r="W204" s="9">
        <v>38</v>
      </c>
      <c r="X204" s="9">
        <v>6</v>
      </c>
      <c r="Y204" s="9">
        <v>128</v>
      </c>
      <c r="Z204" s="8">
        <v>998</v>
      </c>
      <c r="AA204" s="8">
        <v>0</v>
      </c>
      <c r="AB204" s="8">
        <v>0</v>
      </c>
      <c r="AC204" s="7">
        <v>-5.6</v>
      </c>
      <c r="AD204" s="7">
        <v>107.2</v>
      </c>
      <c r="AE204" s="7">
        <v>120.3</v>
      </c>
      <c r="AF204" s="7">
        <v>-13.1</v>
      </c>
      <c r="AG204" s="7">
        <v>8</v>
      </c>
      <c r="AH204" s="7">
        <v>1.89</v>
      </c>
      <c r="AI204" s="7">
        <v>11.3</v>
      </c>
      <c r="AJ204" s="7">
        <v>3.1</v>
      </c>
      <c r="AK204" s="7">
        <v>10.9</v>
      </c>
      <c r="AL204" s="7">
        <v>7</v>
      </c>
      <c r="AM204" s="7">
        <v>6</v>
      </c>
      <c r="AN204" s="7">
        <v>55.4</v>
      </c>
      <c r="AO204" s="7">
        <v>57.3</v>
      </c>
      <c r="AP204" s="7">
        <v>17.399999999999999</v>
      </c>
      <c r="AQ204" s="7">
        <v>102.1</v>
      </c>
      <c r="AR204" s="7">
        <v>7.1</v>
      </c>
      <c r="AS204" s="7">
        <v>2700</v>
      </c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1"/>
    </row>
    <row r="205" spans="1:70" ht="13">
      <c r="A205" s="13" t="s">
        <v>447</v>
      </c>
      <c r="B205" s="6" t="s">
        <v>448</v>
      </c>
      <c r="C205" s="7">
        <v>24</v>
      </c>
      <c r="D205" s="7">
        <v>66</v>
      </c>
      <c r="E205" s="7">
        <v>32</v>
      </c>
      <c r="F205" s="7">
        <v>34</v>
      </c>
      <c r="G205" s="7">
        <v>20.7</v>
      </c>
      <c r="H205" s="8">
        <v>568</v>
      </c>
      <c r="I205" s="9">
        <v>211</v>
      </c>
      <c r="J205" s="9">
        <v>462</v>
      </c>
      <c r="K205" s="8">
        <v>46.1</v>
      </c>
      <c r="L205" s="9">
        <v>40</v>
      </c>
      <c r="M205" s="9">
        <v>119</v>
      </c>
      <c r="N205" s="8">
        <v>31.1</v>
      </c>
      <c r="O205" s="8">
        <v>106</v>
      </c>
      <c r="P205" s="8">
        <v>145</v>
      </c>
      <c r="Q205" s="8">
        <v>75.400000000000006</v>
      </c>
      <c r="R205" s="9">
        <v>86</v>
      </c>
      <c r="S205" s="9">
        <v>205</v>
      </c>
      <c r="T205" s="9">
        <v>290</v>
      </c>
      <c r="U205" s="9">
        <v>165</v>
      </c>
      <c r="V205" s="9">
        <v>99</v>
      </c>
      <c r="W205" s="9">
        <v>59</v>
      </c>
      <c r="X205" s="9">
        <v>13</v>
      </c>
      <c r="Y205" s="9">
        <v>79</v>
      </c>
      <c r="Z205" s="8">
        <v>1294</v>
      </c>
      <c r="AA205" s="8">
        <v>3</v>
      </c>
      <c r="AB205" s="8">
        <v>1</v>
      </c>
      <c r="AC205" s="7">
        <v>-2.2999999999999998</v>
      </c>
      <c r="AD205" s="7">
        <v>107.9</v>
      </c>
      <c r="AE205" s="7">
        <v>113.9</v>
      </c>
      <c r="AF205" s="7">
        <v>-6</v>
      </c>
      <c r="AG205" s="7">
        <v>18.100000000000001</v>
      </c>
      <c r="AH205" s="7">
        <v>1.69</v>
      </c>
      <c r="AI205" s="7">
        <v>21.1</v>
      </c>
      <c r="AJ205" s="7">
        <v>6</v>
      </c>
      <c r="AK205" s="7">
        <v>14.5</v>
      </c>
      <c r="AL205" s="7">
        <v>10.3</v>
      </c>
      <c r="AM205" s="7">
        <v>12.4</v>
      </c>
      <c r="AN205" s="7">
        <v>50.1</v>
      </c>
      <c r="AO205" s="7">
        <v>54.3</v>
      </c>
      <c r="AP205" s="7">
        <v>19.399999999999999</v>
      </c>
      <c r="AQ205" s="7">
        <v>99.18</v>
      </c>
      <c r="AR205" s="7">
        <v>9.8000000000000007</v>
      </c>
      <c r="AS205" s="7">
        <v>2835</v>
      </c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1"/>
    </row>
    <row r="206" spans="1:70" ht="13">
      <c r="A206" s="6" t="s">
        <v>449</v>
      </c>
      <c r="B206" s="6" t="s">
        <v>450</v>
      </c>
      <c r="C206" s="7">
        <v>22</v>
      </c>
      <c r="D206" s="7">
        <v>27</v>
      </c>
      <c r="E206" s="7">
        <v>8</v>
      </c>
      <c r="F206" s="7">
        <v>19</v>
      </c>
      <c r="G206" s="7">
        <v>34.200000000000003</v>
      </c>
      <c r="H206" s="8">
        <v>567</v>
      </c>
      <c r="I206" s="9">
        <v>197</v>
      </c>
      <c r="J206" s="9">
        <v>491</v>
      </c>
      <c r="K206" s="8">
        <v>40.299999999999997</v>
      </c>
      <c r="L206" s="9">
        <v>105</v>
      </c>
      <c r="M206" s="9">
        <v>294</v>
      </c>
      <c r="N206" s="8">
        <v>35.5</v>
      </c>
      <c r="O206" s="8">
        <v>68</v>
      </c>
      <c r="P206" s="8">
        <v>78</v>
      </c>
      <c r="Q206" s="8">
        <v>86.1</v>
      </c>
      <c r="R206" s="9">
        <v>24</v>
      </c>
      <c r="S206" s="9">
        <v>105</v>
      </c>
      <c r="T206" s="9">
        <v>132</v>
      </c>
      <c r="U206" s="9">
        <v>97</v>
      </c>
      <c r="V206" s="9">
        <v>76</v>
      </c>
      <c r="W206" s="9">
        <v>30</v>
      </c>
      <c r="X206" s="9">
        <v>19</v>
      </c>
      <c r="Y206" s="9">
        <v>73</v>
      </c>
      <c r="Z206" s="8">
        <v>942</v>
      </c>
      <c r="AA206" s="8">
        <v>2</v>
      </c>
      <c r="AB206" s="8">
        <v>0</v>
      </c>
      <c r="AC206" s="7">
        <v>-4.5999999999999996</v>
      </c>
      <c r="AD206" s="7">
        <v>106.9</v>
      </c>
      <c r="AE206" s="7">
        <v>113.8</v>
      </c>
      <c r="AF206" s="7">
        <v>-6.8</v>
      </c>
      <c r="AG206" s="7">
        <v>18.2</v>
      </c>
      <c r="AH206" s="7">
        <v>1.29</v>
      </c>
      <c r="AI206" s="7">
        <v>14</v>
      </c>
      <c r="AJ206" s="7">
        <v>2.4</v>
      </c>
      <c r="AK206" s="7">
        <v>11.7</v>
      </c>
      <c r="AL206" s="7">
        <v>6.8</v>
      </c>
      <c r="AM206" s="7">
        <v>10.9</v>
      </c>
      <c r="AN206" s="7">
        <v>50.9</v>
      </c>
      <c r="AO206" s="7">
        <v>54</v>
      </c>
      <c r="AP206" s="7">
        <v>27</v>
      </c>
      <c r="AQ206" s="7">
        <v>98.77</v>
      </c>
      <c r="AR206" s="7">
        <v>10</v>
      </c>
      <c r="AS206" s="7">
        <v>1903</v>
      </c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1"/>
    </row>
    <row r="207" spans="1:70" ht="13">
      <c r="A207" s="6" t="s">
        <v>451</v>
      </c>
      <c r="B207" s="6" t="s">
        <v>452</v>
      </c>
      <c r="C207" s="7">
        <v>23</v>
      </c>
      <c r="D207" s="7">
        <v>63</v>
      </c>
      <c r="E207" s="7">
        <v>31</v>
      </c>
      <c r="F207" s="7">
        <v>32</v>
      </c>
      <c r="G207" s="7">
        <v>25</v>
      </c>
      <c r="H207" s="8">
        <v>567</v>
      </c>
      <c r="I207" s="9">
        <v>208</v>
      </c>
      <c r="J207" s="9">
        <v>517</v>
      </c>
      <c r="K207" s="8">
        <v>39.700000000000003</v>
      </c>
      <c r="L207" s="9">
        <v>95</v>
      </c>
      <c r="M207" s="9">
        <v>271</v>
      </c>
      <c r="N207" s="8">
        <v>35.299999999999997</v>
      </c>
      <c r="O207" s="8">
        <v>63</v>
      </c>
      <c r="P207" s="8">
        <v>82</v>
      </c>
      <c r="Q207" s="8">
        <v>72.3</v>
      </c>
      <c r="R207" s="9">
        <v>44</v>
      </c>
      <c r="S207" s="9">
        <v>195</v>
      </c>
      <c r="T207" s="9">
        <v>239</v>
      </c>
      <c r="U207" s="9">
        <v>126</v>
      </c>
      <c r="V207" s="9">
        <v>88</v>
      </c>
      <c r="W207" s="9">
        <v>50</v>
      </c>
      <c r="X207" s="9">
        <v>32</v>
      </c>
      <c r="Y207" s="9">
        <v>88</v>
      </c>
      <c r="Z207" s="8">
        <v>1191</v>
      </c>
      <c r="AA207" s="8">
        <v>1</v>
      </c>
      <c r="AB207" s="8">
        <v>0</v>
      </c>
      <c r="AC207" s="7">
        <v>-2.9</v>
      </c>
      <c r="AD207" s="7">
        <v>108.7</v>
      </c>
      <c r="AE207" s="7">
        <v>113.5</v>
      </c>
      <c r="AF207" s="7">
        <v>-4.8</v>
      </c>
      <c r="AG207" s="7">
        <v>10.6</v>
      </c>
      <c r="AH207" s="7">
        <v>1.44</v>
      </c>
      <c r="AI207" s="7">
        <v>16.3</v>
      </c>
      <c r="AJ207" s="7">
        <v>2.5</v>
      </c>
      <c r="AK207" s="7">
        <v>11.3</v>
      </c>
      <c r="AL207" s="7">
        <v>7</v>
      </c>
      <c r="AM207" s="7">
        <v>11.3</v>
      </c>
      <c r="AN207" s="7">
        <v>49</v>
      </c>
      <c r="AO207" s="7">
        <v>51.2</v>
      </c>
      <c r="AP207" s="7">
        <v>16.5</v>
      </c>
      <c r="AQ207" s="7">
        <v>105.94</v>
      </c>
      <c r="AR207" s="7">
        <v>6.2</v>
      </c>
      <c r="AS207" s="7">
        <v>3473</v>
      </c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1"/>
    </row>
    <row r="208" spans="1:70" ht="13">
      <c r="A208" s="6" t="s">
        <v>453</v>
      </c>
      <c r="B208" s="6" t="s">
        <v>454</v>
      </c>
      <c r="C208" s="7">
        <v>24</v>
      </c>
      <c r="D208" s="7">
        <v>35</v>
      </c>
      <c r="E208" s="7">
        <v>20</v>
      </c>
      <c r="F208" s="7">
        <v>15</v>
      </c>
      <c r="G208" s="7">
        <v>28.6</v>
      </c>
      <c r="H208" s="8">
        <v>567</v>
      </c>
      <c r="I208" s="9">
        <v>196</v>
      </c>
      <c r="J208" s="9">
        <v>480</v>
      </c>
      <c r="K208" s="8">
        <v>41</v>
      </c>
      <c r="L208" s="9">
        <v>77</v>
      </c>
      <c r="M208" s="9">
        <v>242</v>
      </c>
      <c r="N208" s="8">
        <v>31.4</v>
      </c>
      <c r="O208" s="8">
        <v>98</v>
      </c>
      <c r="P208" s="8">
        <v>109</v>
      </c>
      <c r="Q208" s="8">
        <v>88.2</v>
      </c>
      <c r="R208" s="9">
        <v>25</v>
      </c>
      <c r="S208" s="9">
        <v>119</v>
      </c>
      <c r="T208" s="9">
        <v>140</v>
      </c>
      <c r="U208" s="9">
        <v>130</v>
      </c>
      <c r="V208" s="9">
        <v>102</v>
      </c>
      <c r="W208" s="9">
        <v>53</v>
      </c>
      <c r="X208" s="9">
        <v>32</v>
      </c>
      <c r="Y208" s="9">
        <v>98</v>
      </c>
      <c r="Z208" s="8">
        <v>1078</v>
      </c>
      <c r="AA208" s="8">
        <v>0</v>
      </c>
      <c r="AB208" s="8">
        <v>0</v>
      </c>
      <c r="AC208" s="7">
        <v>0.1</v>
      </c>
      <c r="AD208" s="7">
        <v>105.7</v>
      </c>
      <c r="AE208" s="7">
        <v>104.8</v>
      </c>
      <c r="AF208" s="7">
        <v>1</v>
      </c>
      <c r="AG208" s="7">
        <v>21.6</v>
      </c>
      <c r="AH208" s="7">
        <v>1.26</v>
      </c>
      <c r="AI208" s="7">
        <v>17</v>
      </c>
      <c r="AJ208" s="7">
        <v>2.2999999999999998</v>
      </c>
      <c r="AK208" s="7">
        <v>12.6</v>
      </c>
      <c r="AL208" s="7">
        <v>7.2</v>
      </c>
      <c r="AM208" s="7">
        <v>13.5</v>
      </c>
      <c r="AN208" s="7">
        <v>48.9</v>
      </c>
      <c r="AO208" s="7">
        <v>53.6</v>
      </c>
      <c r="AP208" s="7">
        <v>26.8</v>
      </c>
      <c r="AQ208" s="7">
        <v>99.02</v>
      </c>
      <c r="AR208" s="7">
        <v>10.7</v>
      </c>
      <c r="AS208" s="7">
        <v>2060</v>
      </c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1"/>
    </row>
    <row r="209" spans="1:70" ht="13">
      <c r="A209" s="6" t="s">
        <v>455</v>
      </c>
      <c r="B209" s="6" t="s">
        <v>456</v>
      </c>
      <c r="C209" s="7">
        <v>25</v>
      </c>
      <c r="D209" s="7">
        <v>46</v>
      </c>
      <c r="E209" s="7">
        <v>17</v>
      </c>
      <c r="F209" s="7">
        <v>29</v>
      </c>
      <c r="G209" s="7">
        <v>30.3</v>
      </c>
      <c r="H209" s="8">
        <v>566</v>
      </c>
      <c r="I209" s="9">
        <v>221</v>
      </c>
      <c r="J209" s="9">
        <v>451</v>
      </c>
      <c r="K209" s="8">
        <v>49.2</v>
      </c>
      <c r="L209" s="9">
        <v>60</v>
      </c>
      <c r="M209" s="9">
        <v>189</v>
      </c>
      <c r="N209" s="8">
        <v>32.799999999999997</v>
      </c>
      <c r="O209" s="8">
        <v>60</v>
      </c>
      <c r="P209" s="8">
        <v>78</v>
      </c>
      <c r="Q209" s="8">
        <v>78.5</v>
      </c>
      <c r="R209" s="9">
        <v>28</v>
      </c>
      <c r="S209" s="9">
        <v>133</v>
      </c>
      <c r="T209" s="9">
        <v>161</v>
      </c>
      <c r="U209" s="9">
        <v>207</v>
      </c>
      <c r="V209" s="9">
        <v>69</v>
      </c>
      <c r="W209" s="9">
        <v>41</v>
      </c>
      <c r="X209" s="9">
        <v>18</v>
      </c>
      <c r="Y209" s="9">
        <v>106</v>
      </c>
      <c r="Z209" s="8">
        <v>1187</v>
      </c>
      <c r="AA209" s="8">
        <v>1</v>
      </c>
      <c r="AB209" s="8">
        <v>1</v>
      </c>
      <c r="AC209" s="7">
        <v>-5.0999999999999996</v>
      </c>
      <c r="AD209" s="7">
        <v>110.1</v>
      </c>
      <c r="AE209" s="7">
        <v>117.8</v>
      </c>
      <c r="AF209" s="7">
        <v>-7.7</v>
      </c>
      <c r="AG209" s="7">
        <v>21</v>
      </c>
      <c r="AH209" s="7">
        <v>3.01</v>
      </c>
      <c r="AI209" s="7">
        <v>27.4</v>
      </c>
      <c r="AJ209" s="7">
        <v>1.8</v>
      </c>
      <c r="AK209" s="7">
        <v>9</v>
      </c>
      <c r="AL209" s="7">
        <v>5.4</v>
      </c>
      <c r="AM209" s="7">
        <v>9.1</v>
      </c>
      <c r="AN209" s="7">
        <v>56.1</v>
      </c>
      <c r="AO209" s="7">
        <v>58.5</v>
      </c>
      <c r="AP209" s="7">
        <v>16.3</v>
      </c>
      <c r="AQ209" s="7">
        <v>104.63</v>
      </c>
      <c r="AR209" s="7">
        <v>8.4</v>
      </c>
      <c r="AS209" s="7">
        <v>3039</v>
      </c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1"/>
    </row>
    <row r="210" spans="1:70" ht="13">
      <c r="A210" s="6" t="s">
        <v>457</v>
      </c>
      <c r="B210" s="6" t="s">
        <v>458</v>
      </c>
      <c r="C210" s="7">
        <v>25</v>
      </c>
      <c r="D210" s="7">
        <v>33</v>
      </c>
      <c r="E210" s="7">
        <v>12</v>
      </c>
      <c r="F210" s="7">
        <v>21</v>
      </c>
      <c r="G210" s="7">
        <v>27.8</v>
      </c>
      <c r="H210" s="8">
        <v>564</v>
      </c>
      <c r="I210" s="9">
        <v>185</v>
      </c>
      <c r="J210" s="9">
        <v>439</v>
      </c>
      <c r="K210" s="8">
        <v>42</v>
      </c>
      <c r="L210" s="9">
        <v>86</v>
      </c>
      <c r="M210" s="9">
        <v>224</v>
      </c>
      <c r="N210" s="8">
        <v>37.799999999999997</v>
      </c>
      <c r="O210" s="8">
        <v>112</v>
      </c>
      <c r="P210" s="8">
        <v>129</v>
      </c>
      <c r="Q210" s="8">
        <v>86.7</v>
      </c>
      <c r="R210" s="9">
        <v>17</v>
      </c>
      <c r="S210" s="9">
        <v>102</v>
      </c>
      <c r="T210" s="9">
        <v>116</v>
      </c>
      <c r="U210" s="9">
        <v>191</v>
      </c>
      <c r="V210" s="9">
        <v>59</v>
      </c>
      <c r="W210" s="9">
        <v>23</v>
      </c>
      <c r="X210" s="9">
        <v>3</v>
      </c>
      <c r="Y210" s="9">
        <v>59</v>
      </c>
      <c r="Z210" s="8">
        <v>1013</v>
      </c>
      <c r="AA210" s="8">
        <v>2</v>
      </c>
      <c r="AB210" s="8">
        <v>0</v>
      </c>
      <c r="AC210" s="7">
        <v>-1.2</v>
      </c>
      <c r="AD210" s="7">
        <v>109</v>
      </c>
      <c r="AE210" s="7">
        <v>110.7</v>
      </c>
      <c r="AF210" s="7">
        <v>-1.6</v>
      </c>
      <c r="AG210" s="7">
        <v>32</v>
      </c>
      <c r="AH210" s="7">
        <v>3.29</v>
      </c>
      <c r="AI210" s="7">
        <v>25.7</v>
      </c>
      <c r="AJ210" s="7">
        <v>1.6</v>
      </c>
      <c r="AK210" s="7">
        <v>10.7</v>
      </c>
      <c r="AL210" s="7">
        <v>6</v>
      </c>
      <c r="AM210" s="7">
        <v>7.8</v>
      </c>
      <c r="AN210" s="7">
        <v>51.7</v>
      </c>
      <c r="AO210" s="7">
        <v>57</v>
      </c>
      <c r="AP210" s="7">
        <v>24.6</v>
      </c>
      <c r="AQ210" s="7">
        <v>101.44</v>
      </c>
      <c r="AR210" s="7">
        <v>12.8</v>
      </c>
      <c r="AS210" s="7">
        <v>1936</v>
      </c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1"/>
    </row>
    <row r="211" spans="1:70" ht="13">
      <c r="A211" s="6" t="s">
        <v>459</v>
      </c>
      <c r="B211" s="6" t="s">
        <v>460</v>
      </c>
      <c r="C211" s="7">
        <v>25</v>
      </c>
      <c r="D211" s="7">
        <v>67</v>
      </c>
      <c r="E211" s="7">
        <v>28</v>
      </c>
      <c r="F211" s="7">
        <v>39</v>
      </c>
      <c r="G211" s="7">
        <v>16.7</v>
      </c>
      <c r="H211" s="8">
        <v>556</v>
      </c>
      <c r="I211" s="9">
        <v>201</v>
      </c>
      <c r="J211" s="9">
        <v>509</v>
      </c>
      <c r="K211" s="8">
        <v>39.1</v>
      </c>
      <c r="L211" s="9">
        <v>74</v>
      </c>
      <c r="M211" s="9">
        <v>221</v>
      </c>
      <c r="N211" s="8">
        <v>32.4</v>
      </c>
      <c r="O211" s="8">
        <v>94</v>
      </c>
      <c r="P211" s="8">
        <v>127</v>
      </c>
      <c r="Q211" s="8">
        <v>72.8</v>
      </c>
      <c r="R211" s="9">
        <v>27</v>
      </c>
      <c r="S211" s="9">
        <v>107</v>
      </c>
      <c r="T211" s="9">
        <v>134</v>
      </c>
      <c r="U211" s="9">
        <v>161</v>
      </c>
      <c r="V211" s="9">
        <v>87</v>
      </c>
      <c r="W211" s="9">
        <v>40</v>
      </c>
      <c r="X211" s="9">
        <v>34</v>
      </c>
      <c r="Y211" s="9">
        <v>60</v>
      </c>
      <c r="Z211" s="8">
        <v>1106</v>
      </c>
      <c r="AA211" s="8">
        <v>0</v>
      </c>
      <c r="AB211" s="8">
        <v>0</v>
      </c>
      <c r="AC211" s="7">
        <v>-0.8</v>
      </c>
      <c r="AD211" s="7">
        <v>110.2</v>
      </c>
      <c r="AE211" s="7">
        <v>111.8</v>
      </c>
      <c r="AF211" s="7">
        <v>-1.5</v>
      </c>
      <c r="AG211" s="7">
        <v>21.3</v>
      </c>
      <c r="AH211" s="7">
        <v>1.86</v>
      </c>
      <c r="AI211" s="7">
        <v>19.8</v>
      </c>
      <c r="AJ211" s="7">
        <v>2.5</v>
      </c>
      <c r="AK211" s="7">
        <v>8.8000000000000007</v>
      </c>
      <c r="AL211" s="7">
        <v>5.6</v>
      </c>
      <c r="AM211" s="7">
        <v>10.7</v>
      </c>
      <c r="AN211" s="7">
        <v>46.2</v>
      </c>
      <c r="AO211" s="7">
        <v>49.7</v>
      </c>
      <c r="AP211" s="7">
        <v>23.7</v>
      </c>
      <c r="AQ211" s="7">
        <v>101.21</v>
      </c>
      <c r="AR211" s="7">
        <v>8.9</v>
      </c>
      <c r="AS211" s="7">
        <v>2353</v>
      </c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1"/>
    </row>
    <row r="212" spans="1:70" ht="13">
      <c r="A212" s="6" t="s">
        <v>461</v>
      </c>
      <c r="B212" s="6" t="s">
        <v>462</v>
      </c>
      <c r="C212" s="7">
        <v>22</v>
      </c>
      <c r="D212" s="7">
        <v>68</v>
      </c>
      <c r="E212" s="7">
        <v>40</v>
      </c>
      <c r="F212" s="7">
        <v>28</v>
      </c>
      <c r="G212" s="7">
        <v>24.3</v>
      </c>
      <c r="H212" s="8">
        <v>551</v>
      </c>
      <c r="I212" s="9">
        <v>204</v>
      </c>
      <c r="J212" s="9">
        <v>428</v>
      </c>
      <c r="K212" s="8">
        <v>47.7</v>
      </c>
      <c r="L212" s="9">
        <v>48</v>
      </c>
      <c r="M212" s="9">
        <v>136</v>
      </c>
      <c r="N212" s="8">
        <v>35.299999999999997</v>
      </c>
      <c r="O212" s="8">
        <v>95</v>
      </c>
      <c r="P212" s="8">
        <v>136</v>
      </c>
      <c r="Q212" s="8">
        <v>69.3</v>
      </c>
      <c r="R212" s="9">
        <v>48</v>
      </c>
      <c r="S212" s="9">
        <v>184</v>
      </c>
      <c r="T212" s="9">
        <v>231</v>
      </c>
      <c r="U212" s="9">
        <v>95</v>
      </c>
      <c r="V212" s="9">
        <v>54</v>
      </c>
      <c r="W212" s="9">
        <v>48</v>
      </c>
      <c r="X212" s="9">
        <v>95</v>
      </c>
      <c r="Y212" s="9">
        <v>122</v>
      </c>
      <c r="Z212" s="8">
        <v>1340</v>
      </c>
      <c r="AA212" s="8">
        <v>0</v>
      </c>
      <c r="AB212" s="8">
        <v>0</v>
      </c>
      <c r="AC212" s="7">
        <v>-0.4</v>
      </c>
      <c r="AD212" s="7">
        <v>113.9</v>
      </c>
      <c r="AE212" s="7">
        <v>113.9</v>
      </c>
      <c r="AF212" s="7">
        <v>0</v>
      </c>
      <c r="AG212" s="7">
        <v>7.3</v>
      </c>
      <c r="AH212" s="7">
        <v>1.68</v>
      </c>
      <c r="AI212" s="7">
        <v>14.7</v>
      </c>
      <c r="AJ212" s="7">
        <v>3</v>
      </c>
      <c r="AK212" s="7">
        <v>10.3</v>
      </c>
      <c r="AL212" s="7">
        <v>6.9</v>
      </c>
      <c r="AM212" s="7">
        <v>8.8000000000000007</v>
      </c>
      <c r="AN212" s="7">
        <v>53.3</v>
      </c>
      <c r="AO212" s="7">
        <v>56.4</v>
      </c>
      <c r="AP212" s="7">
        <v>13.8</v>
      </c>
      <c r="AQ212" s="7">
        <v>101.83</v>
      </c>
      <c r="AR212" s="7">
        <v>6.6</v>
      </c>
      <c r="AS212" s="7">
        <v>3501</v>
      </c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1"/>
    </row>
    <row r="213" spans="1:70" ht="13">
      <c r="A213" s="6" t="s">
        <v>463</v>
      </c>
      <c r="B213" s="6" t="s">
        <v>464</v>
      </c>
      <c r="C213" s="7">
        <v>32</v>
      </c>
      <c r="D213" s="7">
        <v>63</v>
      </c>
      <c r="E213" s="7">
        <v>36</v>
      </c>
      <c r="F213" s="7">
        <v>27</v>
      </c>
      <c r="G213" s="7">
        <v>28.9</v>
      </c>
      <c r="H213" s="8">
        <v>548</v>
      </c>
      <c r="I213" s="9">
        <v>195</v>
      </c>
      <c r="J213" s="9">
        <v>435</v>
      </c>
      <c r="K213" s="8">
        <v>44.8</v>
      </c>
      <c r="L213" s="9">
        <v>126</v>
      </c>
      <c r="M213" s="9">
        <v>315</v>
      </c>
      <c r="N213" s="8">
        <v>41.1</v>
      </c>
      <c r="O213" s="8">
        <v>32</v>
      </c>
      <c r="P213" s="8">
        <v>44</v>
      </c>
      <c r="Q213" s="8">
        <v>66.7</v>
      </c>
      <c r="R213" s="9">
        <v>82</v>
      </c>
      <c r="S213" s="9">
        <v>170</v>
      </c>
      <c r="T213" s="9">
        <v>246</v>
      </c>
      <c r="U213" s="9">
        <v>88</v>
      </c>
      <c r="V213" s="9">
        <v>57</v>
      </c>
      <c r="W213" s="9">
        <v>57</v>
      </c>
      <c r="X213" s="9">
        <v>25</v>
      </c>
      <c r="Y213" s="9">
        <v>139</v>
      </c>
      <c r="Z213" s="8">
        <v>1166</v>
      </c>
      <c r="AA213" s="8">
        <v>0</v>
      </c>
      <c r="AB213" s="8">
        <v>0</v>
      </c>
      <c r="AC213" s="7">
        <v>4.9000000000000004</v>
      </c>
      <c r="AD213" s="7">
        <v>119.1</v>
      </c>
      <c r="AE213" s="7">
        <v>110.3</v>
      </c>
      <c r="AF213" s="7">
        <v>8.8000000000000007</v>
      </c>
      <c r="AG213" s="7">
        <v>6.6</v>
      </c>
      <c r="AH213" s="7">
        <v>1.61</v>
      </c>
      <c r="AI213" s="7">
        <v>15</v>
      </c>
      <c r="AJ213" s="7">
        <v>4.7</v>
      </c>
      <c r="AK213" s="7">
        <v>8.9</v>
      </c>
      <c r="AL213" s="7">
        <v>6.9</v>
      </c>
      <c r="AM213" s="7">
        <v>9.3000000000000007</v>
      </c>
      <c r="AN213" s="7">
        <v>59.7</v>
      </c>
      <c r="AO213" s="7">
        <v>60.4</v>
      </c>
      <c r="AP213" s="7">
        <v>12.3</v>
      </c>
      <c r="AQ213" s="7">
        <v>98.14</v>
      </c>
      <c r="AR213" s="7">
        <v>6</v>
      </c>
      <c r="AS213" s="7">
        <v>3711</v>
      </c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1"/>
    </row>
    <row r="214" spans="1:70" ht="13">
      <c r="A214" s="6" t="s">
        <v>465</v>
      </c>
      <c r="B214" s="6" t="s">
        <v>466</v>
      </c>
      <c r="C214" s="7">
        <v>23</v>
      </c>
      <c r="D214" s="7">
        <v>62</v>
      </c>
      <c r="E214" s="7">
        <v>16</v>
      </c>
      <c r="F214" s="7">
        <v>46</v>
      </c>
      <c r="G214" s="7">
        <v>21.6</v>
      </c>
      <c r="H214" s="8">
        <v>546</v>
      </c>
      <c r="I214" s="9">
        <v>211</v>
      </c>
      <c r="J214" s="9">
        <v>409</v>
      </c>
      <c r="K214" s="8">
        <v>51.1</v>
      </c>
      <c r="L214" s="9">
        <v>74</v>
      </c>
      <c r="M214" s="9">
        <v>192</v>
      </c>
      <c r="N214" s="8">
        <v>38.299999999999997</v>
      </c>
      <c r="O214" s="8">
        <v>50</v>
      </c>
      <c r="P214" s="8">
        <v>74</v>
      </c>
      <c r="Q214" s="8">
        <v>68.5</v>
      </c>
      <c r="R214" s="9">
        <v>112</v>
      </c>
      <c r="S214" s="9">
        <v>242</v>
      </c>
      <c r="T214" s="9">
        <v>353</v>
      </c>
      <c r="U214" s="9">
        <v>62</v>
      </c>
      <c r="V214" s="9">
        <v>56</v>
      </c>
      <c r="W214" s="9">
        <v>62</v>
      </c>
      <c r="X214" s="9">
        <v>37</v>
      </c>
      <c r="Y214" s="9">
        <v>112</v>
      </c>
      <c r="Z214" s="8">
        <v>1314</v>
      </c>
      <c r="AA214" s="8">
        <v>8</v>
      </c>
      <c r="AB214" s="8">
        <v>0</v>
      </c>
      <c r="AC214" s="7">
        <v>-4.5999999999999996</v>
      </c>
      <c r="AD214" s="7">
        <v>107.1</v>
      </c>
      <c r="AE214" s="7">
        <v>116.8</v>
      </c>
      <c r="AF214" s="7">
        <v>-9.6999999999999993</v>
      </c>
      <c r="AG214" s="7">
        <v>6.6</v>
      </c>
      <c r="AH214" s="7">
        <v>1.1100000000000001</v>
      </c>
      <c r="AI214" s="7">
        <v>10.8</v>
      </c>
      <c r="AJ214" s="7">
        <v>7.7</v>
      </c>
      <c r="AK214" s="7">
        <v>15.9</v>
      </c>
      <c r="AL214" s="7">
        <v>11.9</v>
      </c>
      <c r="AM214" s="7">
        <v>9.6999999999999993</v>
      </c>
      <c r="AN214" s="7">
        <v>60.1</v>
      </c>
      <c r="AO214" s="7">
        <v>61.4</v>
      </c>
      <c r="AP214" s="7">
        <v>15</v>
      </c>
      <c r="AQ214" s="7">
        <v>102.96</v>
      </c>
      <c r="AR214" s="7">
        <v>10.1</v>
      </c>
      <c r="AS214" s="7">
        <v>2871</v>
      </c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1"/>
    </row>
    <row r="215" spans="1:70" ht="13">
      <c r="A215" s="6" t="s">
        <v>467</v>
      </c>
      <c r="B215" s="6" t="s">
        <v>468</v>
      </c>
      <c r="C215" s="7">
        <v>28</v>
      </c>
      <c r="D215" s="7">
        <v>31</v>
      </c>
      <c r="E215" s="7">
        <v>9</v>
      </c>
      <c r="F215" s="7">
        <v>22</v>
      </c>
      <c r="G215" s="7">
        <v>32.6</v>
      </c>
      <c r="H215" s="8">
        <v>543</v>
      </c>
      <c r="I215" s="9">
        <v>195</v>
      </c>
      <c r="J215" s="9">
        <v>493</v>
      </c>
      <c r="K215" s="8">
        <v>39.299999999999997</v>
      </c>
      <c r="L215" s="9">
        <v>53</v>
      </c>
      <c r="M215" s="9">
        <v>174</v>
      </c>
      <c r="N215" s="8">
        <v>29.9</v>
      </c>
      <c r="O215" s="8">
        <v>102</v>
      </c>
      <c r="P215" s="8">
        <v>124</v>
      </c>
      <c r="Q215" s="8">
        <v>82.3</v>
      </c>
      <c r="R215" s="9">
        <v>16</v>
      </c>
      <c r="S215" s="9">
        <v>183</v>
      </c>
      <c r="T215" s="9">
        <v>202</v>
      </c>
      <c r="U215" s="9">
        <v>229</v>
      </c>
      <c r="V215" s="9">
        <v>105</v>
      </c>
      <c r="W215" s="9">
        <v>62</v>
      </c>
      <c r="X215" s="9">
        <v>12</v>
      </c>
      <c r="Y215" s="9">
        <v>62</v>
      </c>
      <c r="Z215" s="8">
        <v>1243</v>
      </c>
      <c r="AA215" s="8">
        <v>8</v>
      </c>
      <c r="AB215" s="8">
        <v>1</v>
      </c>
      <c r="AC215" s="7">
        <v>-6.7</v>
      </c>
      <c r="AD215" s="7">
        <v>109</v>
      </c>
      <c r="AE215" s="7">
        <v>118.1</v>
      </c>
      <c r="AF215" s="7">
        <v>-9.1</v>
      </c>
      <c r="AG215" s="7">
        <v>34.700000000000003</v>
      </c>
      <c r="AH215" s="7">
        <v>2.15</v>
      </c>
      <c r="AI215" s="7">
        <v>25.9</v>
      </c>
      <c r="AJ215" s="7">
        <v>1.5</v>
      </c>
      <c r="AK215" s="7">
        <v>18.3</v>
      </c>
      <c r="AL215" s="7">
        <v>9.4</v>
      </c>
      <c r="AM215" s="7">
        <v>12</v>
      </c>
      <c r="AN215" s="7">
        <v>44.5</v>
      </c>
      <c r="AO215" s="7">
        <v>49.4</v>
      </c>
      <c r="AP215" s="7">
        <v>26.3</v>
      </c>
      <c r="AQ215" s="7">
        <v>102.86</v>
      </c>
      <c r="AR215" s="7">
        <v>11.8</v>
      </c>
      <c r="AS215" s="7">
        <v>2165</v>
      </c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1"/>
    </row>
    <row r="216" spans="1:70" ht="13">
      <c r="A216" s="6" t="s">
        <v>469</v>
      </c>
      <c r="B216" s="6" t="s">
        <v>470</v>
      </c>
      <c r="C216" s="7">
        <v>39</v>
      </c>
      <c r="D216" s="7">
        <v>60</v>
      </c>
      <c r="E216" s="7">
        <v>44</v>
      </c>
      <c r="F216" s="7">
        <v>16</v>
      </c>
      <c r="G216" s="7">
        <v>27.6</v>
      </c>
      <c r="H216" s="8">
        <v>540</v>
      </c>
      <c r="I216" s="9">
        <v>198</v>
      </c>
      <c r="J216" s="9">
        <v>462</v>
      </c>
      <c r="K216" s="8">
        <v>42.3</v>
      </c>
      <c r="L216" s="9">
        <v>114</v>
      </c>
      <c r="M216" s="9">
        <v>312</v>
      </c>
      <c r="N216" s="8">
        <v>36.299999999999997</v>
      </c>
      <c r="O216" s="8">
        <v>36</v>
      </c>
      <c r="P216" s="8">
        <v>36</v>
      </c>
      <c r="Q216" s="8">
        <v>89.5</v>
      </c>
      <c r="R216" s="9">
        <v>78</v>
      </c>
      <c r="S216" s="9">
        <v>288</v>
      </c>
      <c r="T216" s="9">
        <v>372</v>
      </c>
      <c r="U216" s="9">
        <v>126</v>
      </c>
      <c r="V216" s="9">
        <v>48</v>
      </c>
      <c r="W216" s="9">
        <v>36</v>
      </c>
      <c r="X216" s="9">
        <v>54</v>
      </c>
      <c r="Y216" s="9">
        <v>84</v>
      </c>
      <c r="Z216" s="8">
        <v>1386</v>
      </c>
      <c r="AA216" s="8">
        <v>7</v>
      </c>
      <c r="AB216" s="8">
        <v>0</v>
      </c>
      <c r="AC216" s="7">
        <v>6.6</v>
      </c>
      <c r="AD216" s="7">
        <v>119.6</v>
      </c>
      <c r="AE216" s="7">
        <v>108.1</v>
      </c>
      <c r="AF216" s="7">
        <v>11.5</v>
      </c>
      <c r="AG216" s="7">
        <v>10.199999999999999</v>
      </c>
      <c r="AH216" s="7">
        <v>2.78</v>
      </c>
      <c r="AI216" s="7">
        <v>19.600000000000001</v>
      </c>
      <c r="AJ216" s="7">
        <v>4.5999999999999996</v>
      </c>
      <c r="AK216" s="7">
        <v>16.5</v>
      </c>
      <c r="AL216" s="7">
        <v>10.6</v>
      </c>
      <c r="AM216" s="7">
        <v>7</v>
      </c>
      <c r="AN216" s="7">
        <v>54.7</v>
      </c>
      <c r="AO216" s="7">
        <v>56.3</v>
      </c>
      <c r="AP216" s="7">
        <v>13.6</v>
      </c>
      <c r="AQ216" s="7">
        <v>97.75</v>
      </c>
      <c r="AR216" s="7">
        <v>9.1</v>
      </c>
      <c r="AS216" s="7">
        <v>3381</v>
      </c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1"/>
    </row>
    <row r="217" spans="1:70" ht="13">
      <c r="A217" s="6" t="s">
        <v>471</v>
      </c>
      <c r="B217" s="6" t="s">
        <v>472</v>
      </c>
      <c r="C217" s="7">
        <v>25</v>
      </c>
      <c r="D217" s="7">
        <v>45</v>
      </c>
      <c r="E217" s="7">
        <v>29</v>
      </c>
      <c r="F217" s="7">
        <v>16</v>
      </c>
      <c r="G217" s="7">
        <v>24.9</v>
      </c>
      <c r="H217" s="8">
        <v>540</v>
      </c>
      <c r="I217" s="9">
        <v>194</v>
      </c>
      <c r="J217" s="9">
        <v>378</v>
      </c>
      <c r="K217" s="8">
        <v>50.7</v>
      </c>
      <c r="L217" s="9">
        <v>86</v>
      </c>
      <c r="M217" s="9">
        <v>194</v>
      </c>
      <c r="N217" s="8">
        <v>43.1</v>
      </c>
      <c r="O217" s="8">
        <v>72</v>
      </c>
      <c r="P217" s="8">
        <v>81</v>
      </c>
      <c r="Q217" s="8">
        <v>91.3</v>
      </c>
      <c r="R217" s="9">
        <v>36</v>
      </c>
      <c r="S217" s="9">
        <v>140</v>
      </c>
      <c r="T217" s="9">
        <v>180</v>
      </c>
      <c r="U217" s="9">
        <v>54</v>
      </c>
      <c r="V217" s="9">
        <v>36</v>
      </c>
      <c r="W217" s="9">
        <v>36</v>
      </c>
      <c r="X217" s="9">
        <v>18</v>
      </c>
      <c r="Y217" s="9">
        <v>113</v>
      </c>
      <c r="Z217" s="8">
        <v>954</v>
      </c>
      <c r="AA217" s="8">
        <v>0</v>
      </c>
      <c r="AB217" s="8">
        <v>0</v>
      </c>
      <c r="AC217" s="7">
        <v>4.4000000000000004</v>
      </c>
      <c r="AD217" s="7">
        <v>120.1</v>
      </c>
      <c r="AE217" s="7">
        <v>111.5</v>
      </c>
      <c r="AF217" s="7">
        <v>8.5</v>
      </c>
      <c r="AG217" s="7">
        <v>6.3</v>
      </c>
      <c r="AH217" s="7">
        <v>1.46</v>
      </c>
      <c r="AI217" s="7">
        <v>10.8</v>
      </c>
      <c r="AJ217" s="7">
        <v>3.4</v>
      </c>
      <c r="AK217" s="7">
        <v>11.8</v>
      </c>
      <c r="AL217" s="7">
        <v>7.8</v>
      </c>
      <c r="AM217" s="7">
        <v>7.4</v>
      </c>
      <c r="AN217" s="7">
        <v>61.7</v>
      </c>
      <c r="AO217" s="7">
        <v>65.3</v>
      </c>
      <c r="AP217" s="7">
        <v>17.100000000000001</v>
      </c>
      <c r="AQ217" s="7">
        <v>101.64</v>
      </c>
      <c r="AR217" s="7">
        <v>8.6999999999999993</v>
      </c>
      <c r="AS217" s="7">
        <v>2373</v>
      </c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1"/>
    </row>
    <row r="218" spans="1:70" ht="13">
      <c r="A218" s="6" t="s">
        <v>473</v>
      </c>
      <c r="B218" s="6" t="s">
        <v>474</v>
      </c>
      <c r="C218" s="7">
        <v>25</v>
      </c>
      <c r="D218" s="7">
        <v>73</v>
      </c>
      <c r="E218" s="7">
        <v>44</v>
      </c>
      <c r="F218" s="7">
        <v>29</v>
      </c>
      <c r="G218" s="7">
        <v>22.7</v>
      </c>
      <c r="H218" s="8">
        <v>540</v>
      </c>
      <c r="I218" s="9">
        <v>183</v>
      </c>
      <c r="J218" s="9">
        <v>423</v>
      </c>
      <c r="K218" s="8">
        <v>42.9</v>
      </c>
      <c r="L218" s="9">
        <v>153</v>
      </c>
      <c r="M218" s="9">
        <v>365</v>
      </c>
      <c r="N218" s="8">
        <v>42.7</v>
      </c>
      <c r="O218" s="8">
        <v>22</v>
      </c>
      <c r="P218" s="8">
        <v>29</v>
      </c>
      <c r="Q218" s="8">
        <v>81.5</v>
      </c>
      <c r="R218" s="9">
        <v>15</v>
      </c>
      <c r="S218" s="9">
        <v>153</v>
      </c>
      <c r="T218" s="9">
        <v>175</v>
      </c>
      <c r="U218" s="9">
        <v>110</v>
      </c>
      <c r="V218" s="9">
        <v>37</v>
      </c>
      <c r="W218" s="9">
        <v>37</v>
      </c>
      <c r="X218" s="9">
        <v>7</v>
      </c>
      <c r="Y218" s="9">
        <v>161</v>
      </c>
      <c r="Z218" s="8">
        <v>1007</v>
      </c>
      <c r="AA218" s="8">
        <v>0</v>
      </c>
      <c r="AB218" s="8">
        <v>0</v>
      </c>
      <c r="AC218" s="7">
        <v>3.1</v>
      </c>
      <c r="AD218" s="7">
        <v>114</v>
      </c>
      <c r="AE218" s="7">
        <v>107.6</v>
      </c>
      <c r="AF218" s="7">
        <v>6.4</v>
      </c>
      <c r="AG218" s="7">
        <v>8.6</v>
      </c>
      <c r="AH218" s="7">
        <v>2.7</v>
      </c>
      <c r="AI218" s="7">
        <v>18.600000000000001</v>
      </c>
      <c r="AJ218" s="7">
        <v>1.1000000000000001</v>
      </c>
      <c r="AK218" s="7">
        <v>8.6999999999999993</v>
      </c>
      <c r="AL218" s="7">
        <v>5.0999999999999996</v>
      </c>
      <c r="AM218" s="7">
        <v>6.9</v>
      </c>
      <c r="AN218" s="7">
        <v>61.2</v>
      </c>
      <c r="AO218" s="7">
        <v>62.1</v>
      </c>
      <c r="AP218" s="7">
        <v>12.3</v>
      </c>
      <c r="AQ218" s="7">
        <v>100.84</v>
      </c>
      <c r="AR218" s="7">
        <v>5.8</v>
      </c>
      <c r="AS218" s="7">
        <v>3487</v>
      </c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1"/>
    </row>
    <row r="219" spans="1:70" ht="13">
      <c r="A219" s="6" t="s">
        <v>475</v>
      </c>
      <c r="B219" s="6" t="s">
        <v>476</v>
      </c>
      <c r="C219" s="7">
        <v>24</v>
      </c>
      <c r="D219" s="7">
        <v>60</v>
      </c>
      <c r="E219" s="7">
        <v>6</v>
      </c>
      <c r="F219" s="7">
        <v>54</v>
      </c>
      <c r="G219" s="7">
        <v>17.399999999999999</v>
      </c>
      <c r="H219" s="8">
        <v>540</v>
      </c>
      <c r="I219" s="9">
        <v>204</v>
      </c>
      <c r="J219" s="9">
        <v>456</v>
      </c>
      <c r="K219" s="8">
        <v>44.8</v>
      </c>
      <c r="L219" s="9">
        <v>60</v>
      </c>
      <c r="M219" s="9">
        <v>168</v>
      </c>
      <c r="N219" s="8">
        <v>35.5</v>
      </c>
      <c r="O219" s="8">
        <v>78</v>
      </c>
      <c r="P219" s="8">
        <v>90</v>
      </c>
      <c r="Q219" s="8">
        <v>82.4</v>
      </c>
      <c r="R219" s="9">
        <v>24</v>
      </c>
      <c r="S219" s="9">
        <v>84</v>
      </c>
      <c r="T219" s="9">
        <v>108</v>
      </c>
      <c r="U219" s="9">
        <v>222</v>
      </c>
      <c r="V219" s="9">
        <v>78</v>
      </c>
      <c r="W219" s="9">
        <v>42</v>
      </c>
      <c r="X219" s="9">
        <v>12</v>
      </c>
      <c r="Y219" s="9">
        <v>96</v>
      </c>
      <c r="Z219" s="8">
        <v>1086</v>
      </c>
      <c r="AA219" s="8">
        <v>1</v>
      </c>
      <c r="AB219" s="8">
        <v>0</v>
      </c>
      <c r="AC219" s="7">
        <v>-2.2000000000000002</v>
      </c>
      <c r="AD219" s="7">
        <v>108.5</v>
      </c>
      <c r="AE219" s="7">
        <v>114.5</v>
      </c>
      <c r="AF219" s="7">
        <v>-6</v>
      </c>
      <c r="AG219" s="7">
        <v>31.7</v>
      </c>
      <c r="AH219" s="7">
        <v>2.75</v>
      </c>
      <c r="AI219" s="7">
        <v>27.9</v>
      </c>
      <c r="AJ219" s="7">
        <v>2.2000000000000002</v>
      </c>
      <c r="AK219" s="7">
        <v>7.6</v>
      </c>
      <c r="AL219" s="7">
        <v>4.9000000000000004</v>
      </c>
      <c r="AM219" s="7">
        <v>10.199999999999999</v>
      </c>
      <c r="AN219" s="7">
        <v>51.4</v>
      </c>
      <c r="AO219" s="7">
        <v>54.9</v>
      </c>
      <c r="AP219" s="7">
        <v>22.2</v>
      </c>
      <c r="AQ219" s="7">
        <v>102.6</v>
      </c>
      <c r="AR219" s="7">
        <v>10.199999999999999</v>
      </c>
      <c r="AS219" s="7">
        <v>2232</v>
      </c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1"/>
    </row>
    <row r="220" spans="1:70" ht="13">
      <c r="A220" s="6" t="s">
        <v>477</v>
      </c>
      <c r="B220" s="6" t="s">
        <v>478</v>
      </c>
      <c r="C220" s="7">
        <v>24</v>
      </c>
      <c r="D220" s="7">
        <v>74</v>
      </c>
      <c r="E220" s="7">
        <v>35</v>
      </c>
      <c r="F220" s="7">
        <v>39</v>
      </c>
      <c r="G220" s="7">
        <v>22</v>
      </c>
      <c r="H220" s="8">
        <v>533</v>
      </c>
      <c r="I220" s="9">
        <v>200</v>
      </c>
      <c r="J220" s="9">
        <v>481</v>
      </c>
      <c r="K220" s="8">
        <v>41.2</v>
      </c>
      <c r="L220" s="9">
        <v>81</v>
      </c>
      <c r="M220" s="9">
        <v>237</v>
      </c>
      <c r="N220" s="8">
        <v>33.5</v>
      </c>
      <c r="O220" s="8">
        <v>52</v>
      </c>
      <c r="P220" s="8">
        <v>67</v>
      </c>
      <c r="Q220" s="8">
        <v>87.3</v>
      </c>
      <c r="R220" s="9">
        <v>74</v>
      </c>
      <c r="S220" s="9">
        <v>170</v>
      </c>
      <c r="T220" s="9">
        <v>244</v>
      </c>
      <c r="U220" s="9">
        <v>111</v>
      </c>
      <c r="V220" s="9">
        <v>59</v>
      </c>
      <c r="W220" s="9">
        <v>30</v>
      </c>
      <c r="X220" s="9">
        <v>15</v>
      </c>
      <c r="Y220" s="9">
        <v>96</v>
      </c>
      <c r="Z220" s="8">
        <v>1095</v>
      </c>
      <c r="AA220" s="8">
        <v>1</v>
      </c>
      <c r="AB220" s="8">
        <v>0</v>
      </c>
      <c r="AC220" s="7">
        <v>-1.7</v>
      </c>
      <c r="AD220" s="7">
        <v>106.1</v>
      </c>
      <c r="AE220" s="7">
        <v>110.3</v>
      </c>
      <c r="AF220" s="7">
        <v>-4.2</v>
      </c>
      <c r="AG220" s="7">
        <v>10.5</v>
      </c>
      <c r="AH220" s="7">
        <v>2.02</v>
      </c>
      <c r="AI220" s="7">
        <v>16.600000000000001</v>
      </c>
      <c r="AJ220" s="7">
        <v>4.2</v>
      </c>
      <c r="AK220" s="7">
        <v>11.4</v>
      </c>
      <c r="AL220" s="7">
        <v>7.6</v>
      </c>
      <c r="AM220" s="7">
        <v>8.1999999999999993</v>
      </c>
      <c r="AN220" s="7">
        <v>49.5</v>
      </c>
      <c r="AO220" s="7">
        <v>52.2</v>
      </c>
      <c r="AP220" s="7">
        <v>14.9</v>
      </c>
      <c r="AQ220" s="7">
        <v>96.97</v>
      </c>
      <c r="AR220" s="7">
        <v>7.4</v>
      </c>
      <c r="AS220" s="7">
        <v>3295</v>
      </c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1"/>
    </row>
    <row r="221" spans="1:70" ht="13">
      <c r="A221" s="6" t="s">
        <v>479</v>
      </c>
      <c r="B221" s="6" t="s">
        <v>480</v>
      </c>
      <c r="C221" s="7">
        <v>23</v>
      </c>
      <c r="D221" s="7">
        <v>73</v>
      </c>
      <c r="E221" s="7">
        <v>16</v>
      </c>
      <c r="F221" s="7">
        <v>57</v>
      </c>
      <c r="G221" s="7">
        <v>17.100000000000001</v>
      </c>
      <c r="H221" s="8">
        <v>533</v>
      </c>
      <c r="I221" s="9">
        <v>175</v>
      </c>
      <c r="J221" s="9">
        <v>460</v>
      </c>
      <c r="K221" s="8">
        <v>38.200000000000003</v>
      </c>
      <c r="L221" s="9">
        <v>58</v>
      </c>
      <c r="M221" s="9">
        <v>212</v>
      </c>
      <c r="N221" s="8">
        <v>25.8</v>
      </c>
      <c r="O221" s="8">
        <v>124</v>
      </c>
      <c r="P221" s="8">
        <v>153</v>
      </c>
      <c r="Q221" s="8">
        <v>80.400000000000006</v>
      </c>
      <c r="R221" s="9">
        <v>51</v>
      </c>
      <c r="S221" s="9">
        <v>161</v>
      </c>
      <c r="T221" s="9">
        <v>212</v>
      </c>
      <c r="U221" s="9">
        <v>95</v>
      </c>
      <c r="V221" s="9">
        <v>51</v>
      </c>
      <c r="W221" s="9">
        <v>29</v>
      </c>
      <c r="X221" s="9">
        <v>15</v>
      </c>
      <c r="Y221" s="9">
        <v>66</v>
      </c>
      <c r="Z221" s="8">
        <v>1015</v>
      </c>
      <c r="AA221" s="8">
        <v>3</v>
      </c>
      <c r="AB221" s="8">
        <v>0</v>
      </c>
      <c r="AC221" s="7">
        <v>-2.2000000000000002</v>
      </c>
      <c r="AD221" s="7">
        <v>109.9</v>
      </c>
      <c r="AE221" s="7">
        <v>116</v>
      </c>
      <c r="AF221" s="7">
        <v>-6.1</v>
      </c>
      <c r="AG221" s="7">
        <v>11.5</v>
      </c>
      <c r="AH221" s="7">
        <v>1.87</v>
      </c>
      <c r="AI221" s="7">
        <v>14.3</v>
      </c>
      <c r="AJ221" s="7">
        <v>3.9</v>
      </c>
      <c r="AK221" s="7">
        <v>13</v>
      </c>
      <c r="AL221" s="7">
        <v>8.4</v>
      </c>
      <c r="AM221" s="7">
        <v>7.7</v>
      </c>
      <c r="AN221" s="7">
        <v>44.2</v>
      </c>
      <c r="AO221" s="7">
        <v>50.2</v>
      </c>
      <c r="AP221" s="7">
        <v>19.600000000000001</v>
      </c>
      <c r="AQ221" s="7">
        <v>99.93</v>
      </c>
      <c r="AR221" s="7">
        <v>8</v>
      </c>
      <c r="AS221" s="7">
        <v>2602</v>
      </c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1"/>
    </row>
    <row r="222" spans="1:70" ht="13">
      <c r="A222" s="6" t="s">
        <v>481</v>
      </c>
      <c r="B222" s="6" t="s">
        <v>482</v>
      </c>
      <c r="C222" s="7">
        <v>22</v>
      </c>
      <c r="D222" s="7">
        <v>75</v>
      </c>
      <c r="E222" s="7">
        <v>28</v>
      </c>
      <c r="F222" s="7">
        <v>47</v>
      </c>
      <c r="G222" s="7">
        <v>19.600000000000001</v>
      </c>
      <c r="H222" s="8">
        <v>533</v>
      </c>
      <c r="I222" s="9">
        <v>203</v>
      </c>
      <c r="J222" s="9">
        <v>503</v>
      </c>
      <c r="K222" s="8">
        <v>40.5</v>
      </c>
      <c r="L222" s="9">
        <v>75</v>
      </c>
      <c r="M222" s="9">
        <v>225</v>
      </c>
      <c r="N222" s="8">
        <v>32.299999999999997</v>
      </c>
      <c r="O222" s="8">
        <v>53</v>
      </c>
      <c r="P222" s="8">
        <v>68</v>
      </c>
      <c r="Q222" s="8">
        <v>76.8</v>
      </c>
      <c r="R222" s="9">
        <v>30</v>
      </c>
      <c r="S222" s="9">
        <v>83</v>
      </c>
      <c r="T222" s="9">
        <v>113</v>
      </c>
      <c r="U222" s="9">
        <v>315</v>
      </c>
      <c r="V222" s="9">
        <v>120</v>
      </c>
      <c r="W222" s="9">
        <v>60</v>
      </c>
      <c r="X222" s="9">
        <v>8</v>
      </c>
      <c r="Y222" s="9">
        <v>158</v>
      </c>
      <c r="Z222" s="8">
        <v>1230</v>
      </c>
      <c r="AA222" s="8">
        <v>1</v>
      </c>
      <c r="AB222" s="8">
        <v>0</v>
      </c>
      <c r="AC222" s="7">
        <v>-3.1</v>
      </c>
      <c r="AD222" s="7">
        <v>105.5</v>
      </c>
      <c r="AE222" s="7">
        <v>113.3</v>
      </c>
      <c r="AF222" s="7">
        <v>-7.8</v>
      </c>
      <c r="AG222" s="7">
        <v>30.7</v>
      </c>
      <c r="AH222" s="7">
        <v>2.7</v>
      </c>
      <c r="AI222" s="7">
        <v>32.799999999999997</v>
      </c>
      <c r="AJ222" s="7">
        <v>1.9</v>
      </c>
      <c r="AK222" s="7">
        <v>5.7</v>
      </c>
      <c r="AL222" s="7">
        <v>3.7</v>
      </c>
      <c r="AM222" s="7">
        <v>12.1</v>
      </c>
      <c r="AN222" s="7">
        <v>47.6</v>
      </c>
      <c r="AO222" s="7">
        <v>49.9</v>
      </c>
      <c r="AP222" s="7">
        <v>17.899999999999999</v>
      </c>
      <c r="AQ222" s="7">
        <v>102.18</v>
      </c>
      <c r="AR222" s="7">
        <v>7</v>
      </c>
      <c r="AS222" s="7">
        <v>3127</v>
      </c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1"/>
    </row>
    <row r="223" spans="1:70" ht="13">
      <c r="A223" s="6" t="s">
        <v>483</v>
      </c>
      <c r="B223" s="6" t="s">
        <v>484</v>
      </c>
      <c r="C223" s="7">
        <v>28</v>
      </c>
      <c r="D223" s="7">
        <v>64</v>
      </c>
      <c r="E223" s="7">
        <v>40</v>
      </c>
      <c r="F223" s="7">
        <v>24</v>
      </c>
      <c r="G223" s="7">
        <v>18.899999999999999</v>
      </c>
      <c r="H223" s="8">
        <v>531</v>
      </c>
      <c r="I223" s="9">
        <v>237</v>
      </c>
      <c r="J223" s="9">
        <v>378</v>
      </c>
      <c r="K223" s="8">
        <v>62.1</v>
      </c>
      <c r="L223" s="8">
        <v>0</v>
      </c>
      <c r="M223" s="9">
        <v>19</v>
      </c>
      <c r="N223" s="8">
        <v>5.9</v>
      </c>
      <c r="O223" s="8">
        <v>64</v>
      </c>
      <c r="P223" s="8">
        <v>90</v>
      </c>
      <c r="Q223" s="8">
        <v>70.099999999999994</v>
      </c>
      <c r="R223" s="9">
        <v>128</v>
      </c>
      <c r="S223" s="9">
        <v>198</v>
      </c>
      <c r="T223" s="9">
        <v>326</v>
      </c>
      <c r="U223" s="9">
        <v>64</v>
      </c>
      <c r="V223" s="9">
        <v>38</v>
      </c>
      <c r="W223" s="9">
        <v>51</v>
      </c>
      <c r="X223" s="9">
        <v>38</v>
      </c>
      <c r="Y223" s="9">
        <v>147</v>
      </c>
      <c r="Z223" s="8">
        <v>1248</v>
      </c>
      <c r="AA223" s="8">
        <v>2</v>
      </c>
      <c r="AB223" s="8">
        <v>0</v>
      </c>
      <c r="AC223" s="7">
        <v>2.8</v>
      </c>
      <c r="AD223" s="7">
        <v>116.5</v>
      </c>
      <c r="AE223" s="7">
        <v>108.2</v>
      </c>
      <c r="AF223" s="7">
        <v>8.1999999999999993</v>
      </c>
      <c r="AG223" s="7">
        <v>7.2</v>
      </c>
      <c r="AH223" s="7">
        <v>1.61</v>
      </c>
      <c r="AI223" s="7">
        <v>12.7</v>
      </c>
      <c r="AJ223" s="7">
        <v>10.199999999999999</v>
      </c>
      <c r="AK223" s="7">
        <v>14.8</v>
      </c>
      <c r="AL223" s="7">
        <v>12.6</v>
      </c>
      <c r="AM223" s="7">
        <v>7.9</v>
      </c>
      <c r="AN223" s="7">
        <v>62.2</v>
      </c>
      <c r="AO223" s="7">
        <v>63.8</v>
      </c>
      <c r="AP223" s="7">
        <v>15</v>
      </c>
      <c r="AQ223" s="7">
        <v>105.54</v>
      </c>
      <c r="AR223" s="7">
        <v>10.8</v>
      </c>
      <c r="AS223" s="7">
        <v>2637</v>
      </c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1"/>
    </row>
    <row r="224" spans="1:70" ht="13">
      <c r="A224" s="6" t="s">
        <v>485</v>
      </c>
      <c r="B224" s="6" t="s">
        <v>486</v>
      </c>
      <c r="C224" s="7">
        <v>27</v>
      </c>
      <c r="D224" s="7">
        <v>57</v>
      </c>
      <c r="E224" s="7">
        <v>17</v>
      </c>
      <c r="F224" s="7">
        <v>40</v>
      </c>
      <c r="G224" s="7">
        <v>22</v>
      </c>
      <c r="H224" s="8">
        <v>530</v>
      </c>
      <c r="I224" s="9">
        <v>205</v>
      </c>
      <c r="J224" s="9">
        <v>348</v>
      </c>
      <c r="K224" s="8">
        <v>59.1</v>
      </c>
      <c r="L224" s="8">
        <v>0</v>
      </c>
      <c r="M224" s="8">
        <v>0</v>
      </c>
      <c r="N224" s="8">
        <v>0</v>
      </c>
      <c r="O224" s="8">
        <v>120</v>
      </c>
      <c r="P224" s="8">
        <v>160</v>
      </c>
      <c r="Q224" s="8">
        <v>74.400000000000006</v>
      </c>
      <c r="R224" s="9">
        <v>148</v>
      </c>
      <c r="S224" s="9">
        <v>319</v>
      </c>
      <c r="T224" s="9">
        <v>467</v>
      </c>
      <c r="U224" s="9">
        <v>51</v>
      </c>
      <c r="V224" s="9">
        <v>80</v>
      </c>
      <c r="W224" s="9">
        <v>11</v>
      </c>
      <c r="X224" s="9">
        <v>57</v>
      </c>
      <c r="Y224" s="9">
        <v>143</v>
      </c>
      <c r="Z224" s="8">
        <v>1288</v>
      </c>
      <c r="AA224" s="8">
        <v>16</v>
      </c>
      <c r="AB224" s="8">
        <v>0</v>
      </c>
      <c r="AC224" s="7">
        <v>-4.0999999999999996</v>
      </c>
      <c r="AD224" s="7">
        <v>112.3</v>
      </c>
      <c r="AE224" s="7">
        <v>120.9</v>
      </c>
      <c r="AF224" s="7">
        <v>-8.6999999999999993</v>
      </c>
      <c r="AG224" s="7">
        <v>5.8</v>
      </c>
      <c r="AH224" s="7">
        <v>0.6</v>
      </c>
      <c r="AI224" s="7">
        <v>8.9</v>
      </c>
      <c r="AJ224" s="7">
        <v>11.8</v>
      </c>
      <c r="AK224" s="7">
        <v>24.3</v>
      </c>
      <c r="AL224" s="7">
        <v>18.100000000000001</v>
      </c>
      <c r="AM224" s="7">
        <v>14.8</v>
      </c>
      <c r="AN224" s="7">
        <v>59.1</v>
      </c>
      <c r="AO224" s="7">
        <v>63.4</v>
      </c>
      <c r="AP224" s="7">
        <v>16.899999999999999</v>
      </c>
      <c r="AQ224" s="7">
        <v>98.62</v>
      </c>
      <c r="AR224" s="7">
        <v>10.7</v>
      </c>
      <c r="AS224" s="7">
        <v>2576</v>
      </c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1"/>
    </row>
    <row r="225" spans="1:70" ht="13">
      <c r="A225" s="6" t="s">
        <v>487</v>
      </c>
      <c r="B225" s="6" t="s">
        <v>488</v>
      </c>
      <c r="C225" s="7">
        <v>23</v>
      </c>
      <c r="D225" s="7">
        <v>30</v>
      </c>
      <c r="E225" s="7">
        <v>14</v>
      </c>
      <c r="F225" s="7">
        <v>16</v>
      </c>
      <c r="G225" s="7">
        <v>29.9</v>
      </c>
      <c r="H225" s="8">
        <v>528</v>
      </c>
      <c r="I225" s="9">
        <v>189</v>
      </c>
      <c r="J225" s="9">
        <v>414</v>
      </c>
      <c r="K225" s="8">
        <v>46</v>
      </c>
      <c r="L225" s="9">
        <v>63</v>
      </c>
      <c r="M225" s="9">
        <v>153</v>
      </c>
      <c r="N225" s="8">
        <v>40.9</v>
      </c>
      <c r="O225" s="8">
        <v>84</v>
      </c>
      <c r="P225" s="8">
        <v>117</v>
      </c>
      <c r="Q225" s="8">
        <v>73.3</v>
      </c>
      <c r="R225" s="9">
        <v>39</v>
      </c>
      <c r="S225" s="9">
        <v>84</v>
      </c>
      <c r="T225" s="9">
        <v>123</v>
      </c>
      <c r="U225" s="9">
        <v>120</v>
      </c>
      <c r="V225" s="9">
        <v>90</v>
      </c>
      <c r="W225" s="9">
        <v>27</v>
      </c>
      <c r="X225" s="9">
        <v>12</v>
      </c>
      <c r="Y225" s="9">
        <v>66</v>
      </c>
      <c r="Z225" s="8">
        <v>882</v>
      </c>
      <c r="AA225" s="8">
        <v>0</v>
      </c>
      <c r="AB225" s="8">
        <v>0</v>
      </c>
      <c r="AC225" s="7">
        <v>-2.1</v>
      </c>
      <c r="AD225" s="7">
        <v>110.5</v>
      </c>
      <c r="AE225" s="7">
        <v>114.6</v>
      </c>
      <c r="AF225" s="7">
        <v>-4.0999999999999996</v>
      </c>
      <c r="AG225" s="7">
        <v>20.7</v>
      </c>
      <c r="AH225" s="7">
        <v>1.34</v>
      </c>
      <c r="AI225" s="7">
        <v>17.7</v>
      </c>
      <c r="AJ225" s="7">
        <v>4.3</v>
      </c>
      <c r="AK225" s="7">
        <v>9.1</v>
      </c>
      <c r="AL225" s="7">
        <v>6.7</v>
      </c>
      <c r="AM225" s="7">
        <v>13.2</v>
      </c>
      <c r="AN225" s="7">
        <v>53.6</v>
      </c>
      <c r="AO225" s="7">
        <v>56.9</v>
      </c>
      <c r="AP225" s="7">
        <v>25.6</v>
      </c>
      <c r="AQ225" s="7">
        <v>99.52</v>
      </c>
      <c r="AR225" s="7">
        <v>9.9</v>
      </c>
      <c r="AS225" s="7">
        <v>1868</v>
      </c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1"/>
    </row>
    <row r="226" spans="1:70" ht="13">
      <c r="A226" s="6" t="s">
        <v>489</v>
      </c>
      <c r="B226" s="6" t="s">
        <v>490</v>
      </c>
      <c r="C226" s="7">
        <v>25</v>
      </c>
      <c r="D226" s="7">
        <v>64</v>
      </c>
      <c r="E226" s="7">
        <v>28</v>
      </c>
      <c r="F226" s="7">
        <v>36</v>
      </c>
      <c r="G226" s="7">
        <v>15</v>
      </c>
      <c r="H226" s="8">
        <v>525</v>
      </c>
      <c r="I226" s="9">
        <v>192</v>
      </c>
      <c r="J226" s="9">
        <v>410</v>
      </c>
      <c r="K226" s="8">
        <v>46.6</v>
      </c>
      <c r="L226" s="9">
        <v>70</v>
      </c>
      <c r="M226" s="9">
        <v>224</v>
      </c>
      <c r="N226" s="8">
        <v>32.4</v>
      </c>
      <c r="O226" s="8">
        <v>70</v>
      </c>
      <c r="P226" s="8">
        <v>90</v>
      </c>
      <c r="Q226" s="8">
        <v>80.900000000000006</v>
      </c>
      <c r="R226" s="9">
        <v>90</v>
      </c>
      <c r="S226" s="9">
        <v>269</v>
      </c>
      <c r="T226" s="9">
        <v>358</v>
      </c>
      <c r="U226" s="9">
        <v>64</v>
      </c>
      <c r="V226" s="9">
        <v>38</v>
      </c>
      <c r="W226" s="9">
        <v>19</v>
      </c>
      <c r="X226" s="9">
        <v>45</v>
      </c>
      <c r="Y226" s="9">
        <v>96</v>
      </c>
      <c r="Z226" s="8">
        <v>1197</v>
      </c>
      <c r="AA226" s="8">
        <v>4</v>
      </c>
      <c r="AB226" s="8">
        <v>0</v>
      </c>
      <c r="AC226" s="7">
        <v>-0.6</v>
      </c>
      <c r="AD226" s="7">
        <v>110.3</v>
      </c>
      <c r="AE226" s="7">
        <v>111.5</v>
      </c>
      <c r="AF226" s="7">
        <v>-1.2</v>
      </c>
      <c r="AG226" s="7">
        <v>10.1</v>
      </c>
      <c r="AH226" s="7">
        <v>1.76</v>
      </c>
      <c r="AI226" s="7">
        <v>11.9</v>
      </c>
      <c r="AJ226" s="7">
        <v>8.5</v>
      </c>
      <c r="AK226" s="7">
        <v>24.1</v>
      </c>
      <c r="AL226" s="7">
        <v>16.5</v>
      </c>
      <c r="AM226" s="7">
        <v>6.8</v>
      </c>
      <c r="AN226" s="7">
        <v>55.4</v>
      </c>
      <c r="AO226" s="7">
        <v>58.6</v>
      </c>
      <c r="AP226" s="7">
        <v>20.100000000000001</v>
      </c>
      <c r="AQ226" s="7">
        <v>106.06</v>
      </c>
      <c r="AR226" s="7">
        <v>13.3</v>
      </c>
      <c r="AS226" s="7">
        <v>2122</v>
      </c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1"/>
    </row>
    <row r="227" spans="1:70" ht="13">
      <c r="A227" s="6" t="s">
        <v>491</v>
      </c>
      <c r="B227" s="6" t="s">
        <v>492</v>
      </c>
      <c r="C227" s="7">
        <v>26</v>
      </c>
      <c r="D227" s="7">
        <v>60</v>
      </c>
      <c r="E227" s="7">
        <v>16</v>
      </c>
      <c r="F227" s="7">
        <v>44</v>
      </c>
      <c r="G227" s="7">
        <v>21.9</v>
      </c>
      <c r="H227" s="8">
        <v>522</v>
      </c>
      <c r="I227" s="9">
        <v>192</v>
      </c>
      <c r="J227" s="9">
        <v>468</v>
      </c>
      <c r="K227" s="8">
        <v>40.6</v>
      </c>
      <c r="L227" s="9">
        <v>102</v>
      </c>
      <c r="M227" s="9">
        <v>282</v>
      </c>
      <c r="N227" s="8">
        <v>35.1</v>
      </c>
      <c r="O227" s="8">
        <v>48</v>
      </c>
      <c r="P227" s="8">
        <v>60</v>
      </c>
      <c r="Q227" s="8">
        <v>79.3</v>
      </c>
      <c r="R227" s="9">
        <v>60</v>
      </c>
      <c r="S227" s="9">
        <v>162</v>
      </c>
      <c r="T227" s="9">
        <v>222</v>
      </c>
      <c r="U227" s="9">
        <v>120</v>
      </c>
      <c r="V227" s="9">
        <v>72</v>
      </c>
      <c r="W227" s="9">
        <v>36</v>
      </c>
      <c r="X227" s="9">
        <v>12</v>
      </c>
      <c r="Y227" s="9">
        <v>78</v>
      </c>
      <c r="Z227" s="8">
        <v>1026</v>
      </c>
      <c r="AA227" s="8">
        <v>1</v>
      </c>
      <c r="AB227" s="8">
        <v>0</v>
      </c>
      <c r="AC227" s="7">
        <v>-4.3</v>
      </c>
      <c r="AD227" s="7">
        <v>103.2</v>
      </c>
      <c r="AE227" s="7">
        <v>113.4</v>
      </c>
      <c r="AF227" s="7">
        <v>-10.199999999999999</v>
      </c>
      <c r="AG227" s="7">
        <v>15</v>
      </c>
      <c r="AH227" s="7">
        <v>1.65</v>
      </c>
      <c r="AI227" s="7">
        <v>17.7</v>
      </c>
      <c r="AJ227" s="7">
        <v>4</v>
      </c>
      <c r="AK227" s="7">
        <v>13.3</v>
      </c>
      <c r="AL227" s="7">
        <v>8.3000000000000007</v>
      </c>
      <c r="AM227" s="7">
        <v>10.8</v>
      </c>
      <c r="AN227" s="7">
        <v>51.3</v>
      </c>
      <c r="AO227" s="7">
        <v>53.3</v>
      </c>
      <c r="AP227" s="7">
        <v>17.899999999999999</v>
      </c>
      <c r="AQ227" s="7">
        <v>98.64</v>
      </c>
      <c r="AR227" s="7">
        <v>8.4</v>
      </c>
      <c r="AS227" s="7">
        <v>2711</v>
      </c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1"/>
    </row>
    <row r="228" spans="1:70" ht="13">
      <c r="A228" s="6" t="s">
        <v>493</v>
      </c>
      <c r="B228" s="6" t="s">
        <v>494</v>
      </c>
      <c r="C228" s="7">
        <v>19</v>
      </c>
      <c r="D228" s="7">
        <v>81</v>
      </c>
      <c r="E228" s="7">
        <v>44</v>
      </c>
      <c r="F228" s="7">
        <v>37</v>
      </c>
      <c r="G228" s="7">
        <v>15.6</v>
      </c>
      <c r="H228" s="8">
        <v>518</v>
      </c>
      <c r="I228" s="9">
        <v>194</v>
      </c>
      <c r="J228" s="9">
        <v>413</v>
      </c>
      <c r="K228" s="8">
        <v>47.4</v>
      </c>
      <c r="L228" s="9">
        <v>32</v>
      </c>
      <c r="M228" s="9">
        <v>154</v>
      </c>
      <c r="N228" s="8">
        <v>23.8</v>
      </c>
      <c r="O228" s="8">
        <v>89</v>
      </c>
      <c r="P228" s="8">
        <v>122</v>
      </c>
      <c r="Q228" s="8">
        <v>75.400000000000006</v>
      </c>
      <c r="R228" s="9">
        <v>41</v>
      </c>
      <c r="S228" s="9">
        <v>178</v>
      </c>
      <c r="T228" s="9">
        <v>219</v>
      </c>
      <c r="U228" s="9">
        <v>81</v>
      </c>
      <c r="V228" s="9">
        <v>73</v>
      </c>
      <c r="W228" s="9">
        <v>49</v>
      </c>
      <c r="X228" s="9">
        <v>16</v>
      </c>
      <c r="Y228" s="9">
        <v>138</v>
      </c>
      <c r="Z228" s="8">
        <v>1029</v>
      </c>
      <c r="AA228" s="8">
        <v>0</v>
      </c>
      <c r="AB228" s="8">
        <v>0</v>
      </c>
      <c r="AC228" s="7">
        <v>-0.7</v>
      </c>
      <c r="AD228" s="7">
        <v>109.8</v>
      </c>
      <c r="AE228" s="7">
        <v>110.9</v>
      </c>
      <c r="AF228" s="7">
        <v>-1</v>
      </c>
      <c r="AG228" s="7">
        <v>9.5</v>
      </c>
      <c r="AH228" s="7">
        <v>1.1399999999999999</v>
      </c>
      <c r="AI228" s="7">
        <v>13.2</v>
      </c>
      <c r="AJ228" s="7">
        <v>3</v>
      </c>
      <c r="AK228" s="7">
        <v>13.6</v>
      </c>
      <c r="AL228" s="7">
        <v>8.3000000000000007</v>
      </c>
      <c r="AM228" s="7">
        <v>11.6</v>
      </c>
      <c r="AN228" s="7">
        <v>51.7</v>
      </c>
      <c r="AO228" s="7">
        <v>55.6</v>
      </c>
      <c r="AP228" s="7">
        <v>17.7</v>
      </c>
      <c r="AQ228" s="7">
        <v>101</v>
      </c>
      <c r="AR228" s="7">
        <v>7.8</v>
      </c>
      <c r="AS228" s="7">
        <v>2652</v>
      </c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1"/>
    </row>
    <row r="229" spans="1:70" ht="13">
      <c r="A229" s="6" t="s">
        <v>495</v>
      </c>
      <c r="B229" s="6" t="s">
        <v>496</v>
      </c>
      <c r="C229" s="7">
        <v>28</v>
      </c>
      <c r="D229" s="7">
        <v>67</v>
      </c>
      <c r="E229" s="7">
        <v>37</v>
      </c>
      <c r="F229" s="7">
        <v>30</v>
      </c>
      <c r="G229" s="7">
        <v>21.1</v>
      </c>
      <c r="H229" s="8">
        <v>516</v>
      </c>
      <c r="I229" s="9">
        <v>208</v>
      </c>
      <c r="J229" s="9">
        <v>415</v>
      </c>
      <c r="K229" s="8">
        <v>49.6</v>
      </c>
      <c r="L229" s="9">
        <v>60</v>
      </c>
      <c r="M229" s="9">
        <v>161</v>
      </c>
      <c r="N229" s="8">
        <v>36.799999999999997</v>
      </c>
      <c r="O229" s="8">
        <v>47</v>
      </c>
      <c r="P229" s="8">
        <v>67</v>
      </c>
      <c r="Q229" s="8">
        <v>69.099999999999994</v>
      </c>
      <c r="R229" s="9">
        <v>67</v>
      </c>
      <c r="S229" s="9">
        <v>134</v>
      </c>
      <c r="T229" s="9">
        <v>201</v>
      </c>
      <c r="U229" s="9">
        <v>121</v>
      </c>
      <c r="V229" s="9">
        <v>47</v>
      </c>
      <c r="W229" s="9">
        <v>47</v>
      </c>
      <c r="X229" s="9">
        <v>13</v>
      </c>
      <c r="Y229" s="9">
        <v>127</v>
      </c>
      <c r="Z229" s="8">
        <v>1079</v>
      </c>
      <c r="AA229" s="8">
        <v>0</v>
      </c>
      <c r="AB229" s="8">
        <v>0</v>
      </c>
      <c r="AC229" s="7">
        <v>-1.4</v>
      </c>
      <c r="AD229" s="7">
        <v>112.9</v>
      </c>
      <c r="AE229" s="7">
        <v>115.2</v>
      </c>
      <c r="AF229" s="7">
        <v>-2.2999999999999998</v>
      </c>
      <c r="AG229" s="7">
        <v>11.8</v>
      </c>
      <c r="AH229" s="7">
        <v>2.57</v>
      </c>
      <c r="AI229" s="7">
        <v>19.8</v>
      </c>
      <c r="AJ229" s="7">
        <v>4.7</v>
      </c>
      <c r="AK229" s="7">
        <v>9.4</v>
      </c>
      <c r="AL229" s="7">
        <v>7</v>
      </c>
      <c r="AM229" s="7">
        <v>7.7</v>
      </c>
      <c r="AN229" s="7">
        <v>56.9</v>
      </c>
      <c r="AO229" s="7">
        <v>58.4</v>
      </c>
      <c r="AP229" s="7">
        <v>14.5</v>
      </c>
      <c r="AQ229" s="7">
        <v>100.43</v>
      </c>
      <c r="AR229" s="7">
        <v>7.4</v>
      </c>
      <c r="AS229" s="7">
        <v>2947</v>
      </c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1"/>
    </row>
    <row r="230" spans="1:70" ht="13">
      <c r="A230" s="6" t="s">
        <v>497</v>
      </c>
      <c r="B230" s="6" t="s">
        <v>498</v>
      </c>
      <c r="C230" s="7">
        <v>29</v>
      </c>
      <c r="D230" s="7">
        <v>71</v>
      </c>
      <c r="E230" s="7">
        <v>54</v>
      </c>
      <c r="F230" s="7">
        <v>17</v>
      </c>
      <c r="G230" s="7">
        <v>19.7</v>
      </c>
      <c r="H230" s="8">
        <v>511</v>
      </c>
      <c r="I230" s="9">
        <v>170</v>
      </c>
      <c r="J230" s="9">
        <v>426</v>
      </c>
      <c r="K230" s="8">
        <v>40.6</v>
      </c>
      <c r="L230" s="9">
        <v>135</v>
      </c>
      <c r="M230" s="9">
        <v>369</v>
      </c>
      <c r="N230" s="8">
        <v>37.200000000000003</v>
      </c>
      <c r="O230" s="8">
        <v>28</v>
      </c>
      <c r="P230" s="8">
        <v>28</v>
      </c>
      <c r="Q230" s="8">
        <v>96.6</v>
      </c>
      <c r="R230" s="9">
        <v>36</v>
      </c>
      <c r="S230" s="9">
        <v>121</v>
      </c>
      <c r="T230" s="9">
        <v>156</v>
      </c>
      <c r="U230" s="9">
        <v>107</v>
      </c>
      <c r="V230" s="9">
        <v>36</v>
      </c>
      <c r="W230" s="9">
        <v>50</v>
      </c>
      <c r="X230" s="9">
        <v>14</v>
      </c>
      <c r="Y230" s="9">
        <v>121</v>
      </c>
      <c r="Z230" s="8">
        <v>1022</v>
      </c>
      <c r="AA230" s="8">
        <v>0</v>
      </c>
      <c r="AB230" s="8">
        <v>0</v>
      </c>
      <c r="AC230" s="7">
        <v>4.5</v>
      </c>
      <c r="AD230" s="7">
        <v>117.4</v>
      </c>
      <c r="AE230" s="7">
        <v>107.1</v>
      </c>
      <c r="AF230" s="7">
        <v>10.3</v>
      </c>
      <c r="AG230" s="7">
        <v>9.9</v>
      </c>
      <c r="AH230" s="7">
        <v>3.09</v>
      </c>
      <c r="AI230" s="7">
        <v>18.7</v>
      </c>
      <c r="AJ230" s="7">
        <v>2.6</v>
      </c>
      <c r="AK230" s="7">
        <v>7.7</v>
      </c>
      <c r="AL230" s="7">
        <v>5.2</v>
      </c>
      <c r="AM230" s="7">
        <v>6</v>
      </c>
      <c r="AN230" s="7">
        <v>56.7</v>
      </c>
      <c r="AO230" s="7">
        <v>58.3</v>
      </c>
      <c r="AP230" s="7">
        <v>14</v>
      </c>
      <c r="AQ230" s="7">
        <v>101.26</v>
      </c>
      <c r="AR230" s="7">
        <v>6.9</v>
      </c>
      <c r="AS230" s="7">
        <v>2963</v>
      </c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1"/>
    </row>
    <row r="231" spans="1:70" ht="13">
      <c r="A231" s="6" t="s">
        <v>499</v>
      </c>
      <c r="B231" s="6" t="s">
        <v>500</v>
      </c>
      <c r="C231" s="7">
        <v>22</v>
      </c>
      <c r="D231" s="7">
        <v>74</v>
      </c>
      <c r="E231" s="7">
        <v>32</v>
      </c>
      <c r="F231" s="7">
        <v>42</v>
      </c>
      <c r="G231" s="7">
        <v>19.100000000000001</v>
      </c>
      <c r="H231" s="8">
        <v>511</v>
      </c>
      <c r="I231" s="9">
        <v>207</v>
      </c>
      <c r="J231" s="9">
        <v>474</v>
      </c>
      <c r="K231" s="8">
        <v>43</v>
      </c>
      <c r="L231" s="9">
        <v>81</v>
      </c>
      <c r="M231" s="9">
        <v>266</v>
      </c>
      <c r="N231" s="8">
        <v>31.1</v>
      </c>
      <c r="O231" s="8">
        <v>22</v>
      </c>
      <c r="P231" s="8">
        <v>37</v>
      </c>
      <c r="Q231" s="8">
        <v>48.7</v>
      </c>
      <c r="R231" s="9">
        <v>89</v>
      </c>
      <c r="S231" s="9">
        <v>178</v>
      </c>
      <c r="T231" s="9">
        <v>266</v>
      </c>
      <c r="U231" s="9">
        <v>59</v>
      </c>
      <c r="V231" s="9">
        <v>37</v>
      </c>
      <c r="W231" s="9">
        <v>44</v>
      </c>
      <c r="X231" s="9">
        <v>37</v>
      </c>
      <c r="Y231" s="9">
        <v>163</v>
      </c>
      <c r="Z231" s="8">
        <v>1132</v>
      </c>
      <c r="AA231" s="8">
        <v>3</v>
      </c>
      <c r="AB231" s="8">
        <v>0</v>
      </c>
      <c r="AC231" s="7">
        <v>-2.2999999999999998</v>
      </c>
      <c r="AD231" s="7">
        <v>110.4</v>
      </c>
      <c r="AE231" s="7">
        <v>115.1</v>
      </c>
      <c r="AF231" s="7">
        <v>-4.7</v>
      </c>
      <c r="AG231" s="7">
        <v>5.9</v>
      </c>
      <c r="AH231" s="7">
        <v>1.43</v>
      </c>
      <c r="AI231" s="7">
        <v>9.6</v>
      </c>
      <c r="AJ231" s="7">
        <v>6.3</v>
      </c>
      <c r="AK231" s="7">
        <v>11.7</v>
      </c>
      <c r="AL231" s="7">
        <v>9</v>
      </c>
      <c r="AM231" s="7">
        <v>6.8</v>
      </c>
      <c r="AN231" s="7">
        <v>51.6</v>
      </c>
      <c r="AO231" s="7">
        <v>51.7</v>
      </c>
      <c r="AP231" s="7">
        <v>16.100000000000001</v>
      </c>
      <c r="AQ231" s="7">
        <v>98.59</v>
      </c>
      <c r="AR231" s="7">
        <v>5.9</v>
      </c>
      <c r="AS231" s="7">
        <v>2882</v>
      </c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1"/>
    </row>
    <row r="232" spans="1:70" ht="13">
      <c r="A232" s="6" t="s">
        <v>501</v>
      </c>
      <c r="B232" s="6" t="s">
        <v>502</v>
      </c>
      <c r="C232" s="7">
        <v>25</v>
      </c>
      <c r="D232" s="7">
        <v>70</v>
      </c>
      <c r="E232" s="7">
        <v>38</v>
      </c>
      <c r="F232" s="7">
        <v>32</v>
      </c>
      <c r="G232" s="7">
        <v>20.399999999999999</v>
      </c>
      <c r="H232" s="8">
        <v>504</v>
      </c>
      <c r="I232" s="9">
        <v>210</v>
      </c>
      <c r="J232" s="9">
        <v>336</v>
      </c>
      <c r="K232" s="8">
        <v>61.1</v>
      </c>
      <c r="L232" s="8">
        <v>0</v>
      </c>
      <c r="M232" s="9">
        <v>28</v>
      </c>
      <c r="N232" s="8">
        <v>10.7</v>
      </c>
      <c r="O232" s="8">
        <v>84</v>
      </c>
      <c r="P232" s="8">
        <v>133</v>
      </c>
      <c r="Q232" s="8">
        <v>63.9</v>
      </c>
      <c r="R232" s="9">
        <v>168</v>
      </c>
      <c r="S232" s="9">
        <v>294</v>
      </c>
      <c r="T232" s="9">
        <v>462</v>
      </c>
      <c r="U232" s="9">
        <v>140</v>
      </c>
      <c r="V232" s="9">
        <v>70</v>
      </c>
      <c r="W232" s="9">
        <v>49</v>
      </c>
      <c r="X232" s="9">
        <v>98</v>
      </c>
      <c r="Y232" s="9">
        <v>147</v>
      </c>
      <c r="Z232" s="8">
        <v>1631</v>
      </c>
      <c r="AA232" s="8">
        <v>15</v>
      </c>
      <c r="AB232" s="8">
        <v>0</v>
      </c>
      <c r="AC232" s="7">
        <v>1.1000000000000001</v>
      </c>
      <c r="AD232" s="7">
        <v>110.1</v>
      </c>
      <c r="AE232" s="7">
        <v>107.4</v>
      </c>
      <c r="AF232" s="7">
        <v>2.7</v>
      </c>
      <c r="AG232" s="7">
        <v>14.2</v>
      </c>
      <c r="AH232" s="7">
        <v>1.9</v>
      </c>
      <c r="AI232" s="7">
        <v>22.6</v>
      </c>
      <c r="AJ232" s="7">
        <v>11.6</v>
      </c>
      <c r="AK232" s="7">
        <v>22.7</v>
      </c>
      <c r="AL232" s="7">
        <v>16.899999999999999</v>
      </c>
      <c r="AM232" s="7">
        <v>11.9</v>
      </c>
      <c r="AN232" s="7">
        <v>61.5</v>
      </c>
      <c r="AO232" s="7">
        <v>63.1</v>
      </c>
      <c r="AP232" s="7">
        <v>14.2</v>
      </c>
      <c r="AQ232" s="7">
        <v>95.8</v>
      </c>
      <c r="AR232" s="7">
        <v>13.4</v>
      </c>
      <c r="AS232" s="7">
        <v>2855</v>
      </c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1"/>
    </row>
    <row r="233" spans="1:70" ht="13">
      <c r="A233" s="6" t="s">
        <v>503</v>
      </c>
      <c r="B233" s="6" t="s">
        <v>504</v>
      </c>
      <c r="C233" s="7">
        <v>24</v>
      </c>
      <c r="D233" s="7">
        <v>68</v>
      </c>
      <c r="E233" s="7">
        <v>17</v>
      </c>
      <c r="F233" s="7">
        <v>51</v>
      </c>
      <c r="G233" s="7">
        <v>27.8</v>
      </c>
      <c r="H233" s="8">
        <v>503</v>
      </c>
      <c r="I233" s="9">
        <v>177</v>
      </c>
      <c r="J233" s="9">
        <v>422</v>
      </c>
      <c r="K233" s="8">
        <v>42.8</v>
      </c>
      <c r="L233" s="9">
        <v>95</v>
      </c>
      <c r="M233" s="9">
        <v>245</v>
      </c>
      <c r="N233" s="8">
        <v>39.1</v>
      </c>
      <c r="O233" s="8">
        <v>48</v>
      </c>
      <c r="P233" s="8">
        <v>75</v>
      </c>
      <c r="Q233" s="8">
        <v>68.099999999999994</v>
      </c>
      <c r="R233" s="9">
        <v>54</v>
      </c>
      <c r="S233" s="9">
        <v>116</v>
      </c>
      <c r="T233" s="9">
        <v>170</v>
      </c>
      <c r="U233" s="9">
        <v>109</v>
      </c>
      <c r="V233" s="9">
        <v>68</v>
      </c>
      <c r="W233" s="9">
        <v>75</v>
      </c>
      <c r="X233" s="9">
        <v>14</v>
      </c>
      <c r="Y233" s="9">
        <v>163</v>
      </c>
      <c r="Z233" s="8">
        <v>1074</v>
      </c>
      <c r="AA233" s="8">
        <v>0</v>
      </c>
      <c r="AB233" s="8">
        <v>0</v>
      </c>
      <c r="AC233" s="7">
        <v>-5.4</v>
      </c>
      <c r="AD233" s="7">
        <v>105.3</v>
      </c>
      <c r="AE233" s="7">
        <v>114.2</v>
      </c>
      <c r="AF233" s="7">
        <v>-8.9</v>
      </c>
      <c r="AG233" s="7">
        <v>8.1</v>
      </c>
      <c r="AH233" s="7">
        <v>1.54</v>
      </c>
      <c r="AI233" s="7">
        <v>17.100000000000001</v>
      </c>
      <c r="AJ233" s="7">
        <v>2.7</v>
      </c>
      <c r="AK233" s="7">
        <v>6</v>
      </c>
      <c r="AL233" s="7">
        <v>4.3</v>
      </c>
      <c r="AM233" s="7">
        <v>11.1</v>
      </c>
      <c r="AN233" s="7">
        <v>54.3</v>
      </c>
      <c r="AO233" s="7">
        <v>55.9</v>
      </c>
      <c r="AP233" s="7">
        <v>11.5</v>
      </c>
      <c r="AQ233" s="7">
        <v>100.08</v>
      </c>
      <c r="AR233" s="7">
        <v>4.3</v>
      </c>
      <c r="AS233" s="7">
        <v>3929</v>
      </c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1"/>
    </row>
    <row r="234" spans="1:70" ht="13">
      <c r="A234" s="6" t="s">
        <v>505</v>
      </c>
      <c r="B234" s="6" t="s">
        <v>506</v>
      </c>
      <c r="C234" s="7">
        <v>32</v>
      </c>
      <c r="D234" s="7">
        <v>50</v>
      </c>
      <c r="E234" s="7">
        <v>18</v>
      </c>
      <c r="F234" s="7">
        <v>32</v>
      </c>
      <c r="G234" s="7">
        <v>17.2</v>
      </c>
      <c r="H234" s="8">
        <v>500</v>
      </c>
      <c r="I234" s="9">
        <v>180</v>
      </c>
      <c r="J234" s="9">
        <v>370</v>
      </c>
      <c r="K234" s="8">
        <v>49.2</v>
      </c>
      <c r="L234" s="9">
        <v>70</v>
      </c>
      <c r="M234" s="9">
        <v>195</v>
      </c>
      <c r="N234" s="8">
        <v>36.299999999999997</v>
      </c>
      <c r="O234" s="8">
        <v>70</v>
      </c>
      <c r="P234" s="8">
        <v>85</v>
      </c>
      <c r="Q234" s="8">
        <v>78.2</v>
      </c>
      <c r="R234" s="9">
        <v>70</v>
      </c>
      <c r="S234" s="9">
        <v>155</v>
      </c>
      <c r="T234" s="9">
        <v>225</v>
      </c>
      <c r="U234" s="9">
        <v>35</v>
      </c>
      <c r="V234" s="9">
        <v>30</v>
      </c>
      <c r="W234" s="9">
        <v>25</v>
      </c>
      <c r="X234" s="9">
        <v>25</v>
      </c>
      <c r="Y234" s="9">
        <v>70</v>
      </c>
      <c r="Z234" s="8">
        <v>940</v>
      </c>
      <c r="AA234" s="8">
        <v>3</v>
      </c>
      <c r="AB234" s="8">
        <v>0</v>
      </c>
      <c r="AC234" s="7">
        <v>0.1</v>
      </c>
      <c r="AD234" s="7">
        <v>113.3</v>
      </c>
      <c r="AE234" s="7">
        <v>113.5</v>
      </c>
      <c r="AF234" s="7">
        <v>-0.2</v>
      </c>
      <c r="AG234" s="7">
        <v>5.7</v>
      </c>
      <c r="AH234" s="7">
        <v>1.1399999999999999</v>
      </c>
      <c r="AI234" s="7">
        <v>7</v>
      </c>
      <c r="AJ234" s="7">
        <v>7.7</v>
      </c>
      <c r="AK234" s="7">
        <v>17.5</v>
      </c>
      <c r="AL234" s="7">
        <v>12.5</v>
      </c>
      <c r="AM234" s="7">
        <v>6.2</v>
      </c>
      <c r="AN234" s="7">
        <v>58.6</v>
      </c>
      <c r="AO234" s="7">
        <v>61.5</v>
      </c>
      <c r="AP234" s="7">
        <v>20.8</v>
      </c>
      <c r="AQ234" s="7">
        <v>99.28</v>
      </c>
      <c r="AR234" s="7">
        <v>12.6</v>
      </c>
      <c r="AS234" s="7">
        <v>1787</v>
      </c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1"/>
    </row>
    <row r="235" spans="1:70" ht="13">
      <c r="A235" s="6" t="s">
        <v>507</v>
      </c>
      <c r="B235" s="6" t="s">
        <v>508</v>
      </c>
      <c r="C235" s="7">
        <v>30</v>
      </c>
      <c r="D235" s="7">
        <v>72</v>
      </c>
      <c r="E235" s="7">
        <v>46</v>
      </c>
      <c r="F235" s="7">
        <v>26</v>
      </c>
      <c r="G235" s="7">
        <v>15.1</v>
      </c>
      <c r="H235" s="8">
        <v>497</v>
      </c>
      <c r="I235" s="9">
        <v>180</v>
      </c>
      <c r="J235" s="9">
        <v>446</v>
      </c>
      <c r="K235" s="8">
        <v>40.1</v>
      </c>
      <c r="L235" s="9">
        <v>94</v>
      </c>
      <c r="M235" s="9">
        <v>259</v>
      </c>
      <c r="N235" s="8">
        <v>36.299999999999997</v>
      </c>
      <c r="O235" s="8">
        <v>50</v>
      </c>
      <c r="P235" s="8">
        <v>58</v>
      </c>
      <c r="Q235" s="8">
        <v>90.7</v>
      </c>
      <c r="R235" s="9">
        <v>14</v>
      </c>
      <c r="S235" s="9">
        <v>94</v>
      </c>
      <c r="T235" s="9">
        <v>101</v>
      </c>
      <c r="U235" s="9">
        <v>202</v>
      </c>
      <c r="V235" s="9">
        <v>50</v>
      </c>
      <c r="W235" s="9">
        <v>36</v>
      </c>
      <c r="X235" s="9">
        <v>14</v>
      </c>
      <c r="Y235" s="9">
        <v>108</v>
      </c>
      <c r="Z235" s="8">
        <v>1044</v>
      </c>
      <c r="AA235" s="8">
        <v>0</v>
      </c>
      <c r="AB235" s="8">
        <v>0</v>
      </c>
      <c r="AC235" s="7">
        <v>2.8</v>
      </c>
      <c r="AD235" s="7">
        <v>116.6</v>
      </c>
      <c r="AE235" s="7">
        <v>107.5</v>
      </c>
      <c r="AF235" s="7">
        <v>9.1</v>
      </c>
      <c r="AG235" s="7">
        <v>25.1</v>
      </c>
      <c r="AH235" s="7">
        <v>3.9</v>
      </c>
      <c r="AI235" s="7">
        <v>28.1</v>
      </c>
      <c r="AJ235" s="7">
        <v>1.3</v>
      </c>
      <c r="AK235" s="7">
        <v>8.1</v>
      </c>
      <c r="AL235" s="7">
        <v>4.7</v>
      </c>
      <c r="AM235" s="7">
        <v>7.2</v>
      </c>
      <c r="AN235" s="7">
        <v>50.6</v>
      </c>
      <c r="AO235" s="7">
        <v>53.2</v>
      </c>
      <c r="AP235" s="7">
        <v>20</v>
      </c>
      <c r="AQ235" s="7">
        <v>100.23</v>
      </c>
      <c r="AR235" s="7">
        <v>8.9</v>
      </c>
      <c r="AS235" s="7">
        <v>2275</v>
      </c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1"/>
    </row>
    <row r="236" spans="1:70" ht="13">
      <c r="A236" s="6" t="s">
        <v>509</v>
      </c>
      <c r="B236" s="6" t="s">
        <v>510</v>
      </c>
      <c r="C236" s="7">
        <v>22</v>
      </c>
      <c r="D236" s="7">
        <v>57</v>
      </c>
      <c r="E236" s="7">
        <v>30</v>
      </c>
      <c r="F236" s="7">
        <v>27</v>
      </c>
      <c r="G236" s="7">
        <v>15.9</v>
      </c>
      <c r="H236" s="8">
        <v>496</v>
      </c>
      <c r="I236" s="9">
        <v>182</v>
      </c>
      <c r="J236" s="9">
        <v>416</v>
      </c>
      <c r="K236" s="8">
        <v>43.5</v>
      </c>
      <c r="L236" s="9">
        <v>74</v>
      </c>
      <c r="M236" s="9">
        <v>200</v>
      </c>
      <c r="N236" s="8">
        <v>38.6</v>
      </c>
      <c r="O236" s="8">
        <v>63</v>
      </c>
      <c r="P236" s="8">
        <v>86</v>
      </c>
      <c r="Q236" s="8">
        <v>69.8</v>
      </c>
      <c r="R236" s="9">
        <v>11</v>
      </c>
      <c r="S236" s="9">
        <v>80</v>
      </c>
      <c r="T236" s="9">
        <v>91</v>
      </c>
      <c r="U236" s="9">
        <v>80</v>
      </c>
      <c r="V236" s="9">
        <v>80</v>
      </c>
      <c r="W236" s="9">
        <v>29</v>
      </c>
      <c r="X236" s="9">
        <v>6</v>
      </c>
      <c r="Y236" s="9">
        <v>91</v>
      </c>
      <c r="Z236" s="8">
        <v>741</v>
      </c>
      <c r="AA236" s="8">
        <v>0</v>
      </c>
      <c r="AB236" s="8">
        <v>0</v>
      </c>
      <c r="AC236" s="7">
        <v>-1.1000000000000001</v>
      </c>
      <c r="AD236" s="7">
        <v>108.3</v>
      </c>
      <c r="AE236" s="7">
        <v>111.6</v>
      </c>
      <c r="AF236" s="7">
        <v>-3.2</v>
      </c>
      <c r="AG236" s="7">
        <v>13.8</v>
      </c>
      <c r="AH236" s="7">
        <v>0.99</v>
      </c>
      <c r="AI236" s="7">
        <v>13.2</v>
      </c>
      <c r="AJ236" s="7">
        <v>1</v>
      </c>
      <c r="AK236" s="7">
        <v>8.5</v>
      </c>
      <c r="AL236" s="7">
        <v>4.8</v>
      </c>
      <c r="AM236" s="7">
        <v>13.3</v>
      </c>
      <c r="AN236" s="7">
        <v>52.7</v>
      </c>
      <c r="AO236" s="7">
        <v>54.9</v>
      </c>
      <c r="AP236" s="7">
        <v>24.4</v>
      </c>
      <c r="AQ236" s="7">
        <v>102.83</v>
      </c>
      <c r="AR236" s="7">
        <v>6.9</v>
      </c>
      <c r="AS236" s="7">
        <v>1943</v>
      </c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1"/>
    </row>
    <row r="237" spans="1:70" ht="13">
      <c r="A237" s="6" t="s">
        <v>511</v>
      </c>
      <c r="B237" s="6" t="s">
        <v>512</v>
      </c>
      <c r="C237" s="7">
        <v>22</v>
      </c>
      <c r="D237" s="7">
        <v>46</v>
      </c>
      <c r="E237" s="7">
        <v>21</v>
      </c>
      <c r="F237" s="7">
        <v>25</v>
      </c>
      <c r="G237" s="7">
        <v>25.1</v>
      </c>
      <c r="H237" s="8">
        <v>492</v>
      </c>
      <c r="I237" s="9">
        <v>170</v>
      </c>
      <c r="J237" s="9">
        <v>377</v>
      </c>
      <c r="K237" s="8">
        <v>45.6</v>
      </c>
      <c r="L237" s="9">
        <v>78</v>
      </c>
      <c r="M237" s="9">
        <v>212</v>
      </c>
      <c r="N237" s="8">
        <v>37.1</v>
      </c>
      <c r="O237" s="8">
        <v>74</v>
      </c>
      <c r="P237" s="8">
        <v>87</v>
      </c>
      <c r="Q237" s="8">
        <v>82.8</v>
      </c>
      <c r="R237" s="9">
        <v>28</v>
      </c>
      <c r="S237" s="9">
        <v>152</v>
      </c>
      <c r="T237" s="9">
        <v>179</v>
      </c>
      <c r="U237" s="9">
        <v>129</v>
      </c>
      <c r="V237" s="9">
        <v>60</v>
      </c>
      <c r="W237" s="9">
        <v>37</v>
      </c>
      <c r="X237" s="9">
        <v>14</v>
      </c>
      <c r="Y237" s="9">
        <v>83</v>
      </c>
      <c r="Z237" s="8">
        <v>998</v>
      </c>
      <c r="AA237" s="8">
        <v>0</v>
      </c>
      <c r="AB237" s="8">
        <v>0</v>
      </c>
      <c r="AC237" s="7">
        <v>-0.4</v>
      </c>
      <c r="AD237" s="7">
        <v>109.6</v>
      </c>
      <c r="AE237" s="7">
        <v>110.7</v>
      </c>
      <c r="AF237" s="7">
        <v>-1.1000000000000001</v>
      </c>
      <c r="AG237" s="7">
        <v>17.399999999999999</v>
      </c>
      <c r="AH237" s="7">
        <v>2.1800000000000002</v>
      </c>
      <c r="AI237" s="7">
        <v>21.7</v>
      </c>
      <c r="AJ237" s="7">
        <v>2.2000000000000002</v>
      </c>
      <c r="AK237" s="7">
        <v>12.7</v>
      </c>
      <c r="AL237" s="7">
        <v>7.6</v>
      </c>
      <c r="AM237" s="7">
        <v>9.9</v>
      </c>
      <c r="AN237" s="7">
        <v>56</v>
      </c>
      <c r="AO237" s="7">
        <v>59.5</v>
      </c>
      <c r="AP237" s="7">
        <v>17.8</v>
      </c>
      <c r="AQ237" s="7">
        <v>98.48</v>
      </c>
      <c r="AR237" s="7">
        <v>9.8000000000000007</v>
      </c>
      <c r="AS237" s="7">
        <v>2374</v>
      </c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1"/>
    </row>
    <row r="238" spans="1:70" ht="13">
      <c r="A238" s="6" t="s">
        <v>513</v>
      </c>
      <c r="B238" s="6" t="s">
        <v>514</v>
      </c>
      <c r="C238" s="7">
        <v>31</v>
      </c>
      <c r="D238" s="7">
        <v>55</v>
      </c>
      <c r="E238" s="7">
        <v>27</v>
      </c>
      <c r="F238" s="7">
        <v>28</v>
      </c>
      <c r="G238" s="7">
        <v>21.4</v>
      </c>
      <c r="H238" s="8">
        <v>490</v>
      </c>
      <c r="I238" s="9">
        <v>220</v>
      </c>
      <c r="J238" s="9">
        <v>391</v>
      </c>
      <c r="K238" s="8">
        <v>55.9</v>
      </c>
      <c r="L238" s="8">
        <v>0</v>
      </c>
      <c r="M238" s="8">
        <v>0</v>
      </c>
      <c r="N238" s="8">
        <v>0</v>
      </c>
      <c r="O238" s="8">
        <v>50</v>
      </c>
      <c r="P238" s="8">
        <v>99</v>
      </c>
      <c r="Q238" s="8">
        <v>53.6</v>
      </c>
      <c r="R238" s="9">
        <v>176</v>
      </c>
      <c r="S238" s="9">
        <v>297</v>
      </c>
      <c r="T238" s="9">
        <v>468</v>
      </c>
      <c r="U238" s="9">
        <v>61</v>
      </c>
      <c r="V238" s="9">
        <v>50</v>
      </c>
      <c r="W238" s="9">
        <v>33</v>
      </c>
      <c r="X238" s="9">
        <v>55</v>
      </c>
      <c r="Y238" s="9">
        <v>105</v>
      </c>
      <c r="Z238" s="8">
        <v>1359</v>
      </c>
      <c r="AA238" s="8">
        <v>11</v>
      </c>
      <c r="AB238" s="8">
        <v>0</v>
      </c>
      <c r="AC238" s="7">
        <v>-1.4</v>
      </c>
      <c r="AD238" s="7">
        <v>108.7</v>
      </c>
      <c r="AE238" s="7">
        <v>111.5</v>
      </c>
      <c r="AF238" s="7">
        <v>-2.7</v>
      </c>
      <c r="AG238" s="7">
        <v>7.3</v>
      </c>
      <c r="AH238" s="7">
        <v>1.32</v>
      </c>
      <c r="AI238" s="7">
        <v>11.4</v>
      </c>
      <c r="AJ238" s="7">
        <v>13.2</v>
      </c>
      <c r="AK238" s="7">
        <v>23.8</v>
      </c>
      <c r="AL238" s="7">
        <v>18.3</v>
      </c>
      <c r="AM238" s="7">
        <v>8.6999999999999993</v>
      </c>
      <c r="AN238" s="7">
        <v>55.9</v>
      </c>
      <c r="AO238" s="7">
        <v>56.4</v>
      </c>
      <c r="AP238" s="7">
        <v>16</v>
      </c>
      <c r="AQ238" s="7">
        <v>105.23</v>
      </c>
      <c r="AR238" s="7">
        <v>11.7</v>
      </c>
      <c r="AS238" s="7">
        <v>2575</v>
      </c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1"/>
    </row>
    <row r="239" spans="1:70" ht="13">
      <c r="A239" s="6" t="s">
        <v>515</v>
      </c>
      <c r="B239" s="6" t="s">
        <v>516</v>
      </c>
      <c r="C239" s="7">
        <v>28</v>
      </c>
      <c r="D239" s="7">
        <v>74</v>
      </c>
      <c r="E239" s="7">
        <v>35</v>
      </c>
      <c r="F239" s="7">
        <v>39</v>
      </c>
      <c r="G239" s="7">
        <v>24.6</v>
      </c>
      <c r="H239" s="8">
        <v>481</v>
      </c>
      <c r="I239" s="9">
        <v>178</v>
      </c>
      <c r="J239" s="9">
        <v>392</v>
      </c>
      <c r="K239" s="8">
        <v>45.8</v>
      </c>
      <c r="L239" s="9">
        <v>89</v>
      </c>
      <c r="M239" s="9">
        <v>229</v>
      </c>
      <c r="N239" s="8">
        <v>38.200000000000003</v>
      </c>
      <c r="O239" s="8">
        <v>30</v>
      </c>
      <c r="P239" s="8">
        <v>44</v>
      </c>
      <c r="Q239" s="8">
        <v>72.099999999999994</v>
      </c>
      <c r="R239" s="9">
        <v>74</v>
      </c>
      <c r="S239" s="9">
        <v>178</v>
      </c>
      <c r="T239" s="9">
        <v>252</v>
      </c>
      <c r="U239" s="9">
        <v>111</v>
      </c>
      <c r="V239" s="9">
        <v>52</v>
      </c>
      <c r="W239" s="9">
        <v>67</v>
      </c>
      <c r="X239" s="9">
        <v>37</v>
      </c>
      <c r="Y239" s="9">
        <v>163</v>
      </c>
      <c r="Z239" s="8">
        <v>1206</v>
      </c>
      <c r="AA239" s="8">
        <v>0</v>
      </c>
      <c r="AB239" s="8">
        <v>0</v>
      </c>
      <c r="AC239" s="7">
        <v>0.8</v>
      </c>
      <c r="AD239" s="7">
        <v>111.8</v>
      </c>
      <c r="AE239" s="7">
        <v>110.4</v>
      </c>
      <c r="AF239" s="7">
        <v>1.4</v>
      </c>
      <c r="AG239" s="7">
        <v>8.4</v>
      </c>
      <c r="AH239" s="7">
        <v>2.0699999999999998</v>
      </c>
      <c r="AI239" s="7">
        <v>19.5</v>
      </c>
      <c r="AJ239" s="7">
        <v>4</v>
      </c>
      <c r="AK239" s="7">
        <v>9.8000000000000007</v>
      </c>
      <c r="AL239" s="7">
        <v>6.9</v>
      </c>
      <c r="AM239" s="7">
        <v>9.4</v>
      </c>
      <c r="AN239" s="7">
        <v>57.2</v>
      </c>
      <c r="AO239" s="7">
        <v>58.3</v>
      </c>
      <c r="AP239" s="7">
        <v>11.1</v>
      </c>
      <c r="AQ239" s="7">
        <v>97.33</v>
      </c>
      <c r="AR239" s="7">
        <v>5.7</v>
      </c>
      <c r="AS239" s="7">
        <v>3691</v>
      </c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1"/>
    </row>
    <row r="240" spans="1:70" ht="13">
      <c r="A240" s="6" t="s">
        <v>517</v>
      </c>
      <c r="B240" s="6" t="s">
        <v>518</v>
      </c>
      <c r="C240" s="7">
        <v>23</v>
      </c>
      <c r="D240" s="7">
        <v>32</v>
      </c>
      <c r="E240" s="7">
        <v>26</v>
      </c>
      <c r="F240" s="7">
        <v>6</v>
      </c>
      <c r="G240" s="7">
        <v>27.4</v>
      </c>
      <c r="H240" s="8">
        <v>480</v>
      </c>
      <c r="I240" s="9">
        <v>166</v>
      </c>
      <c r="J240" s="9">
        <v>342</v>
      </c>
      <c r="K240" s="8">
        <v>49</v>
      </c>
      <c r="L240" s="9">
        <v>45</v>
      </c>
      <c r="M240" s="9">
        <v>115</v>
      </c>
      <c r="N240" s="8">
        <v>37.9</v>
      </c>
      <c r="O240" s="8">
        <v>102</v>
      </c>
      <c r="P240" s="8">
        <v>134</v>
      </c>
      <c r="Q240" s="8">
        <v>75.400000000000006</v>
      </c>
      <c r="R240" s="9">
        <v>48</v>
      </c>
      <c r="S240" s="9">
        <v>208</v>
      </c>
      <c r="T240" s="9">
        <v>256</v>
      </c>
      <c r="U240" s="9">
        <v>64</v>
      </c>
      <c r="V240" s="9">
        <v>58</v>
      </c>
      <c r="W240" s="9">
        <v>22</v>
      </c>
      <c r="X240" s="9">
        <v>70</v>
      </c>
      <c r="Y240" s="9">
        <v>74</v>
      </c>
      <c r="Z240" s="8">
        <v>1107</v>
      </c>
      <c r="AA240" s="8">
        <v>11</v>
      </c>
      <c r="AB240" s="8">
        <v>0</v>
      </c>
      <c r="AC240" s="7">
        <v>9.1999999999999993</v>
      </c>
      <c r="AD240" s="7">
        <v>121.7</v>
      </c>
      <c r="AE240" s="7">
        <v>105.6</v>
      </c>
      <c r="AF240" s="7">
        <v>16.100000000000001</v>
      </c>
      <c r="AG240" s="7">
        <v>9.1</v>
      </c>
      <c r="AH240" s="7">
        <v>1.1299999999999999</v>
      </c>
      <c r="AI240" s="7">
        <v>12.1</v>
      </c>
      <c r="AJ240" s="7">
        <v>5.4</v>
      </c>
      <c r="AK240" s="7">
        <v>20.8</v>
      </c>
      <c r="AL240" s="7">
        <v>13.6</v>
      </c>
      <c r="AM240" s="7">
        <v>10.8</v>
      </c>
      <c r="AN240" s="7">
        <v>55.4</v>
      </c>
      <c r="AO240" s="7">
        <v>59.9</v>
      </c>
      <c r="AP240" s="7">
        <v>21.4</v>
      </c>
      <c r="AQ240" s="7">
        <v>103.83</v>
      </c>
      <c r="AR240" s="7">
        <v>12.2</v>
      </c>
      <c r="AS240" s="7">
        <v>1891</v>
      </c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1"/>
    </row>
    <row r="241" spans="1:70" ht="13">
      <c r="A241" s="6" t="s">
        <v>519</v>
      </c>
      <c r="B241" s="6" t="s">
        <v>520</v>
      </c>
      <c r="C241" s="7">
        <v>20</v>
      </c>
      <c r="D241" s="7">
        <v>51</v>
      </c>
      <c r="E241" s="7">
        <v>30</v>
      </c>
      <c r="F241" s="7">
        <v>21</v>
      </c>
      <c r="G241" s="7">
        <v>16.2</v>
      </c>
      <c r="H241" s="8">
        <v>479</v>
      </c>
      <c r="I241" s="9">
        <v>179</v>
      </c>
      <c r="J241" s="9">
        <v>403</v>
      </c>
      <c r="K241" s="8">
        <v>44.4</v>
      </c>
      <c r="L241" s="9">
        <v>66</v>
      </c>
      <c r="M241" s="9">
        <v>184</v>
      </c>
      <c r="N241" s="8">
        <v>35.5</v>
      </c>
      <c r="O241" s="8">
        <v>56</v>
      </c>
      <c r="P241" s="8">
        <v>71</v>
      </c>
      <c r="Q241" s="8">
        <v>75</v>
      </c>
      <c r="R241" s="9">
        <v>36</v>
      </c>
      <c r="S241" s="9">
        <v>117</v>
      </c>
      <c r="T241" s="9">
        <v>153</v>
      </c>
      <c r="U241" s="9">
        <v>51</v>
      </c>
      <c r="V241" s="9">
        <v>46</v>
      </c>
      <c r="W241" s="9">
        <v>31</v>
      </c>
      <c r="X241" s="9">
        <v>15</v>
      </c>
      <c r="Y241" s="9">
        <v>46</v>
      </c>
      <c r="Z241" s="8">
        <v>816</v>
      </c>
      <c r="AA241" s="8">
        <v>2</v>
      </c>
      <c r="AB241" s="8">
        <v>0</v>
      </c>
      <c r="AC241" s="7">
        <v>0</v>
      </c>
      <c r="AD241" s="7">
        <v>113.4</v>
      </c>
      <c r="AE241" s="7">
        <v>112.3</v>
      </c>
      <c r="AF241" s="7">
        <v>1.1000000000000001</v>
      </c>
      <c r="AG241" s="7">
        <v>9</v>
      </c>
      <c r="AH241" s="7">
        <v>1.07</v>
      </c>
      <c r="AI241" s="7">
        <v>9.1999999999999993</v>
      </c>
      <c r="AJ241" s="7">
        <v>3.9</v>
      </c>
      <c r="AK241" s="7">
        <v>13.9</v>
      </c>
      <c r="AL241" s="7">
        <v>8.6</v>
      </c>
      <c r="AM241" s="7">
        <v>8.6999999999999993</v>
      </c>
      <c r="AN241" s="7">
        <v>52.5</v>
      </c>
      <c r="AO241" s="7">
        <v>54.9</v>
      </c>
      <c r="AP241" s="7">
        <v>23.1</v>
      </c>
      <c r="AQ241" s="7">
        <v>100.93</v>
      </c>
      <c r="AR241" s="7">
        <v>10.8</v>
      </c>
      <c r="AS241" s="7">
        <v>1729</v>
      </c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1"/>
    </row>
    <row r="242" spans="1:70" ht="13">
      <c r="A242" s="6" t="s">
        <v>521</v>
      </c>
      <c r="B242" s="6" t="s">
        <v>522</v>
      </c>
      <c r="C242" s="7">
        <v>31</v>
      </c>
      <c r="D242" s="7">
        <v>74</v>
      </c>
      <c r="E242" s="7">
        <v>45</v>
      </c>
      <c r="F242" s="7">
        <v>29</v>
      </c>
      <c r="G242" s="7">
        <v>24.1</v>
      </c>
      <c r="H242" s="8">
        <v>474</v>
      </c>
      <c r="I242" s="9">
        <v>192</v>
      </c>
      <c r="J242" s="9">
        <v>437</v>
      </c>
      <c r="K242" s="8">
        <v>43.9</v>
      </c>
      <c r="L242" s="9">
        <v>74</v>
      </c>
      <c r="M242" s="9">
        <v>222</v>
      </c>
      <c r="N242" s="8">
        <v>33.5</v>
      </c>
      <c r="O242" s="8">
        <v>15</v>
      </c>
      <c r="P242" s="8">
        <v>22</v>
      </c>
      <c r="Q242" s="8">
        <v>68.2</v>
      </c>
      <c r="R242" s="9">
        <v>52</v>
      </c>
      <c r="S242" s="9">
        <v>200</v>
      </c>
      <c r="T242" s="9">
        <v>252</v>
      </c>
      <c r="U242" s="9">
        <v>207</v>
      </c>
      <c r="V242" s="9">
        <v>74</v>
      </c>
      <c r="W242" s="9">
        <v>126</v>
      </c>
      <c r="X242" s="9">
        <v>30</v>
      </c>
      <c r="Y242" s="9">
        <v>200</v>
      </c>
      <c r="Z242" s="8">
        <v>1480</v>
      </c>
      <c r="AA242" s="8">
        <v>0</v>
      </c>
      <c r="AB242" s="8">
        <v>0</v>
      </c>
      <c r="AC242" s="7">
        <v>3.5</v>
      </c>
      <c r="AD242" s="7">
        <v>113.8</v>
      </c>
      <c r="AE242" s="7">
        <v>106</v>
      </c>
      <c r="AF242" s="7">
        <v>7.8</v>
      </c>
      <c r="AG242" s="7">
        <v>15.3</v>
      </c>
      <c r="AH242" s="7">
        <v>2.84</v>
      </c>
      <c r="AI242" s="7">
        <v>28.7</v>
      </c>
      <c r="AJ242" s="7">
        <v>3.1</v>
      </c>
      <c r="AK242" s="7">
        <v>11.1</v>
      </c>
      <c r="AL242" s="7">
        <v>7.2</v>
      </c>
      <c r="AM242" s="7">
        <v>10.1</v>
      </c>
      <c r="AN242" s="7">
        <v>52.5</v>
      </c>
      <c r="AO242" s="7">
        <v>53.1</v>
      </c>
      <c r="AP242" s="7">
        <v>12.6</v>
      </c>
      <c r="AQ242" s="7">
        <v>99.24</v>
      </c>
      <c r="AR242" s="7">
        <v>7</v>
      </c>
      <c r="AS242" s="7">
        <v>3675</v>
      </c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1"/>
    </row>
    <row r="243" spans="1:70" ht="13">
      <c r="A243" s="6" t="s">
        <v>523</v>
      </c>
      <c r="B243" s="6" t="s">
        <v>524</v>
      </c>
      <c r="C243" s="7">
        <v>29</v>
      </c>
      <c r="D243" s="7">
        <v>50</v>
      </c>
      <c r="E243" s="7">
        <v>39</v>
      </c>
      <c r="F243" s="7">
        <v>11</v>
      </c>
      <c r="G243" s="7">
        <v>25.5</v>
      </c>
      <c r="H243" s="8">
        <v>470</v>
      </c>
      <c r="I243" s="9">
        <v>165</v>
      </c>
      <c r="J243" s="9">
        <v>375</v>
      </c>
      <c r="K243" s="8">
        <v>44.2</v>
      </c>
      <c r="L243" s="9">
        <v>115</v>
      </c>
      <c r="M243" s="9">
        <v>295</v>
      </c>
      <c r="N243" s="8">
        <v>38.6</v>
      </c>
      <c r="O243" s="8">
        <v>30</v>
      </c>
      <c r="P243" s="8">
        <v>35</v>
      </c>
      <c r="Q243" s="8">
        <v>82.4</v>
      </c>
      <c r="R243" s="9">
        <v>55</v>
      </c>
      <c r="S243" s="9">
        <v>165</v>
      </c>
      <c r="T243" s="9">
        <v>215</v>
      </c>
      <c r="U243" s="9">
        <v>160</v>
      </c>
      <c r="V243" s="9">
        <v>55</v>
      </c>
      <c r="W243" s="9">
        <v>25</v>
      </c>
      <c r="X243" s="9">
        <v>10</v>
      </c>
      <c r="Y243" s="9">
        <v>105</v>
      </c>
      <c r="Z243" s="8">
        <v>1030</v>
      </c>
      <c r="AA243" s="8">
        <v>0</v>
      </c>
      <c r="AB243" s="8">
        <v>0</v>
      </c>
      <c r="AC243" s="7">
        <v>4.4000000000000004</v>
      </c>
      <c r="AD243" s="7">
        <v>120.1</v>
      </c>
      <c r="AE243" s="7">
        <v>112.2</v>
      </c>
      <c r="AF243" s="7">
        <v>7.9</v>
      </c>
      <c r="AG243" s="7">
        <v>15.7</v>
      </c>
      <c r="AH243" s="7">
        <v>2.93</v>
      </c>
      <c r="AI243" s="7">
        <v>26.4</v>
      </c>
      <c r="AJ243" s="7">
        <v>4.0999999999999996</v>
      </c>
      <c r="AK243" s="7">
        <v>11.8</v>
      </c>
      <c r="AL243" s="7">
        <v>8.1</v>
      </c>
      <c r="AM243" s="7">
        <v>9</v>
      </c>
      <c r="AN243" s="7">
        <v>59.4</v>
      </c>
      <c r="AO243" s="7">
        <v>60.7</v>
      </c>
      <c r="AP243" s="7">
        <v>14.3</v>
      </c>
      <c r="AQ243" s="7">
        <v>101.34</v>
      </c>
      <c r="AR243" s="7">
        <v>8.3000000000000007</v>
      </c>
      <c r="AS243" s="7">
        <v>2691</v>
      </c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1"/>
    </row>
    <row r="244" spans="1:70" ht="13">
      <c r="A244" s="6" t="s">
        <v>525</v>
      </c>
      <c r="B244" s="6" t="s">
        <v>526</v>
      </c>
      <c r="C244" s="7">
        <v>28</v>
      </c>
      <c r="D244" s="7">
        <v>72</v>
      </c>
      <c r="E244" s="7">
        <v>46</v>
      </c>
      <c r="F244" s="7">
        <v>26</v>
      </c>
      <c r="G244" s="7">
        <v>21.2</v>
      </c>
      <c r="H244" s="8">
        <v>461</v>
      </c>
      <c r="I244" s="9">
        <v>166</v>
      </c>
      <c r="J244" s="9">
        <v>418</v>
      </c>
      <c r="K244" s="8">
        <v>40</v>
      </c>
      <c r="L244" s="9">
        <v>108</v>
      </c>
      <c r="M244" s="9">
        <v>310</v>
      </c>
      <c r="N244" s="8">
        <v>35.299999999999997</v>
      </c>
      <c r="O244" s="8">
        <v>14</v>
      </c>
      <c r="P244" s="8">
        <v>22</v>
      </c>
      <c r="Q244" s="8">
        <v>71.400000000000006</v>
      </c>
      <c r="R244" s="9">
        <v>22</v>
      </c>
      <c r="S244" s="9">
        <v>72</v>
      </c>
      <c r="T244" s="9">
        <v>94</v>
      </c>
      <c r="U244" s="9">
        <v>101</v>
      </c>
      <c r="V244" s="9">
        <v>43</v>
      </c>
      <c r="W244" s="9">
        <v>50</v>
      </c>
      <c r="X244" s="9">
        <v>14</v>
      </c>
      <c r="Y244" s="9">
        <v>151</v>
      </c>
      <c r="Z244" s="8">
        <v>871</v>
      </c>
      <c r="AA244" s="8">
        <v>0</v>
      </c>
      <c r="AB244" s="8">
        <v>0</v>
      </c>
      <c r="AC244" s="7">
        <v>0.7</v>
      </c>
      <c r="AD244" s="7">
        <v>111.8</v>
      </c>
      <c r="AE244" s="7">
        <v>110.7</v>
      </c>
      <c r="AF244" s="7">
        <v>1.1000000000000001</v>
      </c>
      <c r="AG244" s="7">
        <v>9</v>
      </c>
      <c r="AH244" s="7">
        <v>2.39</v>
      </c>
      <c r="AI244" s="7">
        <v>17.2</v>
      </c>
      <c r="AJ244" s="7">
        <v>1.3</v>
      </c>
      <c r="AK244" s="7">
        <v>4.5</v>
      </c>
      <c r="AL244" s="7">
        <v>2.9</v>
      </c>
      <c r="AM244" s="7">
        <v>7.2</v>
      </c>
      <c r="AN244" s="7">
        <v>53</v>
      </c>
      <c r="AO244" s="7">
        <v>53.6</v>
      </c>
      <c r="AP244" s="7">
        <v>13.1</v>
      </c>
      <c r="AQ244" s="7">
        <v>100.07</v>
      </c>
      <c r="AR244" s="7">
        <v>3.9</v>
      </c>
      <c r="AS244" s="7">
        <v>3190</v>
      </c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1"/>
    </row>
    <row r="245" spans="1:70" ht="13">
      <c r="A245" s="6" t="s">
        <v>527</v>
      </c>
      <c r="B245" s="6" t="s">
        <v>528</v>
      </c>
      <c r="C245" s="7">
        <v>21</v>
      </c>
      <c r="D245" s="7">
        <v>75</v>
      </c>
      <c r="E245" s="7">
        <v>45</v>
      </c>
      <c r="F245" s="7">
        <v>30</v>
      </c>
      <c r="G245" s="7">
        <v>15.8</v>
      </c>
      <c r="H245" s="8">
        <v>458</v>
      </c>
      <c r="I245" s="9">
        <v>173</v>
      </c>
      <c r="J245" s="9">
        <v>360</v>
      </c>
      <c r="K245" s="8">
        <v>47.2</v>
      </c>
      <c r="L245" s="9">
        <v>75</v>
      </c>
      <c r="M245" s="9">
        <v>188</v>
      </c>
      <c r="N245" s="8">
        <v>40.5</v>
      </c>
      <c r="O245" s="8">
        <v>45</v>
      </c>
      <c r="P245" s="8">
        <v>68</v>
      </c>
      <c r="Q245" s="8">
        <v>66.7</v>
      </c>
      <c r="R245" s="9">
        <v>23</v>
      </c>
      <c r="S245" s="9">
        <v>203</v>
      </c>
      <c r="T245" s="9">
        <v>233</v>
      </c>
      <c r="U245" s="9">
        <v>113</v>
      </c>
      <c r="V245" s="9">
        <v>75</v>
      </c>
      <c r="W245" s="9">
        <v>53</v>
      </c>
      <c r="X245" s="9">
        <v>23</v>
      </c>
      <c r="Y245" s="9">
        <v>113</v>
      </c>
      <c r="Z245" s="8">
        <v>1058</v>
      </c>
      <c r="AA245" s="8">
        <v>0</v>
      </c>
      <c r="AB245" s="8">
        <v>0</v>
      </c>
      <c r="AC245" s="7">
        <v>-1.9</v>
      </c>
      <c r="AD245" s="7">
        <v>107</v>
      </c>
      <c r="AE245" s="7">
        <v>112.1</v>
      </c>
      <c r="AF245" s="7">
        <v>-5</v>
      </c>
      <c r="AG245" s="7">
        <v>12.9</v>
      </c>
      <c r="AH245" s="7">
        <v>1.41</v>
      </c>
      <c r="AI245" s="7">
        <v>19.100000000000001</v>
      </c>
      <c r="AJ245" s="7">
        <v>2.1</v>
      </c>
      <c r="AK245" s="7">
        <v>17.8</v>
      </c>
      <c r="AL245" s="7">
        <v>9.8000000000000007</v>
      </c>
      <c r="AM245" s="7">
        <v>13.5</v>
      </c>
      <c r="AN245" s="7">
        <v>57.6</v>
      </c>
      <c r="AO245" s="7">
        <v>59</v>
      </c>
      <c r="AP245" s="7">
        <v>16.5</v>
      </c>
      <c r="AQ245" s="7">
        <v>103.23</v>
      </c>
      <c r="AR245" s="7">
        <v>8.6999999999999993</v>
      </c>
      <c r="AS245" s="7">
        <v>2544</v>
      </c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1"/>
    </row>
    <row r="246" spans="1:70" ht="13">
      <c r="A246" s="6" t="s">
        <v>529</v>
      </c>
      <c r="B246" s="6" t="s">
        <v>530</v>
      </c>
      <c r="C246" s="7">
        <v>23</v>
      </c>
      <c r="D246" s="7">
        <v>66</v>
      </c>
      <c r="E246" s="7">
        <v>40</v>
      </c>
      <c r="F246" s="7">
        <v>26</v>
      </c>
      <c r="G246" s="7">
        <v>20.399999999999999</v>
      </c>
      <c r="H246" s="8">
        <v>455</v>
      </c>
      <c r="I246" s="9">
        <v>158</v>
      </c>
      <c r="J246" s="9">
        <v>337</v>
      </c>
      <c r="K246" s="8">
        <v>47.5</v>
      </c>
      <c r="L246" s="9">
        <v>59</v>
      </c>
      <c r="M246" s="9">
        <v>145</v>
      </c>
      <c r="N246" s="8">
        <v>42.3</v>
      </c>
      <c r="O246" s="8">
        <v>79</v>
      </c>
      <c r="P246" s="8">
        <v>112</v>
      </c>
      <c r="Q246" s="8">
        <v>67.8</v>
      </c>
      <c r="R246" s="9">
        <v>92</v>
      </c>
      <c r="S246" s="9">
        <v>172</v>
      </c>
      <c r="T246" s="9">
        <v>257</v>
      </c>
      <c r="U246" s="9">
        <v>158</v>
      </c>
      <c r="V246" s="9">
        <v>86</v>
      </c>
      <c r="W246" s="9">
        <v>59</v>
      </c>
      <c r="X246" s="9">
        <v>20</v>
      </c>
      <c r="Y246" s="9">
        <v>132</v>
      </c>
      <c r="Z246" s="8">
        <v>1175</v>
      </c>
      <c r="AA246" s="8">
        <v>2</v>
      </c>
      <c r="AB246" s="8">
        <v>0</v>
      </c>
      <c r="AC246" s="7">
        <v>1.9</v>
      </c>
      <c r="AD246" s="7">
        <v>115</v>
      </c>
      <c r="AE246" s="7">
        <v>111.2</v>
      </c>
      <c r="AF246" s="7">
        <v>3.8</v>
      </c>
      <c r="AG246" s="7">
        <v>15</v>
      </c>
      <c r="AH246" s="7">
        <v>1.84</v>
      </c>
      <c r="AI246" s="7">
        <v>24.9</v>
      </c>
      <c r="AJ246" s="7">
        <v>6.3</v>
      </c>
      <c r="AK246" s="7">
        <v>12</v>
      </c>
      <c r="AL246" s="7">
        <v>9.1</v>
      </c>
      <c r="AM246" s="7">
        <v>13.5</v>
      </c>
      <c r="AN246" s="7">
        <v>56.4</v>
      </c>
      <c r="AO246" s="7">
        <v>59.1</v>
      </c>
      <c r="AP246" s="7">
        <v>14</v>
      </c>
      <c r="AQ246" s="7">
        <v>103.86</v>
      </c>
      <c r="AR246" s="7">
        <v>8.1</v>
      </c>
      <c r="AS246" s="7">
        <v>2926</v>
      </c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1"/>
    </row>
    <row r="247" spans="1:70" ht="13">
      <c r="A247" s="6" t="s">
        <v>531</v>
      </c>
      <c r="B247" s="6" t="s">
        <v>532</v>
      </c>
      <c r="C247" s="7">
        <v>30</v>
      </c>
      <c r="D247" s="7">
        <v>51</v>
      </c>
      <c r="E247" s="7">
        <v>18</v>
      </c>
      <c r="F247" s="7">
        <v>33</v>
      </c>
      <c r="G247" s="7">
        <v>20.8</v>
      </c>
      <c r="H247" s="8">
        <v>454</v>
      </c>
      <c r="I247" s="9">
        <v>168</v>
      </c>
      <c r="J247" s="9">
        <v>352</v>
      </c>
      <c r="K247" s="8">
        <v>47.7</v>
      </c>
      <c r="L247" s="9">
        <v>31</v>
      </c>
      <c r="M247" s="9">
        <v>107</v>
      </c>
      <c r="N247" s="8">
        <v>30.5</v>
      </c>
      <c r="O247" s="8">
        <v>87</v>
      </c>
      <c r="P247" s="8">
        <v>128</v>
      </c>
      <c r="Q247" s="8">
        <v>66.400000000000006</v>
      </c>
      <c r="R247" s="9">
        <v>87</v>
      </c>
      <c r="S247" s="9">
        <v>311</v>
      </c>
      <c r="T247" s="9">
        <v>398</v>
      </c>
      <c r="U247" s="9">
        <v>117</v>
      </c>
      <c r="V247" s="9">
        <v>97</v>
      </c>
      <c r="W247" s="9">
        <v>41</v>
      </c>
      <c r="X247" s="9">
        <v>36</v>
      </c>
      <c r="Y247" s="9">
        <v>128</v>
      </c>
      <c r="Z247" s="8">
        <v>1229</v>
      </c>
      <c r="AA247" s="8">
        <v>10</v>
      </c>
      <c r="AB247" s="8">
        <v>0</v>
      </c>
      <c r="AC247" s="7">
        <v>-3.6</v>
      </c>
      <c r="AD247" s="7">
        <v>106.1</v>
      </c>
      <c r="AE247" s="7">
        <v>115.1</v>
      </c>
      <c r="AF247" s="7">
        <v>-9</v>
      </c>
      <c r="AG247" s="7">
        <v>16.7</v>
      </c>
      <c r="AH247" s="7">
        <v>1.19</v>
      </c>
      <c r="AI247" s="7">
        <v>18.600000000000001</v>
      </c>
      <c r="AJ247" s="7">
        <v>7.7</v>
      </c>
      <c r="AK247" s="7">
        <v>28.5</v>
      </c>
      <c r="AL247" s="7">
        <v>18.100000000000001</v>
      </c>
      <c r="AM247" s="7">
        <v>15.7</v>
      </c>
      <c r="AN247" s="7">
        <v>52.3</v>
      </c>
      <c r="AO247" s="7">
        <v>55.5</v>
      </c>
      <c r="AP247" s="7">
        <v>20.2</v>
      </c>
      <c r="AQ247" s="7">
        <v>99.79</v>
      </c>
      <c r="AR247" s="7">
        <v>11.6</v>
      </c>
      <c r="AS247" s="7">
        <v>2216</v>
      </c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1"/>
    </row>
    <row r="248" spans="1:70" ht="13">
      <c r="A248" s="6" t="s">
        <v>533</v>
      </c>
      <c r="B248" s="6" t="s">
        <v>534</v>
      </c>
      <c r="C248" s="7">
        <v>31</v>
      </c>
      <c r="D248" s="7">
        <v>19</v>
      </c>
      <c r="E248" s="7">
        <v>8</v>
      </c>
      <c r="F248" s="7">
        <v>11</v>
      </c>
      <c r="G248" s="7">
        <v>30.2</v>
      </c>
      <c r="H248" s="8">
        <v>452</v>
      </c>
      <c r="I248" s="9">
        <v>141</v>
      </c>
      <c r="J248" s="9">
        <v>315</v>
      </c>
      <c r="K248" s="8">
        <v>44.4</v>
      </c>
      <c r="L248" s="9">
        <v>23</v>
      </c>
      <c r="M248" s="9">
        <v>78</v>
      </c>
      <c r="N248" s="8">
        <v>29.9</v>
      </c>
      <c r="O248" s="8">
        <v>148</v>
      </c>
      <c r="P248" s="8">
        <v>169</v>
      </c>
      <c r="Q248" s="8">
        <v>88.2</v>
      </c>
      <c r="R248" s="9">
        <v>36</v>
      </c>
      <c r="S248" s="9">
        <v>120</v>
      </c>
      <c r="T248" s="9">
        <v>156</v>
      </c>
      <c r="U248" s="9">
        <v>86</v>
      </c>
      <c r="V248" s="9">
        <v>63</v>
      </c>
      <c r="W248" s="9">
        <v>13</v>
      </c>
      <c r="X248" s="9">
        <v>17</v>
      </c>
      <c r="Y248" s="9">
        <v>42</v>
      </c>
      <c r="Z248" s="8">
        <v>800</v>
      </c>
      <c r="AA248" s="8">
        <v>7</v>
      </c>
      <c r="AB248" s="8">
        <v>1</v>
      </c>
      <c r="AC248" s="7">
        <v>-3</v>
      </c>
      <c r="AD248" s="7">
        <v>104</v>
      </c>
      <c r="AE248" s="7">
        <v>109.5</v>
      </c>
      <c r="AF248" s="7">
        <v>-5.5</v>
      </c>
      <c r="AG248" s="7">
        <v>28.6</v>
      </c>
      <c r="AH248" s="7">
        <v>1.37</v>
      </c>
      <c r="AI248" s="7">
        <v>15.8</v>
      </c>
      <c r="AJ248" s="7">
        <v>6.2</v>
      </c>
      <c r="AK248" s="7">
        <v>20.7</v>
      </c>
      <c r="AL248" s="7">
        <v>13.4</v>
      </c>
      <c r="AM248" s="7">
        <v>11.5</v>
      </c>
      <c r="AN248" s="7">
        <v>48.1</v>
      </c>
      <c r="AO248" s="7">
        <v>58</v>
      </c>
      <c r="AP248" s="7">
        <v>34.200000000000003</v>
      </c>
      <c r="AQ248" s="7">
        <v>99.95</v>
      </c>
      <c r="AR248" s="7">
        <v>16.899999999999999</v>
      </c>
      <c r="AS248" s="7">
        <v>1200</v>
      </c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1"/>
    </row>
    <row r="249" spans="1:70" ht="13">
      <c r="A249" s="6" t="s">
        <v>535</v>
      </c>
      <c r="B249" s="6" t="s">
        <v>536</v>
      </c>
      <c r="C249" s="7">
        <v>24</v>
      </c>
      <c r="D249" s="7">
        <v>44</v>
      </c>
      <c r="E249" s="7">
        <v>16</v>
      </c>
      <c r="F249" s="7">
        <v>28</v>
      </c>
      <c r="G249" s="7">
        <v>20.7</v>
      </c>
      <c r="H249" s="8">
        <v>449</v>
      </c>
      <c r="I249" s="9">
        <v>163</v>
      </c>
      <c r="J249" s="9">
        <v>352</v>
      </c>
      <c r="K249" s="8">
        <v>46.9</v>
      </c>
      <c r="L249" s="9">
        <v>31</v>
      </c>
      <c r="M249" s="9">
        <v>88</v>
      </c>
      <c r="N249" s="8">
        <v>33</v>
      </c>
      <c r="O249" s="8">
        <v>92</v>
      </c>
      <c r="P249" s="8">
        <v>123</v>
      </c>
      <c r="Q249" s="8">
        <v>76.2</v>
      </c>
      <c r="R249" s="9">
        <v>35</v>
      </c>
      <c r="S249" s="9">
        <v>123</v>
      </c>
      <c r="T249" s="9">
        <v>158</v>
      </c>
      <c r="U249" s="9">
        <v>114</v>
      </c>
      <c r="V249" s="9">
        <v>84</v>
      </c>
      <c r="W249" s="9">
        <v>26</v>
      </c>
      <c r="X249" s="9">
        <v>13</v>
      </c>
      <c r="Y249" s="9">
        <v>97</v>
      </c>
      <c r="Z249" s="8">
        <v>849</v>
      </c>
      <c r="AA249" s="8">
        <v>1</v>
      </c>
      <c r="AB249" s="8">
        <v>0</v>
      </c>
      <c r="AC249" s="7">
        <v>-1.5</v>
      </c>
      <c r="AD249" s="7">
        <v>105.1</v>
      </c>
      <c r="AE249" s="7">
        <v>109.4</v>
      </c>
      <c r="AF249" s="7">
        <v>-4.4000000000000004</v>
      </c>
      <c r="AG249" s="7">
        <v>21.1</v>
      </c>
      <c r="AH249" s="7">
        <v>1.39</v>
      </c>
      <c r="AI249" s="7">
        <v>19.100000000000001</v>
      </c>
      <c r="AJ249" s="7">
        <v>3.8</v>
      </c>
      <c r="AK249" s="7">
        <v>13.2</v>
      </c>
      <c r="AL249" s="7">
        <v>8.4</v>
      </c>
      <c r="AM249" s="7">
        <v>13.8</v>
      </c>
      <c r="AN249" s="7">
        <v>51</v>
      </c>
      <c r="AO249" s="7">
        <v>55.7</v>
      </c>
      <c r="AP249" s="7">
        <v>22.6</v>
      </c>
      <c r="AQ249" s="7">
        <v>97.8</v>
      </c>
      <c r="AR249" s="7">
        <v>10.1</v>
      </c>
      <c r="AS249" s="7">
        <v>1867</v>
      </c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1"/>
    </row>
    <row r="250" spans="1:70" ht="13">
      <c r="A250" s="6" t="s">
        <v>537</v>
      </c>
      <c r="B250" s="6" t="s">
        <v>538</v>
      </c>
      <c r="C250" s="7">
        <v>23</v>
      </c>
      <c r="D250" s="7">
        <v>42</v>
      </c>
      <c r="E250" s="7">
        <v>8</v>
      </c>
      <c r="F250" s="7">
        <v>34</v>
      </c>
      <c r="G250" s="7">
        <v>23.6</v>
      </c>
      <c r="H250" s="8">
        <v>449</v>
      </c>
      <c r="I250" s="9">
        <v>168</v>
      </c>
      <c r="J250" s="9">
        <v>382</v>
      </c>
      <c r="K250" s="8">
        <v>43.6</v>
      </c>
      <c r="L250" s="9">
        <v>50</v>
      </c>
      <c r="M250" s="9">
        <v>139</v>
      </c>
      <c r="N250" s="8">
        <v>35</v>
      </c>
      <c r="O250" s="8">
        <v>67</v>
      </c>
      <c r="P250" s="8">
        <v>84</v>
      </c>
      <c r="Q250" s="8">
        <v>78.8</v>
      </c>
      <c r="R250" s="9">
        <v>29</v>
      </c>
      <c r="S250" s="9">
        <v>105</v>
      </c>
      <c r="T250" s="9">
        <v>134</v>
      </c>
      <c r="U250" s="9">
        <v>92</v>
      </c>
      <c r="V250" s="9">
        <v>50</v>
      </c>
      <c r="W250" s="9">
        <v>55</v>
      </c>
      <c r="X250" s="9">
        <v>8</v>
      </c>
      <c r="Y250" s="9">
        <v>71</v>
      </c>
      <c r="Z250" s="8">
        <v>882</v>
      </c>
      <c r="AA250" s="8">
        <v>0</v>
      </c>
      <c r="AB250" s="8">
        <v>0</v>
      </c>
      <c r="AC250" s="7">
        <v>-3.3</v>
      </c>
      <c r="AD250" s="7">
        <v>108.6</v>
      </c>
      <c r="AE250" s="7">
        <v>114.8</v>
      </c>
      <c r="AF250" s="7">
        <v>-6.2</v>
      </c>
      <c r="AG250" s="7">
        <v>14</v>
      </c>
      <c r="AH250" s="7">
        <v>1.77</v>
      </c>
      <c r="AI250" s="7">
        <v>16.3</v>
      </c>
      <c r="AJ250" s="7">
        <v>2.6</v>
      </c>
      <c r="AK250" s="7">
        <v>10.7</v>
      </c>
      <c r="AL250" s="7">
        <v>6.5</v>
      </c>
      <c r="AM250" s="7">
        <v>9.1999999999999993</v>
      </c>
      <c r="AN250" s="7">
        <v>50</v>
      </c>
      <c r="AO250" s="7">
        <v>53.5</v>
      </c>
      <c r="AP250" s="7">
        <v>19.899999999999999</v>
      </c>
      <c r="AQ250" s="7">
        <v>99.87</v>
      </c>
      <c r="AR250" s="7">
        <v>8.5</v>
      </c>
      <c r="AS250" s="7">
        <v>2060</v>
      </c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1"/>
    </row>
    <row r="251" spans="1:70" ht="13">
      <c r="A251" s="6" t="s">
        <v>539</v>
      </c>
      <c r="B251" s="6" t="s">
        <v>540</v>
      </c>
      <c r="C251" s="7">
        <v>29</v>
      </c>
      <c r="D251" s="7">
        <v>69</v>
      </c>
      <c r="E251" s="7">
        <v>34</v>
      </c>
      <c r="F251" s="7">
        <v>35</v>
      </c>
      <c r="G251" s="7">
        <v>19.600000000000001</v>
      </c>
      <c r="H251" s="8">
        <v>449</v>
      </c>
      <c r="I251" s="9">
        <v>159</v>
      </c>
      <c r="J251" s="9">
        <v>373</v>
      </c>
      <c r="K251" s="8">
        <v>42</v>
      </c>
      <c r="L251" s="9">
        <v>83</v>
      </c>
      <c r="M251" s="9">
        <v>235</v>
      </c>
      <c r="N251" s="8">
        <v>34</v>
      </c>
      <c r="O251" s="8">
        <v>55</v>
      </c>
      <c r="P251" s="8">
        <v>83</v>
      </c>
      <c r="Q251" s="8">
        <v>70</v>
      </c>
      <c r="R251" s="9">
        <v>83</v>
      </c>
      <c r="S251" s="9">
        <v>235</v>
      </c>
      <c r="T251" s="9">
        <v>317</v>
      </c>
      <c r="U251" s="9">
        <v>83</v>
      </c>
      <c r="V251" s="9">
        <v>41</v>
      </c>
      <c r="W251" s="9">
        <v>41</v>
      </c>
      <c r="X251" s="9">
        <v>21</v>
      </c>
      <c r="Y251" s="9">
        <v>83</v>
      </c>
      <c r="Z251" s="8">
        <v>1104</v>
      </c>
      <c r="AA251" s="8">
        <v>1</v>
      </c>
      <c r="AB251" s="8">
        <v>0</v>
      </c>
      <c r="AC251" s="7">
        <v>-1</v>
      </c>
      <c r="AD251" s="7">
        <v>111.8</v>
      </c>
      <c r="AE251" s="7">
        <v>113.8</v>
      </c>
      <c r="AF251" s="7">
        <v>-2</v>
      </c>
      <c r="AG251" s="7">
        <v>8.4</v>
      </c>
      <c r="AH251" s="7">
        <v>2.1</v>
      </c>
      <c r="AI251" s="7">
        <v>15.4</v>
      </c>
      <c r="AJ251" s="7">
        <v>5.6</v>
      </c>
      <c r="AK251" s="7">
        <v>17.7</v>
      </c>
      <c r="AL251" s="7">
        <v>11.4</v>
      </c>
      <c r="AM251" s="7">
        <v>7.3</v>
      </c>
      <c r="AN251" s="7">
        <v>52.8</v>
      </c>
      <c r="AO251" s="7">
        <v>55.1</v>
      </c>
      <c r="AP251" s="7">
        <v>13.9</v>
      </c>
      <c r="AQ251" s="7">
        <v>100.04</v>
      </c>
      <c r="AR251" s="7">
        <v>8.6999999999999993</v>
      </c>
      <c r="AS251" s="7">
        <v>2807</v>
      </c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1"/>
    </row>
    <row r="252" spans="1:70" ht="13">
      <c r="A252" s="6" t="s">
        <v>541</v>
      </c>
      <c r="B252" s="6" t="s">
        <v>542</v>
      </c>
      <c r="C252" s="7">
        <v>20</v>
      </c>
      <c r="D252" s="7">
        <v>52</v>
      </c>
      <c r="E252" s="7">
        <v>19</v>
      </c>
      <c r="F252" s="7">
        <v>33</v>
      </c>
      <c r="G252" s="7">
        <v>21.2</v>
      </c>
      <c r="H252" s="8">
        <v>447</v>
      </c>
      <c r="I252" s="9">
        <v>161</v>
      </c>
      <c r="J252" s="9">
        <v>395</v>
      </c>
      <c r="K252" s="8">
        <v>40.5</v>
      </c>
      <c r="L252" s="9">
        <v>68</v>
      </c>
      <c r="M252" s="9">
        <v>187</v>
      </c>
      <c r="N252" s="8">
        <v>34.9</v>
      </c>
      <c r="O252" s="8">
        <v>68</v>
      </c>
      <c r="P252" s="8">
        <v>83</v>
      </c>
      <c r="Q252" s="8">
        <v>79.5</v>
      </c>
      <c r="R252" s="9">
        <v>57</v>
      </c>
      <c r="S252" s="9">
        <v>99</v>
      </c>
      <c r="T252" s="9">
        <v>161</v>
      </c>
      <c r="U252" s="9">
        <v>83</v>
      </c>
      <c r="V252" s="9">
        <v>52</v>
      </c>
      <c r="W252" s="9">
        <v>42</v>
      </c>
      <c r="X252" s="9">
        <v>10</v>
      </c>
      <c r="Y252" s="9">
        <v>94</v>
      </c>
      <c r="Z252" s="8">
        <v>874</v>
      </c>
      <c r="AA252" s="8">
        <v>1</v>
      </c>
      <c r="AB252" s="8">
        <v>0</v>
      </c>
      <c r="AC252" s="7">
        <v>-1.6</v>
      </c>
      <c r="AD252" s="7">
        <v>108.6</v>
      </c>
      <c r="AE252" s="7">
        <v>111.1</v>
      </c>
      <c r="AF252" s="7">
        <v>-2.4</v>
      </c>
      <c r="AG252" s="7">
        <v>10.5</v>
      </c>
      <c r="AH252" s="7">
        <v>1.62</v>
      </c>
      <c r="AI252" s="7">
        <v>14.5</v>
      </c>
      <c r="AJ252" s="7">
        <v>4.9000000000000004</v>
      </c>
      <c r="AK252" s="7">
        <v>9.1999999999999993</v>
      </c>
      <c r="AL252" s="7">
        <v>7</v>
      </c>
      <c r="AM252" s="7">
        <v>8.9</v>
      </c>
      <c r="AN252" s="7">
        <v>48.7</v>
      </c>
      <c r="AO252" s="7">
        <v>52.3</v>
      </c>
      <c r="AP252" s="7">
        <v>17.899999999999999</v>
      </c>
      <c r="AQ252" s="7">
        <v>101.29</v>
      </c>
      <c r="AR252" s="7">
        <v>6.8</v>
      </c>
      <c r="AS252" s="7">
        <v>2316</v>
      </c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1"/>
    </row>
    <row r="253" spans="1:70" ht="13">
      <c r="A253" s="6" t="s">
        <v>543</v>
      </c>
      <c r="B253" s="6" t="s">
        <v>544</v>
      </c>
      <c r="C253" s="7">
        <v>21</v>
      </c>
      <c r="D253" s="7">
        <v>44</v>
      </c>
      <c r="E253" s="7">
        <v>11</v>
      </c>
      <c r="F253" s="7">
        <v>33</v>
      </c>
      <c r="G253" s="7">
        <v>26.2</v>
      </c>
      <c r="H253" s="8">
        <v>444</v>
      </c>
      <c r="I253" s="9">
        <v>172</v>
      </c>
      <c r="J253" s="9">
        <v>378</v>
      </c>
      <c r="K253" s="8">
        <v>45.5</v>
      </c>
      <c r="L253" s="9">
        <v>70</v>
      </c>
      <c r="M253" s="9">
        <v>189</v>
      </c>
      <c r="N253" s="8">
        <v>36.299999999999997</v>
      </c>
      <c r="O253" s="8">
        <v>31</v>
      </c>
      <c r="P253" s="8">
        <v>44</v>
      </c>
      <c r="Q253" s="8">
        <v>69.599999999999994</v>
      </c>
      <c r="R253" s="9">
        <v>44</v>
      </c>
      <c r="S253" s="9">
        <v>101</v>
      </c>
      <c r="T253" s="9">
        <v>150</v>
      </c>
      <c r="U253" s="9">
        <v>70</v>
      </c>
      <c r="V253" s="9">
        <v>48</v>
      </c>
      <c r="W253" s="9">
        <v>44</v>
      </c>
      <c r="X253" s="9">
        <v>18</v>
      </c>
      <c r="Y253" s="9">
        <v>97</v>
      </c>
      <c r="Z253" s="8">
        <v>858</v>
      </c>
      <c r="AA253" s="8">
        <v>1</v>
      </c>
      <c r="AB253" s="8">
        <v>0</v>
      </c>
      <c r="AC253" s="7">
        <v>-6.4</v>
      </c>
      <c r="AD253" s="7">
        <v>111.6</v>
      </c>
      <c r="AE253" s="7">
        <v>123.2</v>
      </c>
      <c r="AF253" s="7">
        <v>-11.6</v>
      </c>
      <c r="AG253" s="7">
        <v>8.4</v>
      </c>
      <c r="AH253" s="7">
        <v>1.41</v>
      </c>
      <c r="AI253" s="7">
        <v>13.3</v>
      </c>
      <c r="AJ253" s="7">
        <v>3.8</v>
      </c>
      <c r="AK253" s="7">
        <v>9.4</v>
      </c>
      <c r="AL253" s="7">
        <v>6.5</v>
      </c>
      <c r="AM253" s="7">
        <v>9.5</v>
      </c>
      <c r="AN253" s="7">
        <v>54.6</v>
      </c>
      <c r="AO253" s="7">
        <v>55.9</v>
      </c>
      <c r="AP253" s="7">
        <v>16.5</v>
      </c>
      <c r="AQ253" s="7">
        <v>99.43</v>
      </c>
      <c r="AR253" s="7">
        <v>6.2</v>
      </c>
      <c r="AS253" s="7">
        <v>2391</v>
      </c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1"/>
    </row>
    <row r="254" spans="1:70" ht="13">
      <c r="A254" s="6" t="s">
        <v>545</v>
      </c>
      <c r="B254" s="6" t="s">
        <v>546</v>
      </c>
      <c r="C254" s="7">
        <v>29</v>
      </c>
      <c r="D254" s="7">
        <v>75</v>
      </c>
      <c r="E254" s="7">
        <v>38</v>
      </c>
      <c r="F254" s="7">
        <v>37</v>
      </c>
      <c r="G254" s="7">
        <v>16.5</v>
      </c>
      <c r="H254" s="8">
        <v>443</v>
      </c>
      <c r="I254" s="9">
        <v>150</v>
      </c>
      <c r="J254" s="9">
        <v>375</v>
      </c>
      <c r="K254" s="8">
        <v>40.200000000000003</v>
      </c>
      <c r="L254" s="9">
        <v>75</v>
      </c>
      <c r="M254" s="9">
        <v>225</v>
      </c>
      <c r="N254" s="8">
        <v>33.5</v>
      </c>
      <c r="O254" s="8">
        <v>68</v>
      </c>
      <c r="P254" s="8">
        <v>83</v>
      </c>
      <c r="Q254" s="8">
        <v>83.3</v>
      </c>
      <c r="R254" s="9">
        <v>53</v>
      </c>
      <c r="S254" s="9">
        <v>165</v>
      </c>
      <c r="T254" s="9">
        <v>218</v>
      </c>
      <c r="U254" s="9">
        <v>68</v>
      </c>
      <c r="V254" s="9">
        <v>53</v>
      </c>
      <c r="W254" s="9">
        <v>30</v>
      </c>
      <c r="X254" s="9">
        <v>15</v>
      </c>
      <c r="Y254" s="9">
        <v>98</v>
      </c>
      <c r="Z254" s="8">
        <v>878</v>
      </c>
      <c r="AA254" s="8">
        <v>0</v>
      </c>
      <c r="AB254" s="8">
        <v>0</v>
      </c>
      <c r="AC254" s="7">
        <v>0.2</v>
      </c>
      <c r="AD254" s="7">
        <v>110.7</v>
      </c>
      <c r="AE254" s="7">
        <v>109.5</v>
      </c>
      <c r="AF254" s="7">
        <v>1.2</v>
      </c>
      <c r="AG254" s="7">
        <v>7.1</v>
      </c>
      <c r="AH254" s="7">
        <v>1.23</v>
      </c>
      <c r="AI254" s="7">
        <v>12.3</v>
      </c>
      <c r="AJ254" s="7">
        <v>4</v>
      </c>
      <c r="AK254" s="7">
        <v>12.7</v>
      </c>
      <c r="AL254" s="7">
        <v>8.3000000000000007</v>
      </c>
      <c r="AM254" s="7">
        <v>10.1</v>
      </c>
      <c r="AN254" s="7">
        <v>50.4</v>
      </c>
      <c r="AO254" s="7">
        <v>54.4</v>
      </c>
      <c r="AP254" s="7">
        <v>15.2</v>
      </c>
      <c r="AQ254" s="7">
        <v>103.26</v>
      </c>
      <c r="AR254" s="7">
        <v>6.8</v>
      </c>
      <c r="AS254" s="7">
        <v>2653</v>
      </c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1"/>
    </row>
    <row r="255" spans="1:70" ht="13">
      <c r="A255" s="6" t="s">
        <v>547</v>
      </c>
      <c r="B255" s="6" t="s">
        <v>548</v>
      </c>
      <c r="C255" s="7">
        <v>34</v>
      </c>
      <c r="D255" s="7">
        <v>68</v>
      </c>
      <c r="E255" s="7">
        <v>17</v>
      </c>
      <c r="F255" s="7">
        <v>51</v>
      </c>
      <c r="G255" s="7">
        <v>15.6</v>
      </c>
      <c r="H255" s="8">
        <v>442</v>
      </c>
      <c r="I255" s="9">
        <v>163</v>
      </c>
      <c r="J255" s="9">
        <v>340</v>
      </c>
      <c r="K255" s="8">
        <v>47.8</v>
      </c>
      <c r="L255" s="9">
        <v>82</v>
      </c>
      <c r="M255" s="9">
        <v>184</v>
      </c>
      <c r="N255" s="8">
        <v>45.6</v>
      </c>
      <c r="O255" s="8">
        <v>34</v>
      </c>
      <c r="P255" s="8">
        <v>41</v>
      </c>
      <c r="Q255" s="8">
        <v>84.6</v>
      </c>
      <c r="R255" s="9">
        <v>27</v>
      </c>
      <c r="S255" s="9">
        <v>88</v>
      </c>
      <c r="T255" s="9">
        <v>116</v>
      </c>
      <c r="U255" s="9">
        <v>61</v>
      </c>
      <c r="V255" s="9">
        <v>34</v>
      </c>
      <c r="W255" s="9">
        <v>27</v>
      </c>
      <c r="X255" s="9">
        <v>7</v>
      </c>
      <c r="Y255" s="9">
        <v>61</v>
      </c>
      <c r="Z255" s="8">
        <v>741</v>
      </c>
      <c r="AA255" s="8">
        <v>0</v>
      </c>
      <c r="AB255" s="8">
        <v>0</v>
      </c>
      <c r="AC255" s="7">
        <v>-2.5</v>
      </c>
      <c r="AD255" s="7">
        <v>106.2</v>
      </c>
      <c r="AE255" s="7">
        <v>114.1</v>
      </c>
      <c r="AF255" s="7">
        <v>-8</v>
      </c>
      <c r="AG255" s="7">
        <v>8.6999999999999993</v>
      </c>
      <c r="AH255" s="7">
        <v>1.88</v>
      </c>
      <c r="AI255" s="7">
        <v>13.4</v>
      </c>
      <c r="AJ255" s="7">
        <v>2</v>
      </c>
      <c r="AK255" s="7">
        <v>8.1</v>
      </c>
      <c r="AL255" s="7">
        <v>4.9000000000000004</v>
      </c>
      <c r="AM255" s="7">
        <v>7.1</v>
      </c>
      <c r="AN255" s="7">
        <v>59.9</v>
      </c>
      <c r="AO255" s="7">
        <v>61.6</v>
      </c>
      <c r="AP255" s="7">
        <v>15.1</v>
      </c>
      <c r="AQ255" s="7">
        <v>99.1</v>
      </c>
      <c r="AR255" s="7">
        <v>8.3000000000000007</v>
      </c>
      <c r="AS255" s="7">
        <v>2194</v>
      </c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1"/>
    </row>
    <row r="256" spans="1:70" ht="13">
      <c r="A256" s="6" t="s">
        <v>549</v>
      </c>
      <c r="B256" s="6" t="s">
        <v>550</v>
      </c>
      <c r="C256" s="7">
        <v>27</v>
      </c>
      <c r="D256" s="7">
        <v>64</v>
      </c>
      <c r="E256" s="7">
        <v>37</v>
      </c>
      <c r="F256" s="7">
        <v>27</v>
      </c>
      <c r="G256" s="7">
        <v>11.7</v>
      </c>
      <c r="H256" s="8">
        <v>442</v>
      </c>
      <c r="I256" s="9">
        <v>160</v>
      </c>
      <c r="J256" s="9">
        <v>307</v>
      </c>
      <c r="K256" s="8">
        <v>51.5</v>
      </c>
      <c r="L256" s="9">
        <v>83</v>
      </c>
      <c r="M256" s="9">
        <v>198</v>
      </c>
      <c r="N256" s="8">
        <v>40.5</v>
      </c>
      <c r="O256" s="8">
        <v>45</v>
      </c>
      <c r="P256" s="8">
        <v>58</v>
      </c>
      <c r="Q256" s="8">
        <v>78.599999999999994</v>
      </c>
      <c r="R256" s="9">
        <v>32</v>
      </c>
      <c r="S256" s="9">
        <v>96</v>
      </c>
      <c r="T256" s="9">
        <v>128</v>
      </c>
      <c r="U256" s="9">
        <v>38</v>
      </c>
      <c r="V256" s="9">
        <v>32</v>
      </c>
      <c r="W256" s="9">
        <v>19</v>
      </c>
      <c r="X256" s="9">
        <v>58</v>
      </c>
      <c r="Y256" s="9">
        <v>77</v>
      </c>
      <c r="Z256" s="8">
        <v>832</v>
      </c>
      <c r="AA256" s="8">
        <v>0</v>
      </c>
      <c r="AB256" s="8">
        <v>0</v>
      </c>
      <c r="AC256" s="7">
        <v>0.4</v>
      </c>
      <c r="AD256" s="7">
        <v>111</v>
      </c>
      <c r="AE256" s="7">
        <v>110.1</v>
      </c>
      <c r="AF256" s="7">
        <v>0.8</v>
      </c>
      <c r="AG256" s="7">
        <v>7.7</v>
      </c>
      <c r="AH256" s="7">
        <v>1.1200000000000001</v>
      </c>
      <c r="AI256" s="7">
        <v>9.4</v>
      </c>
      <c r="AJ256" s="7">
        <v>3.9</v>
      </c>
      <c r="AK256" s="7">
        <v>12</v>
      </c>
      <c r="AL256" s="7">
        <v>8.1</v>
      </c>
      <c r="AM256" s="7">
        <v>8.4</v>
      </c>
      <c r="AN256" s="7">
        <v>64.8</v>
      </c>
      <c r="AO256" s="7">
        <v>66.599999999999994</v>
      </c>
      <c r="AP256" s="7">
        <v>19.399999999999999</v>
      </c>
      <c r="AQ256" s="7">
        <v>106.71</v>
      </c>
      <c r="AR256" s="7">
        <v>10.8</v>
      </c>
      <c r="AS256" s="7">
        <v>1668</v>
      </c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1"/>
    </row>
    <row r="257" spans="1:70" ht="13">
      <c r="A257" s="6" t="s">
        <v>551</v>
      </c>
      <c r="B257" s="6" t="s">
        <v>552</v>
      </c>
      <c r="C257" s="7">
        <v>33</v>
      </c>
      <c r="D257" s="7">
        <v>37</v>
      </c>
      <c r="E257" s="7">
        <v>18</v>
      </c>
      <c r="F257" s="7">
        <v>19</v>
      </c>
      <c r="G257" s="7">
        <v>22.8</v>
      </c>
      <c r="H257" s="8">
        <v>440</v>
      </c>
      <c r="I257" s="9">
        <v>159</v>
      </c>
      <c r="J257" s="9">
        <v>337</v>
      </c>
      <c r="K257" s="8">
        <v>47.5</v>
      </c>
      <c r="L257" s="9">
        <v>48</v>
      </c>
      <c r="M257" s="9">
        <v>133</v>
      </c>
      <c r="N257" s="8">
        <v>36.1</v>
      </c>
      <c r="O257" s="8">
        <v>70</v>
      </c>
      <c r="P257" s="8">
        <v>85</v>
      </c>
      <c r="Q257" s="8">
        <v>85.7</v>
      </c>
      <c r="R257" s="9">
        <v>15</v>
      </c>
      <c r="S257" s="9">
        <v>126</v>
      </c>
      <c r="T257" s="9">
        <v>137</v>
      </c>
      <c r="U257" s="9">
        <v>152</v>
      </c>
      <c r="V257" s="9">
        <v>56</v>
      </c>
      <c r="W257" s="9">
        <v>33</v>
      </c>
      <c r="X257" s="9">
        <v>7</v>
      </c>
      <c r="Y257" s="9">
        <v>74</v>
      </c>
      <c r="Z257" s="8">
        <v>903</v>
      </c>
      <c r="AA257" s="8">
        <v>0</v>
      </c>
      <c r="AB257" s="8">
        <v>0</v>
      </c>
      <c r="AC257" s="7">
        <v>1.1000000000000001</v>
      </c>
      <c r="AD257" s="7">
        <v>114.1</v>
      </c>
      <c r="AE257" s="7">
        <v>112.6</v>
      </c>
      <c r="AF257" s="7">
        <v>1.5</v>
      </c>
      <c r="AG257" s="7">
        <v>25.1</v>
      </c>
      <c r="AH257" s="7">
        <v>2.68</v>
      </c>
      <c r="AI257" s="7">
        <v>26</v>
      </c>
      <c r="AJ257" s="7">
        <v>1.5</v>
      </c>
      <c r="AK257" s="7">
        <v>13.2</v>
      </c>
      <c r="AL257" s="7">
        <v>7.6</v>
      </c>
      <c r="AM257" s="7">
        <v>9.6999999999999993</v>
      </c>
      <c r="AN257" s="7">
        <v>54.6</v>
      </c>
      <c r="AO257" s="7">
        <v>58.8</v>
      </c>
      <c r="AP257" s="7">
        <v>20.8</v>
      </c>
      <c r="AQ257" s="7">
        <v>104.75</v>
      </c>
      <c r="AR257" s="7">
        <v>11.4</v>
      </c>
      <c r="AS257" s="7">
        <v>1845</v>
      </c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1"/>
    </row>
    <row r="258" spans="1:70" ht="13">
      <c r="A258" s="6" t="s">
        <v>553</v>
      </c>
      <c r="B258" s="6" t="s">
        <v>554</v>
      </c>
      <c r="C258" s="7">
        <v>29</v>
      </c>
      <c r="D258" s="7">
        <v>73</v>
      </c>
      <c r="E258" s="7">
        <v>53</v>
      </c>
      <c r="F258" s="7">
        <v>20</v>
      </c>
      <c r="G258" s="7">
        <v>18.600000000000001</v>
      </c>
      <c r="H258" s="8">
        <v>438</v>
      </c>
      <c r="I258" s="9">
        <v>190</v>
      </c>
      <c r="J258" s="9">
        <v>277</v>
      </c>
      <c r="K258" s="8">
        <v>66.8</v>
      </c>
      <c r="L258" s="8">
        <v>0</v>
      </c>
      <c r="M258" s="8">
        <v>0</v>
      </c>
      <c r="N258" s="8">
        <v>0</v>
      </c>
      <c r="O258" s="8">
        <v>66</v>
      </c>
      <c r="P258" s="8">
        <v>95</v>
      </c>
      <c r="Q258" s="8">
        <v>69.099999999999994</v>
      </c>
      <c r="R258" s="9">
        <v>190</v>
      </c>
      <c r="S258" s="9">
        <v>197</v>
      </c>
      <c r="T258" s="9">
        <v>387</v>
      </c>
      <c r="U258" s="9">
        <v>117</v>
      </c>
      <c r="V258" s="9">
        <v>29</v>
      </c>
      <c r="W258" s="9">
        <v>37</v>
      </c>
      <c r="X258" s="9">
        <v>73</v>
      </c>
      <c r="Y258" s="9">
        <v>117</v>
      </c>
      <c r="Z258" s="8">
        <v>1372</v>
      </c>
      <c r="AA258" s="8">
        <v>3</v>
      </c>
      <c r="AB258" s="8">
        <v>0</v>
      </c>
      <c r="AC258" s="7">
        <v>5.5</v>
      </c>
      <c r="AD258" s="7">
        <v>121.2</v>
      </c>
      <c r="AE258" s="7">
        <v>106.3</v>
      </c>
      <c r="AF258" s="7">
        <v>14.9</v>
      </c>
      <c r="AG258" s="7">
        <v>11.5</v>
      </c>
      <c r="AH258" s="7">
        <v>3.77</v>
      </c>
      <c r="AI258" s="7">
        <v>24.8</v>
      </c>
      <c r="AJ258" s="7">
        <v>13.4</v>
      </c>
      <c r="AK258" s="7">
        <v>13.9</v>
      </c>
      <c r="AL258" s="7">
        <v>13.6</v>
      </c>
      <c r="AM258" s="7">
        <v>6.6</v>
      </c>
      <c r="AN258" s="7">
        <v>66.8</v>
      </c>
      <c r="AO258" s="7">
        <v>68.3</v>
      </c>
      <c r="AP258" s="7">
        <v>11.1</v>
      </c>
      <c r="AQ258" s="7">
        <v>95.87</v>
      </c>
      <c r="AR258" s="7">
        <v>11.4</v>
      </c>
      <c r="AS258" s="7">
        <v>2717</v>
      </c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1"/>
    </row>
    <row r="259" spans="1:70" ht="13">
      <c r="A259" s="6" t="s">
        <v>555</v>
      </c>
      <c r="B259" s="6" t="s">
        <v>556</v>
      </c>
      <c r="C259" s="7">
        <v>21</v>
      </c>
      <c r="D259" s="7">
        <v>67</v>
      </c>
      <c r="E259" s="7">
        <v>29</v>
      </c>
      <c r="F259" s="7">
        <v>38</v>
      </c>
      <c r="G259" s="7">
        <v>19.8</v>
      </c>
      <c r="H259" s="8">
        <v>436</v>
      </c>
      <c r="I259" s="9">
        <v>181</v>
      </c>
      <c r="J259" s="9">
        <v>335</v>
      </c>
      <c r="K259" s="8">
        <v>53.9</v>
      </c>
      <c r="L259" s="9">
        <v>13</v>
      </c>
      <c r="M259" s="9">
        <v>47</v>
      </c>
      <c r="N259" s="8">
        <v>28.6</v>
      </c>
      <c r="O259" s="8">
        <v>60</v>
      </c>
      <c r="P259" s="8">
        <v>107</v>
      </c>
      <c r="Q259" s="8">
        <v>59.6</v>
      </c>
      <c r="R259" s="9">
        <v>214</v>
      </c>
      <c r="S259" s="9">
        <v>308</v>
      </c>
      <c r="T259" s="9">
        <v>529</v>
      </c>
      <c r="U259" s="9">
        <v>74</v>
      </c>
      <c r="V259" s="9">
        <v>74</v>
      </c>
      <c r="W259" s="9">
        <v>34</v>
      </c>
      <c r="X259" s="9">
        <v>107</v>
      </c>
      <c r="Y259" s="9">
        <v>188</v>
      </c>
      <c r="Z259" s="8">
        <v>1541</v>
      </c>
      <c r="AA259" s="8">
        <v>8</v>
      </c>
      <c r="AB259" s="8">
        <v>0</v>
      </c>
      <c r="AC259" s="7">
        <v>0</v>
      </c>
      <c r="AD259" s="7">
        <v>109.9</v>
      </c>
      <c r="AE259" s="7">
        <v>109.7</v>
      </c>
      <c r="AF259" s="7">
        <v>0.2</v>
      </c>
      <c r="AG259" s="7">
        <v>8.1</v>
      </c>
      <c r="AH259" s="7">
        <v>1.07</v>
      </c>
      <c r="AI259" s="7">
        <v>14.6</v>
      </c>
      <c r="AJ259" s="7">
        <v>14.4</v>
      </c>
      <c r="AK259" s="7">
        <v>21.8</v>
      </c>
      <c r="AL259" s="7">
        <v>17.899999999999999</v>
      </c>
      <c r="AM259" s="7">
        <v>13.7</v>
      </c>
      <c r="AN259" s="7">
        <v>56</v>
      </c>
      <c r="AO259" s="7">
        <v>57.4</v>
      </c>
      <c r="AP259" s="7">
        <v>13.5</v>
      </c>
      <c r="AQ259" s="7">
        <v>101.68</v>
      </c>
      <c r="AR259" s="7">
        <v>10.5</v>
      </c>
      <c r="AS259" s="7">
        <v>2801</v>
      </c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1"/>
    </row>
    <row r="260" spans="1:70" ht="13">
      <c r="A260" s="6" t="s">
        <v>557</v>
      </c>
      <c r="B260" s="6" t="s">
        <v>558</v>
      </c>
      <c r="C260" s="7">
        <v>30</v>
      </c>
      <c r="D260" s="7">
        <v>69</v>
      </c>
      <c r="E260" s="7">
        <v>58</v>
      </c>
      <c r="F260" s="7">
        <v>11</v>
      </c>
      <c r="G260" s="7">
        <v>16.399999999999999</v>
      </c>
      <c r="H260" s="8">
        <v>435</v>
      </c>
      <c r="I260" s="9">
        <v>173</v>
      </c>
      <c r="J260" s="9">
        <v>352</v>
      </c>
      <c r="K260" s="8">
        <v>48.3</v>
      </c>
      <c r="L260" s="9">
        <v>69</v>
      </c>
      <c r="M260" s="9">
        <v>173</v>
      </c>
      <c r="N260" s="8">
        <v>38.6</v>
      </c>
      <c r="O260" s="8">
        <v>28</v>
      </c>
      <c r="P260" s="8">
        <v>41</v>
      </c>
      <c r="Q260" s="8">
        <v>71.8</v>
      </c>
      <c r="R260" s="9">
        <v>62</v>
      </c>
      <c r="S260" s="9">
        <v>179</v>
      </c>
      <c r="T260" s="9">
        <v>242</v>
      </c>
      <c r="U260" s="9">
        <v>97</v>
      </c>
      <c r="V260" s="9">
        <v>41</v>
      </c>
      <c r="W260" s="9">
        <v>41</v>
      </c>
      <c r="X260" s="9">
        <v>7</v>
      </c>
      <c r="Y260" s="9">
        <v>110</v>
      </c>
      <c r="Z260" s="8">
        <v>994</v>
      </c>
      <c r="AA260" s="8">
        <v>2</v>
      </c>
      <c r="AB260" s="8">
        <v>0</v>
      </c>
      <c r="AC260" s="7">
        <v>4.8</v>
      </c>
      <c r="AD260" s="7">
        <v>118.7</v>
      </c>
      <c r="AE260" s="7">
        <v>104.1</v>
      </c>
      <c r="AF260" s="7">
        <v>14.5</v>
      </c>
      <c r="AG260" s="7">
        <v>11.1</v>
      </c>
      <c r="AH260" s="7">
        <v>2.4900000000000002</v>
      </c>
      <c r="AI260" s="7">
        <v>19.2</v>
      </c>
      <c r="AJ260" s="7">
        <v>5.6</v>
      </c>
      <c r="AK260" s="7">
        <v>14.8</v>
      </c>
      <c r="AL260" s="7">
        <v>10.199999999999999</v>
      </c>
      <c r="AM260" s="7">
        <v>7.7</v>
      </c>
      <c r="AN260" s="7">
        <v>57.6</v>
      </c>
      <c r="AO260" s="7">
        <v>58.7</v>
      </c>
      <c r="AP260" s="7">
        <v>15.1</v>
      </c>
      <c r="AQ260" s="7">
        <v>101.26</v>
      </c>
      <c r="AR260" s="7">
        <v>9.3000000000000007</v>
      </c>
      <c r="AS260" s="7">
        <v>2379</v>
      </c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1"/>
    </row>
    <row r="261" spans="1:70" ht="13">
      <c r="A261" s="6" t="s">
        <v>559</v>
      </c>
      <c r="B261" s="6" t="s">
        <v>560</v>
      </c>
      <c r="C261" s="7">
        <v>24</v>
      </c>
      <c r="D261" s="7">
        <v>72</v>
      </c>
      <c r="E261" s="7">
        <v>38</v>
      </c>
      <c r="F261" s="7">
        <v>34</v>
      </c>
      <c r="G261" s="7">
        <v>19.899999999999999</v>
      </c>
      <c r="H261" s="8">
        <v>432</v>
      </c>
      <c r="I261" s="9">
        <v>173</v>
      </c>
      <c r="J261" s="9">
        <v>317</v>
      </c>
      <c r="K261" s="8">
        <v>55.9</v>
      </c>
      <c r="L261" s="9">
        <v>14</v>
      </c>
      <c r="M261" s="9">
        <v>50</v>
      </c>
      <c r="N261" s="8">
        <v>32.1</v>
      </c>
      <c r="O261" s="8">
        <v>65</v>
      </c>
      <c r="P261" s="8">
        <v>86</v>
      </c>
      <c r="Q261" s="8">
        <v>75.900000000000006</v>
      </c>
      <c r="R261" s="9">
        <v>130</v>
      </c>
      <c r="S261" s="9">
        <v>266</v>
      </c>
      <c r="T261" s="9">
        <v>396</v>
      </c>
      <c r="U261" s="9">
        <v>122</v>
      </c>
      <c r="V261" s="9">
        <v>65</v>
      </c>
      <c r="W261" s="9">
        <v>29</v>
      </c>
      <c r="X261" s="9">
        <v>101</v>
      </c>
      <c r="Y261" s="9">
        <v>180</v>
      </c>
      <c r="Z261" s="8">
        <v>1418</v>
      </c>
      <c r="AA261" s="8">
        <v>2</v>
      </c>
      <c r="AB261" s="8">
        <v>0</v>
      </c>
      <c r="AC261" s="7">
        <v>0.1</v>
      </c>
      <c r="AD261" s="7">
        <v>109.1</v>
      </c>
      <c r="AE261" s="7">
        <v>108.6</v>
      </c>
      <c r="AF261" s="7">
        <v>0.5</v>
      </c>
      <c r="AG261" s="7">
        <v>12</v>
      </c>
      <c r="AH261" s="7">
        <v>1.81</v>
      </c>
      <c r="AI261" s="7">
        <v>22.7</v>
      </c>
      <c r="AJ261" s="7">
        <v>8.6</v>
      </c>
      <c r="AK261" s="7">
        <v>17</v>
      </c>
      <c r="AL261" s="7">
        <v>12.9</v>
      </c>
      <c r="AM261" s="7">
        <v>12.5</v>
      </c>
      <c r="AN261" s="7">
        <v>58.6</v>
      </c>
      <c r="AO261" s="7">
        <v>61.6</v>
      </c>
      <c r="AP261" s="7">
        <v>12.1</v>
      </c>
      <c r="AQ261" s="7">
        <v>101.75</v>
      </c>
      <c r="AR261" s="7">
        <v>9.6</v>
      </c>
      <c r="AS261" s="7">
        <v>3036</v>
      </c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1"/>
    </row>
    <row r="262" spans="1:70" ht="13">
      <c r="A262" s="6" t="s">
        <v>561</v>
      </c>
      <c r="B262" s="6" t="s">
        <v>562</v>
      </c>
      <c r="C262" s="7">
        <v>27</v>
      </c>
      <c r="D262" s="7">
        <v>66</v>
      </c>
      <c r="E262" s="7">
        <v>44</v>
      </c>
      <c r="F262" s="7">
        <v>22</v>
      </c>
      <c r="G262" s="7">
        <v>14.6</v>
      </c>
      <c r="H262" s="8">
        <v>429</v>
      </c>
      <c r="I262" s="9">
        <v>165</v>
      </c>
      <c r="J262" s="9">
        <v>323</v>
      </c>
      <c r="K262" s="8">
        <v>50.8</v>
      </c>
      <c r="L262" s="9">
        <v>46</v>
      </c>
      <c r="M262" s="9">
        <v>145</v>
      </c>
      <c r="N262" s="8">
        <v>32.4</v>
      </c>
      <c r="O262" s="8">
        <v>53</v>
      </c>
      <c r="P262" s="8">
        <v>66</v>
      </c>
      <c r="Q262" s="8">
        <v>85.9</v>
      </c>
      <c r="R262" s="9">
        <v>86</v>
      </c>
      <c r="S262" s="9">
        <v>165</v>
      </c>
      <c r="T262" s="9">
        <v>251</v>
      </c>
      <c r="U262" s="9">
        <v>53</v>
      </c>
      <c r="V262" s="9">
        <v>33</v>
      </c>
      <c r="W262" s="9">
        <v>26</v>
      </c>
      <c r="X262" s="9">
        <v>40</v>
      </c>
      <c r="Y262" s="9">
        <v>79</v>
      </c>
      <c r="Z262" s="8">
        <v>990</v>
      </c>
      <c r="AA262" s="8">
        <v>1</v>
      </c>
      <c r="AB262" s="8">
        <v>0</v>
      </c>
      <c r="AC262" s="7">
        <v>-0.6</v>
      </c>
      <c r="AD262" s="7">
        <v>109.9</v>
      </c>
      <c r="AE262" s="7">
        <v>113.4</v>
      </c>
      <c r="AF262" s="7">
        <v>-3.5</v>
      </c>
      <c r="AG262" s="7">
        <v>7.8</v>
      </c>
      <c r="AH262" s="7">
        <v>1.77</v>
      </c>
      <c r="AI262" s="7">
        <v>12.4</v>
      </c>
      <c r="AJ262" s="7">
        <v>8.5</v>
      </c>
      <c r="AK262" s="7">
        <v>16.899999999999999</v>
      </c>
      <c r="AL262" s="7">
        <v>12.8</v>
      </c>
      <c r="AM262" s="7">
        <v>7</v>
      </c>
      <c r="AN262" s="7">
        <v>58.3</v>
      </c>
      <c r="AO262" s="7">
        <v>61.4</v>
      </c>
      <c r="AP262" s="7">
        <v>16.2</v>
      </c>
      <c r="AQ262" s="7">
        <v>102.45</v>
      </c>
      <c r="AR262" s="7">
        <v>11</v>
      </c>
      <c r="AS262" s="7">
        <v>2071</v>
      </c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1"/>
    </row>
    <row r="263" spans="1:70" ht="13">
      <c r="A263" s="6" t="s">
        <v>563</v>
      </c>
      <c r="B263" s="6" t="s">
        <v>564</v>
      </c>
      <c r="C263" s="7">
        <v>20</v>
      </c>
      <c r="D263" s="7">
        <v>46</v>
      </c>
      <c r="E263" s="7">
        <v>11</v>
      </c>
      <c r="F263" s="7">
        <v>35</v>
      </c>
      <c r="G263" s="7">
        <v>22.7</v>
      </c>
      <c r="H263" s="8">
        <v>419</v>
      </c>
      <c r="I263" s="9">
        <v>133</v>
      </c>
      <c r="J263" s="9">
        <v>373</v>
      </c>
      <c r="K263" s="8">
        <v>35.799999999999997</v>
      </c>
      <c r="L263" s="9">
        <v>87</v>
      </c>
      <c r="M263" s="9">
        <v>262</v>
      </c>
      <c r="N263" s="8">
        <v>33.299999999999997</v>
      </c>
      <c r="O263" s="8">
        <v>69</v>
      </c>
      <c r="P263" s="8">
        <v>78</v>
      </c>
      <c r="Q263" s="8">
        <v>83.8</v>
      </c>
      <c r="R263" s="9">
        <v>41</v>
      </c>
      <c r="S263" s="9">
        <v>138</v>
      </c>
      <c r="T263" s="9">
        <v>179</v>
      </c>
      <c r="U263" s="9">
        <v>41</v>
      </c>
      <c r="V263" s="9">
        <v>46</v>
      </c>
      <c r="W263" s="9">
        <v>23</v>
      </c>
      <c r="X263" s="9">
        <v>23</v>
      </c>
      <c r="Y263" s="9">
        <v>106</v>
      </c>
      <c r="Z263" s="8">
        <v>787</v>
      </c>
      <c r="AA263" s="8">
        <v>0</v>
      </c>
      <c r="AB263" s="8">
        <v>0</v>
      </c>
      <c r="AC263" s="7">
        <v>-5.7</v>
      </c>
      <c r="AD263" s="7">
        <v>103</v>
      </c>
      <c r="AE263" s="7">
        <v>115.2</v>
      </c>
      <c r="AF263" s="7">
        <v>-12.3</v>
      </c>
      <c r="AG263" s="7">
        <v>6.3</v>
      </c>
      <c r="AH263" s="7">
        <v>0.87</v>
      </c>
      <c r="AI263" s="7">
        <v>8.1</v>
      </c>
      <c r="AJ263" s="7">
        <v>3.7</v>
      </c>
      <c r="AK263" s="7">
        <v>13.8</v>
      </c>
      <c r="AL263" s="7">
        <v>8.4</v>
      </c>
      <c r="AM263" s="7">
        <v>9.3000000000000007</v>
      </c>
      <c r="AN263" s="7">
        <v>47.4</v>
      </c>
      <c r="AO263" s="7">
        <v>51.6</v>
      </c>
      <c r="AP263" s="7">
        <v>18.5</v>
      </c>
      <c r="AQ263" s="7">
        <v>97.91</v>
      </c>
      <c r="AR263" s="7">
        <v>6.1</v>
      </c>
      <c r="AS263" s="7">
        <v>2126</v>
      </c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1"/>
    </row>
    <row r="264" spans="1:70" ht="13">
      <c r="A264" s="6" t="s">
        <v>565</v>
      </c>
      <c r="B264" s="6" t="s">
        <v>566</v>
      </c>
      <c r="C264" s="7">
        <v>24</v>
      </c>
      <c r="D264" s="7">
        <v>59</v>
      </c>
      <c r="E264" s="7">
        <v>21</v>
      </c>
      <c r="F264" s="7">
        <v>38</v>
      </c>
      <c r="G264" s="7">
        <v>17.7</v>
      </c>
      <c r="H264" s="8">
        <v>419</v>
      </c>
      <c r="I264" s="9">
        <v>148</v>
      </c>
      <c r="J264" s="9">
        <v>348</v>
      </c>
      <c r="K264" s="8">
        <v>42.9</v>
      </c>
      <c r="L264" s="9">
        <v>106</v>
      </c>
      <c r="M264" s="9">
        <v>260</v>
      </c>
      <c r="N264" s="8">
        <v>40.5</v>
      </c>
      <c r="O264" s="8">
        <v>18</v>
      </c>
      <c r="P264" s="8">
        <v>18</v>
      </c>
      <c r="Q264" s="8">
        <v>88.9</v>
      </c>
      <c r="R264" s="9">
        <v>35</v>
      </c>
      <c r="S264" s="9">
        <v>124</v>
      </c>
      <c r="T264" s="9">
        <v>159</v>
      </c>
      <c r="U264" s="9">
        <v>53</v>
      </c>
      <c r="V264" s="9">
        <v>30</v>
      </c>
      <c r="W264" s="9">
        <v>18</v>
      </c>
      <c r="X264" s="9">
        <v>12</v>
      </c>
      <c r="Y264" s="9">
        <v>94</v>
      </c>
      <c r="Z264" s="8">
        <v>743</v>
      </c>
      <c r="AA264" s="8">
        <v>0</v>
      </c>
      <c r="AB264" s="8">
        <v>0</v>
      </c>
      <c r="AC264" s="7">
        <v>-3.1</v>
      </c>
      <c r="AD264" s="7">
        <v>105</v>
      </c>
      <c r="AE264" s="7">
        <v>113.4</v>
      </c>
      <c r="AF264" s="7">
        <v>-8.4</v>
      </c>
      <c r="AG264" s="7">
        <v>7.3</v>
      </c>
      <c r="AH264" s="7">
        <v>1.96</v>
      </c>
      <c r="AI264" s="7">
        <v>12.2</v>
      </c>
      <c r="AJ264" s="7">
        <v>3.2</v>
      </c>
      <c r="AK264" s="7">
        <v>11.7</v>
      </c>
      <c r="AL264" s="7">
        <v>7.2</v>
      </c>
      <c r="AM264" s="7">
        <v>6.2</v>
      </c>
      <c r="AN264" s="7">
        <v>58.1</v>
      </c>
      <c r="AO264" s="7">
        <v>59</v>
      </c>
      <c r="AP264" s="7">
        <v>14.7</v>
      </c>
      <c r="AQ264" s="7">
        <v>102.32</v>
      </c>
      <c r="AR264" s="7">
        <v>7.2</v>
      </c>
      <c r="AS264" s="7">
        <v>2222</v>
      </c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1"/>
    </row>
    <row r="265" spans="1:70" ht="13">
      <c r="A265" s="6" t="s">
        <v>567</v>
      </c>
      <c r="B265" s="6" t="s">
        <v>568</v>
      </c>
      <c r="C265" s="7">
        <v>24</v>
      </c>
      <c r="D265" s="7">
        <v>66</v>
      </c>
      <c r="E265" s="7">
        <v>17</v>
      </c>
      <c r="F265" s="7">
        <v>49</v>
      </c>
      <c r="G265" s="7">
        <v>18.8</v>
      </c>
      <c r="H265" s="8">
        <v>416</v>
      </c>
      <c r="I265" s="9">
        <v>158</v>
      </c>
      <c r="J265" s="9">
        <v>350</v>
      </c>
      <c r="K265" s="8">
        <v>45.5</v>
      </c>
      <c r="L265" s="9">
        <v>53</v>
      </c>
      <c r="M265" s="9">
        <v>165</v>
      </c>
      <c r="N265" s="8">
        <v>34.1</v>
      </c>
      <c r="O265" s="8">
        <v>46</v>
      </c>
      <c r="P265" s="8">
        <v>53</v>
      </c>
      <c r="Q265" s="8">
        <v>83.6</v>
      </c>
      <c r="R265" s="9">
        <v>112</v>
      </c>
      <c r="S265" s="9">
        <v>205</v>
      </c>
      <c r="T265" s="9">
        <v>317</v>
      </c>
      <c r="U265" s="9">
        <v>86</v>
      </c>
      <c r="V265" s="9">
        <v>53</v>
      </c>
      <c r="W265" s="9">
        <v>40</v>
      </c>
      <c r="X265" s="9">
        <v>7</v>
      </c>
      <c r="Y265" s="9">
        <v>79</v>
      </c>
      <c r="Z265" s="8">
        <v>1016</v>
      </c>
      <c r="AA265" s="8">
        <v>4</v>
      </c>
      <c r="AB265" s="8">
        <v>0</v>
      </c>
      <c r="AC265" s="7">
        <v>-5</v>
      </c>
      <c r="AD265" s="7">
        <v>107.2</v>
      </c>
      <c r="AE265" s="7">
        <v>119</v>
      </c>
      <c r="AF265" s="7">
        <v>-11.8</v>
      </c>
      <c r="AG265" s="7">
        <v>10.1</v>
      </c>
      <c r="AH265" s="7">
        <v>1.73</v>
      </c>
      <c r="AI265" s="7">
        <v>17.2</v>
      </c>
      <c r="AJ265" s="7">
        <v>8.1999999999999993</v>
      </c>
      <c r="AK265" s="7">
        <v>16.600000000000001</v>
      </c>
      <c r="AL265" s="7">
        <v>12.2</v>
      </c>
      <c r="AM265" s="7">
        <v>10</v>
      </c>
      <c r="AN265" s="7">
        <v>53.6</v>
      </c>
      <c r="AO265" s="7">
        <v>56.3</v>
      </c>
      <c r="AP265" s="7">
        <v>14</v>
      </c>
      <c r="AQ265" s="7">
        <v>100.95</v>
      </c>
      <c r="AR265" s="7">
        <v>8.6999999999999993</v>
      </c>
      <c r="AS265" s="7">
        <v>2595</v>
      </c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1"/>
    </row>
    <row r="266" spans="1:70" ht="13">
      <c r="A266" s="6" t="s">
        <v>569</v>
      </c>
      <c r="B266" s="6" t="s">
        <v>570</v>
      </c>
      <c r="C266" s="7">
        <v>24</v>
      </c>
      <c r="D266" s="7">
        <v>57</v>
      </c>
      <c r="E266" s="7">
        <v>28</v>
      </c>
      <c r="F266" s="7">
        <v>29</v>
      </c>
      <c r="G266" s="7">
        <v>20.2</v>
      </c>
      <c r="H266" s="8">
        <v>410</v>
      </c>
      <c r="I266" s="9">
        <v>143</v>
      </c>
      <c r="J266" s="9">
        <v>291</v>
      </c>
      <c r="K266" s="8">
        <v>49.7</v>
      </c>
      <c r="L266" s="9">
        <v>91</v>
      </c>
      <c r="M266" s="9">
        <v>205</v>
      </c>
      <c r="N266" s="8">
        <v>43.7</v>
      </c>
      <c r="O266" s="8">
        <v>34</v>
      </c>
      <c r="P266" s="8">
        <v>46</v>
      </c>
      <c r="Q266" s="8">
        <v>71.099999999999994</v>
      </c>
      <c r="R266" s="9">
        <v>23</v>
      </c>
      <c r="S266" s="9">
        <v>137</v>
      </c>
      <c r="T266" s="9">
        <v>154</v>
      </c>
      <c r="U266" s="9">
        <v>148</v>
      </c>
      <c r="V266" s="9">
        <v>51</v>
      </c>
      <c r="W266" s="9">
        <v>34</v>
      </c>
      <c r="X266" s="9">
        <v>29</v>
      </c>
      <c r="Y266" s="9">
        <v>103</v>
      </c>
      <c r="Z266" s="8">
        <v>958</v>
      </c>
      <c r="AA266" s="8">
        <v>1</v>
      </c>
      <c r="AB266" s="8">
        <v>0</v>
      </c>
      <c r="AC266" s="7">
        <v>-1.2</v>
      </c>
      <c r="AD266" s="7">
        <v>109.7</v>
      </c>
      <c r="AE266" s="7">
        <v>111.6</v>
      </c>
      <c r="AF266" s="7">
        <v>-1.9</v>
      </c>
      <c r="AG266" s="7">
        <v>17.5</v>
      </c>
      <c r="AH266" s="7">
        <v>2.94</v>
      </c>
      <c r="AI266" s="7">
        <v>28.9</v>
      </c>
      <c r="AJ266" s="7">
        <v>1.9</v>
      </c>
      <c r="AK266" s="7">
        <v>11.6</v>
      </c>
      <c r="AL266" s="7">
        <v>6.7</v>
      </c>
      <c r="AM266" s="7">
        <v>9.8000000000000007</v>
      </c>
      <c r="AN266" s="7">
        <v>65.099999999999994</v>
      </c>
      <c r="AO266" s="7">
        <v>66.099999999999994</v>
      </c>
      <c r="AP266" s="7">
        <v>13.1</v>
      </c>
      <c r="AQ266" s="7">
        <v>102.63</v>
      </c>
      <c r="AR266" s="7">
        <v>8.6</v>
      </c>
      <c r="AS266" s="7">
        <v>2456</v>
      </c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1"/>
    </row>
    <row r="267" spans="1:70" ht="13">
      <c r="A267" s="6" t="s">
        <v>571</v>
      </c>
      <c r="B267" s="6" t="s">
        <v>572</v>
      </c>
      <c r="C267" s="7">
        <v>27</v>
      </c>
      <c r="D267" s="7">
        <v>64</v>
      </c>
      <c r="E267" s="7">
        <v>34</v>
      </c>
      <c r="F267" s="7">
        <v>30</v>
      </c>
      <c r="G267" s="7">
        <v>15.3</v>
      </c>
      <c r="H267" s="8">
        <v>410</v>
      </c>
      <c r="I267" s="9">
        <v>154</v>
      </c>
      <c r="J267" s="9">
        <v>301</v>
      </c>
      <c r="K267" s="8">
        <v>50.7</v>
      </c>
      <c r="L267" s="9">
        <v>32</v>
      </c>
      <c r="M267" s="9">
        <v>109</v>
      </c>
      <c r="N267" s="8">
        <v>30.2</v>
      </c>
      <c r="O267" s="8">
        <v>70</v>
      </c>
      <c r="P267" s="8">
        <v>77</v>
      </c>
      <c r="Q267" s="8">
        <v>88.5</v>
      </c>
      <c r="R267" s="9">
        <v>102</v>
      </c>
      <c r="S267" s="9">
        <v>186</v>
      </c>
      <c r="T267" s="9">
        <v>288</v>
      </c>
      <c r="U267" s="9">
        <v>109</v>
      </c>
      <c r="V267" s="9">
        <v>58</v>
      </c>
      <c r="W267" s="9">
        <v>32</v>
      </c>
      <c r="X267" s="9">
        <v>32</v>
      </c>
      <c r="Y267" s="9">
        <v>134</v>
      </c>
      <c r="Z267" s="8">
        <v>1030</v>
      </c>
      <c r="AA267" s="8">
        <v>4</v>
      </c>
      <c r="AB267" s="8">
        <v>0</v>
      </c>
      <c r="AC267" s="7">
        <v>-0.5</v>
      </c>
      <c r="AD267" s="7">
        <v>109.4</v>
      </c>
      <c r="AE267" s="7">
        <v>109.9</v>
      </c>
      <c r="AF267" s="7">
        <v>-0.4</v>
      </c>
      <c r="AG267" s="7">
        <v>16.2</v>
      </c>
      <c r="AH267" s="7">
        <v>1.85</v>
      </c>
      <c r="AI267" s="7">
        <v>21.9</v>
      </c>
      <c r="AJ267" s="7">
        <v>9.6</v>
      </c>
      <c r="AK267" s="7">
        <v>17.7</v>
      </c>
      <c r="AL267" s="7">
        <v>13.6</v>
      </c>
      <c r="AM267" s="7">
        <v>11.8</v>
      </c>
      <c r="AN267" s="7">
        <v>56</v>
      </c>
      <c r="AO267" s="7">
        <v>60.5</v>
      </c>
      <c r="AP267" s="7">
        <v>16.600000000000001</v>
      </c>
      <c r="AQ267" s="7">
        <v>102.77</v>
      </c>
      <c r="AR267" s="7">
        <v>10.6</v>
      </c>
      <c r="AS267" s="7">
        <v>2083</v>
      </c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1"/>
    </row>
    <row r="268" spans="1:70" ht="13">
      <c r="A268" s="6" t="s">
        <v>573</v>
      </c>
      <c r="B268" s="6" t="s">
        <v>574</v>
      </c>
      <c r="C268" s="7">
        <v>25</v>
      </c>
      <c r="D268" s="7">
        <v>62</v>
      </c>
      <c r="E268" s="7">
        <v>33</v>
      </c>
      <c r="F268" s="7">
        <v>29</v>
      </c>
      <c r="G268" s="7">
        <v>15.6</v>
      </c>
      <c r="H268" s="8">
        <v>409</v>
      </c>
      <c r="I268" s="9">
        <v>174</v>
      </c>
      <c r="J268" s="9">
        <v>304</v>
      </c>
      <c r="K268" s="8">
        <v>57.6</v>
      </c>
      <c r="L268" s="8">
        <v>0</v>
      </c>
      <c r="M268" s="8">
        <v>0</v>
      </c>
      <c r="N268" s="8">
        <v>0</v>
      </c>
      <c r="O268" s="8">
        <v>62</v>
      </c>
      <c r="P268" s="8">
        <v>99</v>
      </c>
      <c r="Q268" s="8">
        <v>57.8</v>
      </c>
      <c r="R268" s="9">
        <v>124</v>
      </c>
      <c r="S268" s="9">
        <v>186</v>
      </c>
      <c r="T268" s="9">
        <v>310</v>
      </c>
      <c r="U268" s="9">
        <v>105</v>
      </c>
      <c r="V268" s="9">
        <v>43</v>
      </c>
      <c r="W268" s="9">
        <v>25</v>
      </c>
      <c r="X268" s="9">
        <v>37</v>
      </c>
      <c r="Y268" s="9">
        <v>74</v>
      </c>
      <c r="Z268" s="8">
        <v>1073</v>
      </c>
      <c r="AA268" s="8">
        <v>4</v>
      </c>
      <c r="AB268" s="8">
        <v>0</v>
      </c>
      <c r="AC268" s="7">
        <v>-1</v>
      </c>
      <c r="AD268" s="7">
        <v>107.8</v>
      </c>
      <c r="AE268" s="7">
        <v>111.3</v>
      </c>
      <c r="AF268" s="7">
        <v>-3.5</v>
      </c>
      <c r="AG268" s="7">
        <v>16.3</v>
      </c>
      <c r="AH268" s="7">
        <v>2.31</v>
      </c>
      <c r="AI268" s="7">
        <v>21.1</v>
      </c>
      <c r="AJ268" s="7">
        <v>11.5</v>
      </c>
      <c r="AK268" s="7">
        <v>19.2</v>
      </c>
      <c r="AL268" s="7">
        <v>15.2</v>
      </c>
      <c r="AM268" s="7">
        <v>9.1</v>
      </c>
      <c r="AN268" s="7">
        <v>57.6</v>
      </c>
      <c r="AO268" s="7">
        <v>58.7</v>
      </c>
      <c r="AP268" s="7">
        <v>16.399999999999999</v>
      </c>
      <c r="AQ268" s="7">
        <v>101.53</v>
      </c>
      <c r="AR268" s="7">
        <v>12</v>
      </c>
      <c r="AS268" s="7">
        <v>2050</v>
      </c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1"/>
    </row>
    <row r="269" spans="1:70" ht="13">
      <c r="A269" s="6" t="s">
        <v>575</v>
      </c>
      <c r="B269" s="6" t="s">
        <v>576</v>
      </c>
      <c r="C269" s="7">
        <v>23</v>
      </c>
      <c r="D269" s="7">
        <v>71</v>
      </c>
      <c r="E269" s="7">
        <v>15</v>
      </c>
      <c r="F269" s="7">
        <v>56</v>
      </c>
      <c r="G269" s="7">
        <v>17.5</v>
      </c>
      <c r="H269" s="8">
        <v>405</v>
      </c>
      <c r="I269" s="9">
        <v>170</v>
      </c>
      <c r="J269" s="9">
        <v>277</v>
      </c>
      <c r="K269" s="8">
        <v>59.6</v>
      </c>
      <c r="L269" s="8">
        <v>0</v>
      </c>
      <c r="M269" s="9">
        <v>7</v>
      </c>
      <c r="N269" s="8">
        <v>0</v>
      </c>
      <c r="O269" s="8">
        <v>71</v>
      </c>
      <c r="P269" s="8">
        <v>114</v>
      </c>
      <c r="Q269" s="8">
        <v>59.5</v>
      </c>
      <c r="R269" s="9">
        <v>185</v>
      </c>
      <c r="S269" s="9">
        <v>249</v>
      </c>
      <c r="T269" s="9">
        <v>440</v>
      </c>
      <c r="U269" s="9">
        <v>57</v>
      </c>
      <c r="V269" s="9">
        <v>64</v>
      </c>
      <c r="W269" s="9">
        <v>43</v>
      </c>
      <c r="X269" s="9">
        <v>43</v>
      </c>
      <c r="Y269" s="9">
        <v>107</v>
      </c>
      <c r="Z269" s="8">
        <v>1207</v>
      </c>
      <c r="AA269" s="8">
        <v>7</v>
      </c>
      <c r="AB269" s="8">
        <v>0</v>
      </c>
      <c r="AC269" s="7">
        <v>-1.7</v>
      </c>
      <c r="AD269" s="7">
        <v>106.9</v>
      </c>
      <c r="AE269" s="7">
        <v>110.3</v>
      </c>
      <c r="AF269" s="7">
        <v>-3.4</v>
      </c>
      <c r="AG269" s="7">
        <v>6.9</v>
      </c>
      <c r="AH269" s="7">
        <v>0.92</v>
      </c>
      <c r="AI269" s="7">
        <v>12.5</v>
      </c>
      <c r="AJ269" s="7">
        <v>13.5</v>
      </c>
      <c r="AK269" s="7">
        <v>20.9</v>
      </c>
      <c r="AL269" s="7">
        <v>16.899999999999999</v>
      </c>
      <c r="AM269" s="7">
        <v>13.6</v>
      </c>
      <c r="AN269" s="7">
        <v>59.6</v>
      </c>
      <c r="AO269" s="7">
        <v>60.9</v>
      </c>
      <c r="AP269" s="7">
        <v>13</v>
      </c>
      <c r="AQ269" s="7">
        <v>97.32</v>
      </c>
      <c r="AR269" s="7">
        <v>11.5</v>
      </c>
      <c r="AS269" s="7">
        <v>2498</v>
      </c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1"/>
    </row>
    <row r="270" spans="1:70" ht="13">
      <c r="A270" s="6" t="s">
        <v>577</v>
      </c>
      <c r="B270" s="6" t="s">
        <v>578</v>
      </c>
      <c r="C270" s="7">
        <v>32</v>
      </c>
      <c r="D270" s="7">
        <v>62</v>
      </c>
      <c r="E270" s="7">
        <v>36</v>
      </c>
      <c r="F270" s="7">
        <v>26</v>
      </c>
      <c r="G270" s="7">
        <v>15</v>
      </c>
      <c r="H270" s="8">
        <v>403</v>
      </c>
      <c r="I270" s="9">
        <v>174</v>
      </c>
      <c r="J270" s="9">
        <v>298</v>
      </c>
      <c r="K270" s="8">
        <v>57.4</v>
      </c>
      <c r="L270" s="9">
        <v>31</v>
      </c>
      <c r="M270" s="9">
        <v>93</v>
      </c>
      <c r="N270" s="8">
        <v>32.6</v>
      </c>
      <c r="O270" s="8">
        <v>25</v>
      </c>
      <c r="P270" s="8">
        <v>37</v>
      </c>
      <c r="Q270" s="8">
        <v>71.099999999999994</v>
      </c>
      <c r="R270" s="9">
        <v>56</v>
      </c>
      <c r="S270" s="9">
        <v>130</v>
      </c>
      <c r="T270" s="9">
        <v>186</v>
      </c>
      <c r="U270" s="9">
        <v>81</v>
      </c>
      <c r="V270" s="9">
        <v>37</v>
      </c>
      <c r="W270" s="9">
        <v>50</v>
      </c>
      <c r="X270" s="9">
        <v>19</v>
      </c>
      <c r="Y270" s="9">
        <v>105</v>
      </c>
      <c r="Z270" s="8">
        <v>918</v>
      </c>
      <c r="AA270" s="8">
        <v>0</v>
      </c>
      <c r="AB270" s="8">
        <v>0</v>
      </c>
      <c r="AC270" s="7">
        <v>0.7</v>
      </c>
      <c r="AD270" s="7">
        <v>113.5</v>
      </c>
      <c r="AE270" s="7">
        <v>110.1</v>
      </c>
      <c r="AF270" s="7">
        <v>3.4</v>
      </c>
      <c r="AG270" s="7">
        <v>13.2</v>
      </c>
      <c r="AH270" s="7">
        <v>2.13</v>
      </c>
      <c r="AI270" s="7">
        <v>19.100000000000001</v>
      </c>
      <c r="AJ270" s="7">
        <v>5.6</v>
      </c>
      <c r="AK270" s="7">
        <v>13.4</v>
      </c>
      <c r="AL270" s="7">
        <v>9.6</v>
      </c>
      <c r="AM270" s="7">
        <v>9</v>
      </c>
      <c r="AN270" s="7">
        <v>62.6</v>
      </c>
      <c r="AO270" s="7">
        <v>63.5</v>
      </c>
      <c r="AP270" s="7">
        <v>15.6</v>
      </c>
      <c r="AQ270" s="7">
        <v>102.12</v>
      </c>
      <c r="AR270" s="7">
        <v>10.4</v>
      </c>
      <c r="AS270" s="7">
        <v>1963</v>
      </c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1"/>
    </row>
    <row r="271" spans="1:70" ht="13">
      <c r="A271" s="6" t="s">
        <v>579</v>
      </c>
      <c r="B271" s="6" t="s">
        <v>580</v>
      </c>
      <c r="C271" s="7">
        <v>27</v>
      </c>
      <c r="D271" s="7">
        <v>18</v>
      </c>
      <c r="E271" s="7">
        <v>5</v>
      </c>
      <c r="F271" s="7">
        <v>13</v>
      </c>
      <c r="G271" s="7">
        <v>33.1</v>
      </c>
      <c r="H271" s="8">
        <v>400</v>
      </c>
      <c r="I271" s="9">
        <v>155</v>
      </c>
      <c r="J271" s="9">
        <v>333</v>
      </c>
      <c r="K271" s="8">
        <v>46.5</v>
      </c>
      <c r="L271" s="9">
        <v>43</v>
      </c>
      <c r="M271" s="9">
        <v>115</v>
      </c>
      <c r="N271" s="8">
        <v>37.4</v>
      </c>
      <c r="O271" s="8">
        <v>47</v>
      </c>
      <c r="P271" s="8">
        <v>56</v>
      </c>
      <c r="Q271" s="8">
        <v>85.5</v>
      </c>
      <c r="R271" s="9">
        <v>16</v>
      </c>
      <c r="S271" s="9">
        <v>83</v>
      </c>
      <c r="T271" s="9">
        <v>101</v>
      </c>
      <c r="U271" s="9">
        <v>94</v>
      </c>
      <c r="V271" s="9">
        <v>68</v>
      </c>
      <c r="W271" s="9">
        <v>16</v>
      </c>
      <c r="X271" s="9">
        <v>11</v>
      </c>
      <c r="Y271" s="9">
        <v>45</v>
      </c>
      <c r="Z271" s="8">
        <v>671</v>
      </c>
      <c r="AA271" s="8">
        <v>0</v>
      </c>
      <c r="AB271" s="8">
        <v>0</v>
      </c>
      <c r="AC271" s="7">
        <v>-7.1</v>
      </c>
      <c r="AD271" s="7">
        <v>107</v>
      </c>
      <c r="AE271" s="7">
        <v>117.7</v>
      </c>
      <c r="AF271" s="7">
        <v>-10.7</v>
      </c>
      <c r="AG271" s="7">
        <v>28</v>
      </c>
      <c r="AH271" s="7">
        <v>1.35</v>
      </c>
      <c r="AI271" s="7">
        <v>18</v>
      </c>
      <c r="AJ271" s="7">
        <v>2.7</v>
      </c>
      <c r="AK271" s="7">
        <v>14</v>
      </c>
      <c r="AL271" s="7">
        <v>8.3000000000000007</v>
      </c>
      <c r="AM271" s="7">
        <v>13.3</v>
      </c>
      <c r="AN271" s="7">
        <v>53</v>
      </c>
      <c r="AO271" s="7">
        <v>56</v>
      </c>
      <c r="AP271" s="7">
        <v>30.5</v>
      </c>
      <c r="AQ271" s="7">
        <v>97.49</v>
      </c>
      <c r="AR271" s="7">
        <v>12.2</v>
      </c>
      <c r="AS271" s="7">
        <v>1209</v>
      </c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1"/>
    </row>
    <row r="272" spans="1:70" ht="13">
      <c r="A272" s="6" t="s">
        <v>581</v>
      </c>
      <c r="B272" s="6" t="s">
        <v>582</v>
      </c>
      <c r="C272" s="7">
        <v>23</v>
      </c>
      <c r="D272" s="7">
        <v>50</v>
      </c>
      <c r="E272" s="7">
        <v>14</v>
      </c>
      <c r="F272" s="7">
        <v>36</v>
      </c>
      <c r="G272" s="7">
        <v>18.100000000000001</v>
      </c>
      <c r="H272" s="8">
        <v>395</v>
      </c>
      <c r="I272" s="9">
        <v>165</v>
      </c>
      <c r="J272" s="9">
        <v>315</v>
      </c>
      <c r="K272" s="8">
        <v>52.1</v>
      </c>
      <c r="L272" s="9">
        <v>10</v>
      </c>
      <c r="M272" s="9">
        <v>45</v>
      </c>
      <c r="N272" s="8">
        <v>24.4</v>
      </c>
      <c r="O272" s="8">
        <v>55</v>
      </c>
      <c r="P272" s="8">
        <v>75</v>
      </c>
      <c r="Q272" s="8">
        <v>75.7</v>
      </c>
      <c r="R272" s="9">
        <v>150</v>
      </c>
      <c r="S272" s="9">
        <v>180</v>
      </c>
      <c r="T272" s="9">
        <v>330</v>
      </c>
      <c r="U272" s="9">
        <v>90</v>
      </c>
      <c r="V272" s="9">
        <v>65</v>
      </c>
      <c r="W272" s="9">
        <v>40</v>
      </c>
      <c r="X272" s="9">
        <v>40</v>
      </c>
      <c r="Y272" s="9">
        <v>115</v>
      </c>
      <c r="Z272" s="8">
        <v>1115</v>
      </c>
      <c r="AA272" s="8">
        <v>4</v>
      </c>
      <c r="AB272" s="8">
        <v>0</v>
      </c>
      <c r="AC272" s="7">
        <v>1.3</v>
      </c>
      <c r="AD272" s="7">
        <v>109.2</v>
      </c>
      <c r="AE272" s="7">
        <v>107.1</v>
      </c>
      <c r="AF272" s="7">
        <v>2.1</v>
      </c>
      <c r="AG272" s="7">
        <v>15.8</v>
      </c>
      <c r="AH272" s="7">
        <v>1.44</v>
      </c>
      <c r="AI272" s="7">
        <v>18.100000000000001</v>
      </c>
      <c r="AJ272" s="7">
        <v>14.9</v>
      </c>
      <c r="AK272" s="7">
        <v>20.2</v>
      </c>
      <c r="AL272" s="7">
        <v>17.399999999999999</v>
      </c>
      <c r="AM272" s="7">
        <v>12.5</v>
      </c>
      <c r="AN272" s="7">
        <v>53.8</v>
      </c>
      <c r="AO272" s="7">
        <v>56.8</v>
      </c>
      <c r="AP272" s="7">
        <v>18.600000000000001</v>
      </c>
      <c r="AQ272" s="7">
        <v>97.35</v>
      </c>
      <c r="AR272" s="7">
        <v>13.4</v>
      </c>
      <c r="AS272" s="7">
        <v>1852</v>
      </c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1"/>
    </row>
    <row r="273" spans="1:70" ht="13">
      <c r="A273" s="6" t="s">
        <v>583</v>
      </c>
      <c r="B273" s="6" t="s">
        <v>584</v>
      </c>
      <c r="C273" s="7">
        <v>23</v>
      </c>
      <c r="D273" s="7">
        <v>63</v>
      </c>
      <c r="E273" s="7">
        <v>18</v>
      </c>
      <c r="F273" s="7">
        <v>45</v>
      </c>
      <c r="G273" s="7">
        <v>20.399999999999999</v>
      </c>
      <c r="H273" s="8">
        <v>391</v>
      </c>
      <c r="I273" s="9">
        <v>158</v>
      </c>
      <c r="J273" s="9">
        <v>359</v>
      </c>
      <c r="K273" s="8">
        <v>43.8</v>
      </c>
      <c r="L273" s="9">
        <v>19</v>
      </c>
      <c r="M273" s="9">
        <v>69</v>
      </c>
      <c r="N273" s="8">
        <v>24.3</v>
      </c>
      <c r="O273" s="8">
        <v>63</v>
      </c>
      <c r="P273" s="8">
        <v>82</v>
      </c>
      <c r="Q273" s="8">
        <v>73.2</v>
      </c>
      <c r="R273" s="9">
        <v>107</v>
      </c>
      <c r="S273" s="9">
        <v>202</v>
      </c>
      <c r="T273" s="9">
        <v>309</v>
      </c>
      <c r="U273" s="9">
        <v>145</v>
      </c>
      <c r="V273" s="9">
        <v>69</v>
      </c>
      <c r="W273" s="9">
        <v>57</v>
      </c>
      <c r="X273" s="9">
        <v>32</v>
      </c>
      <c r="Y273" s="9">
        <v>139</v>
      </c>
      <c r="Z273" s="8">
        <v>1178</v>
      </c>
      <c r="AA273" s="8">
        <v>3</v>
      </c>
      <c r="AB273" s="8">
        <v>1</v>
      </c>
      <c r="AC273" s="7">
        <v>-3.8</v>
      </c>
      <c r="AD273" s="7">
        <v>103.7</v>
      </c>
      <c r="AE273" s="7">
        <v>111.9</v>
      </c>
      <c r="AF273" s="7">
        <v>-8.1999999999999993</v>
      </c>
      <c r="AG273" s="7">
        <v>16</v>
      </c>
      <c r="AH273" s="7">
        <v>2.09</v>
      </c>
      <c r="AI273" s="7">
        <v>24.1</v>
      </c>
      <c r="AJ273" s="7">
        <v>7.6</v>
      </c>
      <c r="AK273" s="7">
        <v>15.7</v>
      </c>
      <c r="AL273" s="7">
        <v>11.4</v>
      </c>
      <c r="AM273" s="7">
        <v>11.5</v>
      </c>
      <c r="AN273" s="7">
        <v>46.2</v>
      </c>
      <c r="AO273" s="7">
        <v>49.6</v>
      </c>
      <c r="AP273" s="7">
        <v>14.5</v>
      </c>
      <c r="AQ273" s="7">
        <v>102.69</v>
      </c>
      <c r="AR273" s="7">
        <v>8.3000000000000007</v>
      </c>
      <c r="AS273" s="7">
        <v>2743</v>
      </c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1"/>
    </row>
    <row r="274" spans="1:70" ht="13">
      <c r="A274" s="6" t="s">
        <v>585</v>
      </c>
      <c r="B274" s="6" t="s">
        <v>586</v>
      </c>
      <c r="C274" s="7">
        <v>28</v>
      </c>
      <c r="D274" s="7">
        <v>30</v>
      </c>
      <c r="E274" s="7">
        <v>18</v>
      </c>
      <c r="F274" s="7">
        <v>12</v>
      </c>
      <c r="G274" s="7">
        <v>18.8</v>
      </c>
      <c r="H274" s="8">
        <v>387</v>
      </c>
      <c r="I274" s="9">
        <v>141</v>
      </c>
      <c r="J274" s="9">
        <v>249</v>
      </c>
      <c r="K274" s="8">
        <v>56.2</v>
      </c>
      <c r="L274" s="9">
        <v>27</v>
      </c>
      <c r="M274" s="9">
        <v>75</v>
      </c>
      <c r="N274" s="8">
        <v>36</v>
      </c>
      <c r="O274" s="8">
        <v>78</v>
      </c>
      <c r="P274" s="8">
        <v>111</v>
      </c>
      <c r="Q274" s="8">
        <v>71.8</v>
      </c>
      <c r="R274" s="9">
        <v>39</v>
      </c>
      <c r="S274" s="9">
        <v>108</v>
      </c>
      <c r="T274" s="9">
        <v>147</v>
      </c>
      <c r="U274" s="9">
        <v>42</v>
      </c>
      <c r="V274" s="9">
        <v>48</v>
      </c>
      <c r="W274" s="9">
        <v>24</v>
      </c>
      <c r="X274" s="9">
        <v>12</v>
      </c>
      <c r="Y274" s="9">
        <v>54</v>
      </c>
      <c r="Z274" s="8">
        <v>687</v>
      </c>
      <c r="AA274" s="8">
        <v>1</v>
      </c>
      <c r="AB274" s="8">
        <v>0</v>
      </c>
      <c r="AC274" s="7">
        <v>-0.6</v>
      </c>
      <c r="AD274" s="7">
        <v>106.1</v>
      </c>
      <c r="AE274" s="7">
        <v>107</v>
      </c>
      <c r="AF274" s="7">
        <v>-0.9</v>
      </c>
      <c r="AG274" s="7">
        <v>13.5</v>
      </c>
      <c r="AH274" s="7">
        <v>0.86</v>
      </c>
      <c r="AI274" s="7">
        <v>10.9</v>
      </c>
      <c r="AJ274" s="7">
        <v>6.7</v>
      </c>
      <c r="AK274" s="7">
        <v>20.100000000000001</v>
      </c>
      <c r="AL274" s="7">
        <v>13.1</v>
      </c>
      <c r="AM274" s="7">
        <v>12.7</v>
      </c>
      <c r="AN274" s="7">
        <v>61.6</v>
      </c>
      <c r="AO274" s="7">
        <v>64.900000000000006</v>
      </c>
      <c r="AP274" s="7">
        <v>25.4</v>
      </c>
      <c r="AQ274" s="7">
        <v>99.97</v>
      </c>
      <c r="AR274" s="7">
        <v>16.5</v>
      </c>
      <c r="AS274" s="7">
        <v>1172</v>
      </c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1"/>
    </row>
    <row r="275" spans="1:70" ht="13">
      <c r="A275" s="6" t="s">
        <v>587</v>
      </c>
      <c r="B275" s="6" t="s">
        <v>588</v>
      </c>
      <c r="C275" s="7">
        <v>26</v>
      </c>
      <c r="D275" s="7">
        <v>61</v>
      </c>
      <c r="E275" s="7">
        <v>23</v>
      </c>
      <c r="F275" s="7">
        <v>38</v>
      </c>
      <c r="G275" s="7">
        <v>11.2</v>
      </c>
      <c r="H275" s="8">
        <v>384</v>
      </c>
      <c r="I275" s="9">
        <v>140</v>
      </c>
      <c r="J275" s="9">
        <v>281</v>
      </c>
      <c r="K275" s="8">
        <v>50.2</v>
      </c>
      <c r="L275" s="9">
        <v>61</v>
      </c>
      <c r="M275" s="9">
        <v>159</v>
      </c>
      <c r="N275" s="8">
        <v>37.299999999999997</v>
      </c>
      <c r="O275" s="8">
        <v>43</v>
      </c>
      <c r="P275" s="8">
        <v>61</v>
      </c>
      <c r="Q275" s="8">
        <v>74.099999999999994</v>
      </c>
      <c r="R275" s="9">
        <v>61</v>
      </c>
      <c r="S275" s="9">
        <v>122</v>
      </c>
      <c r="T275" s="9">
        <v>189</v>
      </c>
      <c r="U275" s="9">
        <v>49</v>
      </c>
      <c r="V275" s="9">
        <v>24</v>
      </c>
      <c r="W275" s="9">
        <v>18</v>
      </c>
      <c r="X275" s="9">
        <v>18</v>
      </c>
      <c r="Y275" s="9">
        <v>61</v>
      </c>
      <c r="Z275" s="8">
        <v>769</v>
      </c>
      <c r="AA275" s="8">
        <v>2</v>
      </c>
      <c r="AB275" s="8">
        <v>0</v>
      </c>
      <c r="AC275" s="7">
        <v>-0.5</v>
      </c>
      <c r="AD275" s="7">
        <v>111.6</v>
      </c>
      <c r="AE275" s="7">
        <v>112.9</v>
      </c>
      <c r="AF275" s="7">
        <v>-1.4</v>
      </c>
      <c r="AG275" s="7">
        <v>10.8</v>
      </c>
      <c r="AH275" s="7">
        <v>1.85</v>
      </c>
      <c r="AI275" s="7">
        <v>12.6</v>
      </c>
      <c r="AJ275" s="7">
        <v>8.6</v>
      </c>
      <c r="AK275" s="7">
        <v>17.600000000000001</v>
      </c>
      <c r="AL275" s="7">
        <v>13.1</v>
      </c>
      <c r="AM275" s="7">
        <v>6.8</v>
      </c>
      <c r="AN275" s="7">
        <v>60.9</v>
      </c>
      <c r="AO275" s="7">
        <v>62.8</v>
      </c>
      <c r="AP275" s="7">
        <v>20.2</v>
      </c>
      <c r="AQ275" s="7">
        <v>102.07</v>
      </c>
      <c r="AR275" s="7">
        <v>12.4</v>
      </c>
      <c r="AS275" s="7">
        <v>1445</v>
      </c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1"/>
    </row>
    <row r="276" spans="1:70" ht="13">
      <c r="A276" s="6" t="s">
        <v>589</v>
      </c>
      <c r="B276" s="6" t="s">
        <v>590</v>
      </c>
      <c r="C276" s="7">
        <v>34</v>
      </c>
      <c r="D276" s="7">
        <v>44</v>
      </c>
      <c r="E276" s="7">
        <v>12</v>
      </c>
      <c r="F276" s="7">
        <v>32</v>
      </c>
      <c r="G276" s="7">
        <v>20.2</v>
      </c>
      <c r="H276" s="8">
        <v>383</v>
      </c>
      <c r="I276" s="9">
        <v>132</v>
      </c>
      <c r="J276" s="9">
        <v>268</v>
      </c>
      <c r="K276" s="8">
        <v>50</v>
      </c>
      <c r="L276" s="9">
        <v>35</v>
      </c>
      <c r="M276" s="9">
        <v>79</v>
      </c>
      <c r="N276" s="8">
        <v>41.8</v>
      </c>
      <c r="O276" s="8">
        <v>84</v>
      </c>
      <c r="P276" s="8">
        <v>110</v>
      </c>
      <c r="Q276" s="8">
        <v>76.900000000000006</v>
      </c>
      <c r="R276" s="9">
        <v>62</v>
      </c>
      <c r="S276" s="9">
        <v>145</v>
      </c>
      <c r="T276" s="9">
        <v>207</v>
      </c>
      <c r="U276" s="9">
        <v>128</v>
      </c>
      <c r="V276" s="9">
        <v>75</v>
      </c>
      <c r="W276" s="9">
        <v>35</v>
      </c>
      <c r="X276" s="9">
        <v>18</v>
      </c>
      <c r="Y276" s="9">
        <v>123</v>
      </c>
      <c r="Z276" s="8">
        <v>902</v>
      </c>
      <c r="AA276" s="8">
        <v>2</v>
      </c>
      <c r="AB276" s="8">
        <v>0</v>
      </c>
      <c r="AC276" s="7">
        <v>-1.3</v>
      </c>
      <c r="AD276" s="7">
        <v>110.7</v>
      </c>
      <c r="AE276" s="7">
        <v>113.4</v>
      </c>
      <c r="AF276" s="7">
        <v>-2.7</v>
      </c>
      <c r="AG276" s="7">
        <v>20</v>
      </c>
      <c r="AH276" s="7">
        <v>1.68</v>
      </c>
      <c r="AI276" s="7">
        <v>24.4</v>
      </c>
      <c r="AJ276" s="7">
        <v>6.9</v>
      </c>
      <c r="AK276" s="7">
        <v>15.4</v>
      </c>
      <c r="AL276" s="7">
        <v>11.2</v>
      </c>
      <c r="AM276" s="7">
        <v>14.5</v>
      </c>
      <c r="AN276" s="7">
        <v>56.2</v>
      </c>
      <c r="AO276" s="7">
        <v>60.9</v>
      </c>
      <c r="AP276" s="7">
        <v>18.5</v>
      </c>
      <c r="AQ276" s="7">
        <v>100.28</v>
      </c>
      <c r="AR276" s="7">
        <v>9.8000000000000007</v>
      </c>
      <c r="AS276" s="7">
        <v>1858</v>
      </c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1"/>
    </row>
    <row r="277" spans="1:70" ht="13">
      <c r="A277" s="6" t="s">
        <v>591</v>
      </c>
      <c r="B277" s="6" t="s">
        <v>592</v>
      </c>
      <c r="C277" s="7">
        <v>31</v>
      </c>
      <c r="D277" s="7">
        <v>54</v>
      </c>
      <c r="E277" s="7">
        <v>44</v>
      </c>
      <c r="F277" s="7">
        <v>10</v>
      </c>
      <c r="G277" s="7">
        <v>19.3</v>
      </c>
      <c r="H277" s="8">
        <v>383</v>
      </c>
      <c r="I277" s="9">
        <v>140</v>
      </c>
      <c r="J277" s="9">
        <v>313</v>
      </c>
      <c r="K277" s="8">
        <v>44.6</v>
      </c>
      <c r="L277" s="9">
        <v>59</v>
      </c>
      <c r="M277" s="9">
        <v>167</v>
      </c>
      <c r="N277" s="8">
        <v>35.299999999999997</v>
      </c>
      <c r="O277" s="8">
        <v>43</v>
      </c>
      <c r="P277" s="8">
        <v>49</v>
      </c>
      <c r="Q277" s="8">
        <v>82.4</v>
      </c>
      <c r="R277" s="9">
        <v>38</v>
      </c>
      <c r="S277" s="9">
        <v>119</v>
      </c>
      <c r="T277" s="9">
        <v>157</v>
      </c>
      <c r="U277" s="9">
        <v>135</v>
      </c>
      <c r="V277" s="9">
        <v>38</v>
      </c>
      <c r="W277" s="9">
        <v>86</v>
      </c>
      <c r="X277" s="9">
        <v>32</v>
      </c>
      <c r="Y277" s="9">
        <v>103</v>
      </c>
      <c r="Z277" s="8">
        <v>1091</v>
      </c>
      <c r="AA277" s="8">
        <v>0</v>
      </c>
      <c r="AB277" s="8">
        <v>0</v>
      </c>
      <c r="AC277" s="7">
        <v>5.9</v>
      </c>
      <c r="AD277" s="7">
        <v>117.5</v>
      </c>
      <c r="AE277" s="7">
        <v>102.5</v>
      </c>
      <c r="AF277" s="7">
        <v>15</v>
      </c>
      <c r="AG277" s="7">
        <v>17.100000000000001</v>
      </c>
      <c r="AH277" s="7">
        <v>3.7</v>
      </c>
      <c r="AI277" s="7">
        <v>26.9</v>
      </c>
      <c r="AJ277" s="7">
        <v>3.5</v>
      </c>
      <c r="AK277" s="7">
        <v>10.8</v>
      </c>
      <c r="AL277" s="7">
        <v>7.2</v>
      </c>
      <c r="AM277" s="7">
        <v>7.3</v>
      </c>
      <c r="AN277" s="7">
        <v>54.1</v>
      </c>
      <c r="AO277" s="7">
        <v>56.8</v>
      </c>
      <c r="AP277" s="7">
        <v>14.7</v>
      </c>
      <c r="AQ277" s="7">
        <v>102.7</v>
      </c>
      <c r="AR277" s="7">
        <v>10.1</v>
      </c>
      <c r="AS277" s="7">
        <v>2221</v>
      </c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1"/>
    </row>
    <row r="278" spans="1:70" ht="13">
      <c r="A278" s="6" t="s">
        <v>593</v>
      </c>
      <c r="B278" s="6" t="s">
        <v>594</v>
      </c>
      <c r="C278" s="7">
        <v>27</v>
      </c>
      <c r="D278" s="7">
        <v>71</v>
      </c>
      <c r="E278" s="7">
        <v>35</v>
      </c>
      <c r="F278" s="7">
        <v>36</v>
      </c>
      <c r="G278" s="7">
        <v>15.4</v>
      </c>
      <c r="H278" s="8">
        <v>383</v>
      </c>
      <c r="I278" s="9">
        <v>135</v>
      </c>
      <c r="J278" s="9">
        <v>327</v>
      </c>
      <c r="K278" s="8">
        <v>41.4</v>
      </c>
      <c r="L278" s="9">
        <v>36</v>
      </c>
      <c r="M278" s="9">
        <v>149</v>
      </c>
      <c r="N278" s="8">
        <v>25.8</v>
      </c>
      <c r="O278" s="8">
        <v>71</v>
      </c>
      <c r="P278" s="8">
        <v>107</v>
      </c>
      <c r="Q278" s="8">
        <v>68.2</v>
      </c>
      <c r="R278" s="9">
        <v>121</v>
      </c>
      <c r="S278" s="9">
        <v>192</v>
      </c>
      <c r="T278" s="9">
        <v>312</v>
      </c>
      <c r="U278" s="9">
        <v>43</v>
      </c>
      <c r="V278" s="9">
        <v>36</v>
      </c>
      <c r="W278" s="9">
        <v>64</v>
      </c>
      <c r="X278" s="9">
        <v>78</v>
      </c>
      <c r="Y278" s="9">
        <v>92</v>
      </c>
      <c r="Z278" s="8">
        <v>1207</v>
      </c>
      <c r="AA278" s="8">
        <v>2</v>
      </c>
      <c r="AB278" s="8">
        <v>0</v>
      </c>
      <c r="AC278" s="7">
        <v>-0.5</v>
      </c>
      <c r="AD278" s="7">
        <v>105.9</v>
      </c>
      <c r="AE278" s="7">
        <v>106.6</v>
      </c>
      <c r="AF278" s="7">
        <v>-0.7</v>
      </c>
      <c r="AG278" s="7">
        <v>5.6</v>
      </c>
      <c r="AH278" s="7">
        <v>1.21</v>
      </c>
      <c r="AI278" s="7">
        <v>9</v>
      </c>
      <c r="AJ278" s="7">
        <v>10</v>
      </c>
      <c r="AK278" s="7">
        <v>18.8</v>
      </c>
      <c r="AL278" s="7">
        <v>14.1</v>
      </c>
      <c r="AM278" s="7">
        <v>7.4</v>
      </c>
      <c r="AN278" s="7">
        <v>47.4</v>
      </c>
      <c r="AO278" s="7">
        <v>51.2</v>
      </c>
      <c r="AP278" s="7">
        <v>15.5</v>
      </c>
      <c r="AQ278" s="7">
        <v>98.62</v>
      </c>
      <c r="AR278" s="7">
        <v>10.8</v>
      </c>
      <c r="AS278" s="7">
        <v>2229</v>
      </c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1"/>
    </row>
    <row r="279" spans="1:70" ht="13">
      <c r="A279" s="6" t="s">
        <v>595</v>
      </c>
      <c r="B279" s="6" t="s">
        <v>596</v>
      </c>
      <c r="C279" s="7">
        <v>25</v>
      </c>
      <c r="D279" s="7">
        <v>56</v>
      </c>
      <c r="E279" s="7">
        <v>38</v>
      </c>
      <c r="F279" s="7">
        <v>18</v>
      </c>
      <c r="G279" s="7">
        <v>19.5</v>
      </c>
      <c r="H279" s="8">
        <v>381</v>
      </c>
      <c r="I279" s="9">
        <v>162</v>
      </c>
      <c r="J279" s="9">
        <v>224</v>
      </c>
      <c r="K279" s="8">
        <v>72.2</v>
      </c>
      <c r="L279" s="8">
        <v>0</v>
      </c>
      <c r="M279" s="9">
        <v>6</v>
      </c>
      <c r="N279" s="8">
        <v>0</v>
      </c>
      <c r="O279" s="8">
        <v>62</v>
      </c>
      <c r="P279" s="8">
        <v>101</v>
      </c>
      <c r="Q279" s="8">
        <v>62.2</v>
      </c>
      <c r="R279" s="9">
        <v>78</v>
      </c>
      <c r="S279" s="9">
        <v>190</v>
      </c>
      <c r="T279" s="9">
        <v>269</v>
      </c>
      <c r="U279" s="9">
        <v>56</v>
      </c>
      <c r="V279" s="9">
        <v>45</v>
      </c>
      <c r="W279" s="9">
        <v>34</v>
      </c>
      <c r="X279" s="9">
        <v>50</v>
      </c>
      <c r="Y279" s="9">
        <v>134</v>
      </c>
      <c r="Z279" s="8">
        <v>997</v>
      </c>
      <c r="AA279" s="8">
        <v>2</v>
      </c>
      <c r="AB279" s="8">
        <v>0</v>
      </c>
      <c r="AC279" s="7">
        <v>1.6</v>
      </c>
      <c r="AD279" s="7">
        <v>112.3</v>
      </c>
      <c r="AE279" s="7">
        <v>109.8</v>
      </c>
      <c r="AF279" s="7">
        <v>2.5</v>
      </c>
      <c r="AG279" s="7">
        <v>7.6</v>
      </c>
      <c r="AH279" s="7">
        <v>1.35</v>
      </c>
      <c r="AI279" s="7">
        <v>15.8</v>
      </c>
      <c r="AJ279" s="7">
        <v>7.4</v>
      </c>
      <c r="AK279" s="7">
        <v>16.3</v>
      </c>
      <c r="AL279" s="7">
        <v>12.1</v>
      </c>
      <c r="AM279" s="7">
        <v>11.7</v>
      </c>
      <c r="AN279" s="7">
        <v>72.2</v>
      </c>
      <c r="AO279" s="7">
        <v>72</v>
      </c>
      <c r="AP279" s="7">
        <v>12</v>
      </c>
      <c r="AQ279" s="7">
        <v>100.51</v>
      </c>
      <c r="AR279" s="7">
        <v>9.6999999999999993</v>
      </c>
      <c r="AS279" s="7">
        <v>2301</v>
      </c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1"/>
    </row>
    <row r="280" spans="1:70" ht="13">
      <c r="A280" s="6" t="s">
        <v>597</v>
      </c>
      <c r="B280" s="6" t="s">
        <v>598</v>
      </c>
      <c r="C280" s="7">
        <v>24</v>
      </c>
      <c r="D280" s="7">
        <v>58</v>
      </c>
      <c r="E280" s="7">
        <v>26</v>
      </c>
      <c r="F280" s="7">
        <v>32</v>
      </c>
      <c r="G280" s="7">
        <v>12.5</v>
      </c>
      <c r="H280" s="8">
        <v>377</v>
      </c>
      <c r="I280" s="9">
        <v>133</v>
      </c>
      <c r="J280" s="9">
        <v>290</v>
      </c>
      <c r="K280" s="8">
        <v>45.7</v>
      </c>
      <c r="L280" s="9">
        <v>41</v>
      </c>
      <c r="M280" s="9">
        <v>122</v>
      </c>
      <c r="N280" s="8">
        <v>33.6</v>
      </c>
      <c r="O280" s="8">
        <v>70</v>
      </c>
      <c r="P280" s="8">
        <v>99</v>
      </c>
      <c r="Q280" s="8">
        <v>73.5</v>
      </c>
      <c r="R280" s="9">
        <v>17</v>
      </c>
      <c r="S280" s="9">
        <v>81</v>
      </c>
      <c r="T280" s="9">
        <v>99</v>
      </c>
      <c r="U280" s="9">
        <v>81</v>
      </c>
      <c r="V280" s="9">
        <v>41</v>
      </c>
      <c r="W280" s="9">
        <v>23</v>
      </c>
      <c r="X280" s="9">
        <v>12</v>
      </c>
      <c r="Y280" s="9">
        <v>58</v>
      </c>
      <c r="Z280" s="8">
        <v>679</v>
      </c>
      <c r="AA280" s="8">
        <v>0</v>
      </c>
      <c r="AB280" s="8">
        <v>0</v>
      </c>
      <c r="AC280" s="7">
        <v>0.3</v>
      </c>
      <c r="AD280" s="7">
        <v>111.4</v>
      </c>
      <c r="AE280" s="7">
        <v>109.8</v>
      </c>
      <c r="AF280" s="7">
        <v>1.7</v>
      </c>
      <c r="AG280" s="7">
        <v>16.2</v>
      </c>
      <c r="AH280" s="7">
        <v>2.08</v>
      </c>
      <c r="AI280" s="7">
        <v>18.100000000000001</v>
      </c>
      <c r="AJ280" s="7">
        <v>2.5</v>
      </c>
      <c r="AK280" s="7">
        <v>9.6999999999999993</v>
      </c>
      <c r="AL280" s="7">
        <v>6.3</v>
      </c>
      <c r="AM280" s="7">
        <v>8.6999999999999993</v>
      </c>
      <c r="AN280" s="7">
        <v>52.7</v>
      </c>
      <c r="AO280" s="7">
        <v>56.7</v>
      </c>
      <c r="AP280" s="7">
        <v>20.8</v>
      </c>
      <c r="AQ280" s="7">
        <v>106.82</v>
      </c>
      <c r="AR280" s="7">
        <v>9</v>
      </c>
      <c r="AS280" s="7">
        <v>1607</v>
      </c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1"/>
    </row>
    <row r="281" spans="1:70" ht="13">
      <c r="A281" s="6" t="s">
        <v>599</v>
      </c>
      <c r="B281" s="6" t="s">
        <v>600</v>
      </c>
      <c r="C281" s="7">
        <v>24</v>
      </c>
      <c r="D281" s="7">
        <v>57</v>
      </c>
      <c r="E281" s="7">
        <v>30</v>
      </c>
      <c r="F281" s="7">
        <v>27</v>
      </c>
      <c r="G281" s="7">
        <v>14.2</v>
      </c>
      <c r="H281" s="8">
        <v>376</v>
      </c>
      <c r="I281" s="9">
        <v>137</v>
      </c>
      <c r="J281" s="9">
        <v>296</v>
      </c>
      <c r="K281" s="8">
        <v>46.3</v>
      </c>
      <c r="L281" s="9">
        <v>57</v>
      </c>
      <c r="M281" s="9">
        <v>154</v>
      </c>
      <c r="N281" s="8">
        <v>38.200000000000003</v>
      </c>
      <c r="O281" s="8">
        <v>46</v>
      </c>
      <c r="P281" s="8">
        <v>51</v>
      </c>
      <c r="Q281" s="8">
        <v>84.3</v>
      </c>
      <c r="R281" s="9">
        <v>17</v>
      </c>
      <c r="S281" s="9">
        <v>51</v>
      </c>
      <c r="T281" s="9">
        <v>68</v>
      </c>
      <c r="U281" s="9">
        <v>131</v>
      </c>
      <c r="V281" s="9">
        <v>51</v>
      </c>
      <c r="W281" s="9">
        <v>34</v>
      </c>
      <c r="X281" s="9">
        <v>6</v>
      </c>
      <c r="Y281" s="9">
        <v>74</v>
      </c>
      <c r="Z281" s="8">
        <v>724</v>
      </c>
      <c r="AA281" s="8">
        <v>1</v>
      </c>
      <c r="AB281" s="8">
        <v>0</v>
      </c>
      <c r="AC281" s="7">
        <v>0.7</v>
      </c>
      <c r="AD281" s="7">
        <v>110.4</v>
      </c>
      <c r="AE281" s="7">
        <v>107.5</v>
      </c>
      <c r="AF281" s="7">
        <v>2.9</v>
      </c>
      <c r="AG281" s="7">
        <v>23.9</v>
      </c>
      <c r="AH281" s="7">
        <v>2.46</v>
      </c>
      <c r="AI281" s="7">
        <v>26.4</v>
      </c>
      <c r="AJ281" s="7">
        <v>2.1</v>
      </c>
      <c r="AK281" s="7">
        <v>6</v>
      </c>
      <c r="AL281" s="7">
        <v>4</v>
      </c>
      <c r="AM281" s="7">
        <v>10.7</v>
      </c>
      <c r="AN281" s="7">
        <v>56.1</v>
      </c>
      <c r="AO281" s="7">
        <v>58.9</v>
      </c>
      <c r="AP281" s="7">
        <v>18.7</v>
      </c>
      <c r="AQ281" s="7">
        <v>102</v>
      </c>
      <c r="AR281" s="7">
        <v>9.5</v>
      </c>
      <c r="AS281" s="7">
        <v>1719</v>
      </c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1"/>
    </row>
    <row r="282" spans="1:70" ht="13">
      <c r="A282" s="6" t="s">
        <v>601</v>
      </c>
      <c r="B282" s="6" t="s">
        <v>602</v>
      </c>
      <c r="C282" s="7">
        <v>25</v>
      </c>
      <c r="D282" s="7">
        <v>57</v>
      </c>
      <c r="E282" s="7">
        <v>36</v>
      </c>
      <c r="F282" s="7">
        <v>21</v>
      </c>
      <c r="G282" s="7">
        <v>20.5</v>
      </c>
      <c r="H282" s="8">
        <v>376</v>
      </c>
      <c r="I282" s="9">
        <v>165</v>
      </c>
      <c r="J282" s="9">
        <v>325</v>
      </c>
      <c r="K282" s="8">
        <v>50.2</v>
      </c>
      <c r="L282" s="9">
        <v>11</v>
      </c>
      <c r="M282" s="9">
        <v>34</v>
      </c>
      <c r="N282" s="8">
        <v>27.8</v>
      </c>
      <c r="O282" s="8">
        <v>40</v>
      </c>
      <c r="P282" s="8">
        <v>68</v>
      </c>
      <c r="Q282" s="8">
        <v>59.4</v>
      </c>
      <c r="R282" s="9">
        <v>103</v>
      </c>
      <c r="S282" s="9">
        <v>217</v>
      </c>
      <c r="T282" s="9">
        <v>319</v>
      </c>
      <c r="U282" s="9">
        <v>57</v>
      </c>
      <c r="V282" s="9">
        <v>46</v>
      </c>
      <c r="W282" s="9">
        <v>46</v>
      </c>
      <c r="X282" s="9">
        <v>40</v>
      </c>
      <c r="Y282" s="9">
        <v>80</v>
      </c>
      <c r="Z282" s="8">
        <v>1066</v>
      </c>
      <c r="AA282" s="8">
        <v>3</v>
      </c>
      <c r="AB282" s="8">
        <v>0</v>
      </c>
      <c r="AC282" s="7">
        <v>-0.8</v>
      </c>
      <c r="AD282" s="7">
        <v>110.2</v>
      </c>
      <c r="AE282" s="7">
        <v>111.4</v>
      </c>
      <c r="AF282" s="7">
        <v>-1.2</v>
      </c>
      <c r="AG282" s="7">
        <v>6.5</v>
      </c>
      <c r="AH282" s="7">
        <v>1.22</v>
      </c>
      <c r="AI282" s="7">
        <v>12.1</v>
      </c>
      <c r="AJ282" s="7">
        <v>8.4</v>
      </c>
      <c r="AK282" s="7">
        <v>18.8</v>
      </c>
      <c r="AL282" s="7">
        <v>13.5</v>
      </c>
      <c r="AM282" s="7">
        <v>9.9</v>
      </c>
      <c r="AN282" s="7">
        <v>51.7</v>
      </c>
      <c r="AO282" s="7">
        <v>53</v>
      </c>
      <c r="AP282" s="7">
        <v>14.3</v>
      </c>
      <c r="AQ282" s="7">
        <v>100.16</v>
      </c>
      <c r="AR282" s="7">
        <v>9.1999999999999993</v>
      </c>
      <c r="AS282" s="7">
        <v>2432</v>
      </c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1"/>
    </row>
    <row r="283" spans="1:70" ht="13">
      <c r="A283" s="6" t="s">
        <v>603</v>
      </c>
      <c r="B283" s="6" t="s">
        <v>604</v>
      </c>
      <c r="C283" s="7">
        <v>21</v>
      </c>
      <c r="D283" s="7">
        <v>79</v>
      </c>
      <c r="E283" s="7">
        <v>37</v>
      </c>
      <c r="F283" s="7">
        <v>42</v>
      </c>
      <c r="G283" s="7">
        <v>14.2</v>
      </c>
      <c r="H283" s="8">
        <v>363</v>
      </c>
      <c r="I283" s="9">
        <v>126</v>
      </c>
      <c r="J283" s="9">
        <v>284</v>
      </c>
      <c r="K283" s="8">
        <v>44.6</v>
      </c>
      <c r="L283" s="9">
        <v>47</v>
      </c>
      <c r="M283" s="9">
        <v>150</v>
      </c>
      <c r="N283" s="8">
        <v>32.700000000000003</v>
      </c>
      <c r="O283" s="8">
        <v>63</v>
      </c>
      <c r="P283" s="8">
        <v>79</v>
      </c>
      <c r="Q283" s="8">
        <v>78.900000000000006</v>
      </c>
      <c r="R283" s="9">
        <v>63</v>
      </c>
      <c r="S283" s="9">
        <v>103</v>
      </c>
      <c r="T283" s="9">
        <v>166</v>
      </c>
      <c r="U283" s="9">
        <v>40</v>
      </c>
      <c r="V283" s="9">
        <v>24</v>
      </c>
      <c r="W283" s="9">
        <v>40</v>
      </c>
      <c r="X283" s="9">
        <v>24</v>
      </c>
      <c r="Y283" s="9">
        <v>111</v>
      </c>
      <c r="Z283" s="8">
        <v>774</v>
      </c>
      <c r="AA283" s="8">
        <v>0</v>
      </c>
      <c r="AB283" s="8">
        <v>0</v>
      </c>
      <c r="AC283" s="7">
        <v>0.4</v>
      </c>
      <c r="AD283" s="7">
        <v>112.9</v>
      </c>
      <c r="AE283" s="7">
        <v>111.1</v>
      </c>
      <c r="AF283" s="7">
        <v>1.8</v>
      </c>
      <c r="AG283" s="7">
        <v>4.5</v>
      </c>
      <c r="AH283" s="7">
        <v>1.44</v>
      </c>
      <c r="AI283" s="7">
        <v>10.1</v>
      </c>
      <c r="AJ283" s="7">
        <v>5.6</v>
      </c>
      <c r="AK283" s="7">
        <v>8.1999999999999993</v>
      </c>
      <c r="AL283" s="7">
        <v>7</v>
      </c>
      <c r="AM283" s="7">
        <v>7</v>
      </c>
      <c r="AN283" s="7">
        <v>53.3</v>
      </c>
      <c r="AO283" s="7">
        <v>57.1</v>
      </c>
      <c r="AP283" s="7">
        <v>12.6</v>
      </c>
      <c r="AQ283" s="7">
        <v>104</v>
      </c>
      <c r="AR283" s="7">
        <v>5.5</v>
      </c>
      <c r="AS283" s="7">
        <v>2427</v>
      </c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1"/>
    </row>
    <row r="284" spans="1:70" ht="13">
      <c r="A284" s="6" t="s">
        <v>605</v>
      </c>
      <c r="B284" s="6" t="s">
        <v>606</v>
      </c>
      <c r="C284" s="7">
        <v>31</v>
      </c>
      <c r="D284" s="7">
        <v>61</v>
      </c>
      <c r="E284" s="7">
        <v>30</v>
      </c>
      <c r="F284" s="7">
        <v>31</v>
      </c>
      <c r="G284" s="7">
        <v>16.399999999999999</v>
      </c>
      <c r="H284" s="8">
        <v>360</v>
      </c>
      <c r="I284" s="9">
        <v>140</v>
      </c>
      <c r="J284" s="9">
        <v>305</v>
      </c>
      <c r="K284" s="8">
        <v>46.9</v>
      </c>
      <c r="L284" s="9">
        <v>24</v>
      </c>
      <c r="M284" s="9">
        <v>67</v>
      </c>
      <c r="N284" s="8">
        <v>35.700000000000003</v>
      </c>
      <c r="O284" s="8">
        <v>49</v>
      </c>
      <c r="P284" s="8">
        <v>67</v>
      </c>
      <c r="Q284" s="8">
        <v>73.8</v>
      </c>
      <c r="R284" s="9">
        <v>55</v>
      </c>
      <c r="S284" s="9">
        <v>153</v>
      </c>
      <c r="T284" s="9">
        <v>207</v>
      </c>
      <c r="U284" s="9">
        <v>146</v>
      </c>
      <c r="V284" s="9">
        <v>37</v>
      </c>
      <c r="W284" s="9">
        <v>43</v>
      </c>
      <c r="X284" s="9">
        <v>31</v>
      </c>
      <c r="Y284" s="9">
        <v>79</v>
      </c>
      <c r="Z284" s="8">
        <v>1007</v>
      </c>
      <c r="AA284" s="8">
        <v>2</v>
      </c>
      <c r="AB284" s="8">
        <v>0</v>
      </c>
      <c r="AC284" s="7">
        <v>-0.4</v>
      </c>
      <c r="AD284" s="7">
        <v>106.1</v>
      </c>
      <c r="AE284" s="7">
        <v>107.6</v>
      </c>
      <c r="AF284" s="7">
        <v>-1.5</v>
      </c>
      <c r="AG284" s="7">
        <v>21.1</v>
      </c>
      <c r="AH284" s="7">
        <v>3.92</v>
      </c>
      <c r="AI284" s="7">
        <v>28.3</v>
      </c>
      <c r="AJ284" s="7">
        <v>4.9000000000000004</v>
      </c>
      <c r="AK284" s="7">
        <v>14.8</v>
      </c>
      <c r="AL284" s="7">
        <v>9.6999999999999993</v>
      </c>
      <c r="AM284" s="7">
        <v>7.2</v>
      </c>
      <c r="AN284" s="7">
        <v>51</v>
      </c>
      <c r="AO284" s="7">
        <v>53.8</v>
      </c>
      <c r="AP284" s="7">
        <v>15.2</v>
      </c>
      <c r="AQ284" s="7">
        <v>100.06</v>
      </c>
      <c r="AR284" s="7">
        <v>10.8</v>
      </c>
      <c r="AS284" s="7">
        <v>2093</v>
      </c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1"/>
    </row>
    <row r="285" spans="1:70" ht="13">
      <c r="A285" s="6" t="s">
        <v>607</v>
      </c>
      <c r="B285" s="6" t="s">
        <v>608</v>
      </c>
      <c r="C285" s="7">
        <v>29</v>
      </c>
      <c r="D285" s="7">
        <v>53</v>
      </c>
      <c r="E285" s="7">
        <v>16</v>
      </c>
      <c r="F285" s="7">
        <v>37</v>
      </c>
      <c r="G285" s="7">
        <v>22.1</v>
      </c>
      <c r="H285" s="8">
        <v>360</v>
      </c>
      <c r="I285" s="9">
        <v>138</v>
      </c>
      <c r="J285" s="9">
        <v>323</v>
      </c>
      <c r="K285" s="8">
        <v>41.8</v>
      </c>
      <c r="L285" s="9">
        <v>42</v>
      </c>
      <c r="M285" s="9">
        <v>148</v>
      </c>
      <c r="N285" s="8">
        <v>28.5</v>
      </c>
      <c r="O285" s="8">
        <v>42</v>
      </c>
      <c r="P285" s="8">
        <v>64</v>
      </c>
      <c r="Q285" s="8">
        <v>70.5</v>
      </c>
      <c r="R285" s="9">
        <v>53</v>
      </c>
      <c r="S285" s="9">
        <v>170</v>
      </c>
      <c r="T285" s="9">
        <v>223</v>
      </c>
      <c r="U285" s="9">
        <v>106</v>
      </c>
      <c r="V285" s="9">
        <v>53</v>
      </c>
      <c r="W285" s="9">
        <v>58</v>
      </c>
      <c r="X285" s="9">
        <v>32</v>
      </c>
      <c r="Y285" s="9">
        <v>95</v>
      </c>
      <c r="Z285" s="8">
        <v>996</v>
      </c>
      <c r="AA285" s="8">
        <v>0</v>
      </c>
      <c r="AB285" s="8">
        <v>0</v>
      </c>
      <c r="AC285" s="7">
        <v>-2</v>
      </c>
      <c r="AD285" s="7">
        <v>108.1</v>
      </c>
      <c r="AE285" s="7">
        <v>111.3</v>
      </c>
      <c r="AF285" s="7">
        <v>-3.2</v>
      </c>
      <c r="AG285" s="7">
        <v>12.8</v>
      </c>
      <c r="AH285" s="7">
        <v>2.06</v>
      </c>
      <c r="AI285" s="7">
        <v>20.6</v>
      </c>
      <c r="AJ285" s="7">
        <v>4.0999999999999996</v>
      </c>
      <c r="AK285" s="7">
        <v>13.6</v>
      </c>
      <c r="AL285" s="7">
        <v>8.8000000000000007</v>
      </c>
      <c r="AM285" s="7">
        <v>10</v>
      </c>
      <c r="AN285" s="7">
        <v>48.5</v>
      </c>
      <c r="AO285" s="7">
        <v>50.9</v>
      </c>
      <c r="AP285" s="7">
        <v>14.2</v>
      </c>
      <c r="AQ285" s="7">
        <v>101.2</v>
      </c>
      <c r="AR285" s="7">
        <v>8</v>
      </c>
      <c r="AS285" s="7">
        <v>2462</v>
      </c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1"/>
    </row>
    <row r="286" spans="1:70" ht="13">
      <c r="A286" s="6" t="s">
        <v>609</v>
      </c>
      <c r="B286" s="6" t="s">
        <v>610</v>
      </c>
      <c r="C286" s="7">
        <v>33</v>
      </c>
      <c r="D286" s="7">
        <v>49</v>
      </c>
      <c r="E286" s="7">
        <v>26</v>
      </c>
      <c r="F286" s="7">
        <v>23</v>
      </c>
      <c r="G286" s="7">
        <v>17.600000000000001</v>
      </c>
      <c r="H286" s="8">
        <v>358</v>
      </c>
      <c r="I286" s="9">
        <v>113</v>
      </c>
      <c r="J286" s="9">
        <v>270</v>
      </c>
      <c r="K286" s="8">
        <v>42.4</v>
      </c>
      <c r="L286" s="9">
        <v>88</v>
      </c>
      <c r="M286" s="9">
        <v>206</v>
      </c>
      <c r="N286" s="8">
        <v>42.5</v>
      </c>
      <c r="O286" s="8">
        <v>39</v>
      </c>
      <c r="P286" s="8">
        <v>49</v>
      </c>
      <c r="Q286" s="8">
        <v>77.599999999999994</v>
      </c>
      <c r="R286" s="9">
        <v>15</v>
      </c>
      <c r="S286" s="9">
        <v>108</v>
      </c>
      <c r="T286" s="9">
        <v>123</v>
      </c>
      <c r="U286" s="9">
        <v>54</v>
      </c>
      <c r="V286" s="9">
        <v>29</v>
      </c>
      <c r="W286" s="9">
        <v>29</v>
      </c>
      <c r="X286" s="9">
        <v>5</v>
      </c>
      <c r="Y286" s="9">
        <v>39</v>
      </c>
      <c r="Z286" s="8">
        <v>662</v>
      </c>
      <c r="AA286" s="8">
        <v>0</v>
      </c>
      <c r="AB286" s="8">
        <v>0</v>
      </c>
      <c r="AC286" s="7">
        <v>2.2000000000000002</v>
      </c>
      <c r="AD286" s="7">
        <v>113.5</v>
      </c>
      <c r="AE286" s="7">
        <v>107.6</v>
      </c>
      <c r="AF286" s="7">
        <v>5.9</v>
      </c>
      <c r="AG286" s="7">
        <v>9</v>
      </c>
      <c r="AH286" s="7">
        <v>1.9</v>
      </c>
      <c r="AI286" s="7">
        <v>14.7</v>
      </c>
      <c r="AJ286" s="7">
        <v>1.8</v>
      </c>
      <c r="AK286" s="7">
        <v>11.9</v>
      </c>
      <c r="AL286" s="7">
        <v>7</v>
      </c>
      <c r="AM286" s="7">
        <v>7.8</v>
      </c>
      <c r="AN286" s="7">
        <v>58.7</v>
      </c>
      <c r="AO286" s="7">
        <v>60.8</v>
      </c>
      <c r="AP286" s="7">
        <v>16</v>
      </c>
      <c r="AQ286" s="7">
        <v>98.03</v>
      </c>
      <c r="AR286" s="7">
        <v>8.8000000000000007</v>
      </c>
      <c r="AS286" s="7">
        <v>1766</v>
      </c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1"/>
    </row>
    <row r="287" spans="1:70" ht="13">
      <c r="A287" s="6" t="s">
        <v>611</v>
      </c>
      <c r="B287" s="6" t="s">
        <v>612</v>
      </c>
      <c r="C287" s="7">
        <v>29</v>
      </c>
      <c r="D287" s="7">
        <v>45</v>
      </c>
      <c r="E287" s="7">
        <v>17</v>
      </c>
      <c r="F287" s="7">
        <v>28</v>
      </c>
      <c r="G287" s="7">
        <v>27.1</v>
      </c>
      <c r="H287" s="8">
        <v>356</v>
      </c>
      <c r="I287" s="9">
        <v>131</v>
      </c>
      <c r="J287" s="9">
        <v>306</v>
      </c>
      <c r="K287" s="8">
        <v>42.4</v>
      </c>
      <c r="L287" s="9">
        <v>36</v>
      </c>
      <c r="M287" s="9">
        <v>104</v>
      </c>
      <c r="N287" s="8">
        <v>35.9</v>
      </c>
      <c r="O287" s="8">
        <v>63</v>
      </c>
      <c r="P287" s="8">
        <v>99</v>
      </c>
      <c r="Q287" s="8">
        <v>62.2</v>
      </c>
      <c r="R287" s="9">
        <v>54</v>
      </c>
      <c r="S287" s="9">
        <v>126</v>
      </c>
      <c r="T287" s="9">
        <v>176</v>
      </c>
      <c r="U287" s="9">
        <v>95</v>
      </c>
      <c r="V287" s="9">
        <v>54</v>
      </c>
      <c r="W287" s="9">
        <v>45</v>
      </c>
      <c r="X287" s="9">
        <v>23</v>
      </c>
      <c r="Y287" s="9">
        <v>86</v>
      </c>
      <c r="Z287" s="8">
        <v>864</v>
      </c>
      <c r="AA287" s="8">
        <v>1</v>
      </c>
      <c r="AB287" s="8">
        <v>0</v>
      </c>
      <c r="AC287" s="7">
        <v>-3.4</v>
      </c>
      <c r="AD287" s="7">
        <v>106.5</v>
      </c>
      <c r="AE287" s="7">
        <v>112.8</v>
      </c>
      <c r="AF287" s="7">
        <v>-6.3</v>
      </c>
      <c r="AG287" s="7">
        <v>11.6</v>
      </c>
      <c r="AH287" s="7">
        <v>1.7</v>
      </c>
      <c r="AI287" s="7">
        <v>19</v>
      </c>
      <c r="AJ287" s="7">
        <v>4.2</v>
      </c>
      <c r="AK287" s="7">
        <v>10.5</v>
      </c>
      <c r="AL287" s="7">
        <v>7.3</v>
      </c>
      <c r="AM287" s="7">
        <v>11.2</v>
      </c>
      <c r="AN287" s="7">
        <v>48.5</v>
      </c>
      <c r="AO287" s="7">
        <v>51.3</v>
      </c>
      <c r="AP287" s="7">
        <v>14.3</v>
      </c>
      <c r="AQ287" s="7">
        <v>98.64</v>
      </c>
      <c r="AR287" s="7">
        <v>6.3</v>
      </c>
      <c r="AS287" s="7">
        <v>2504</v>
      </c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1"/>
    </row>
    <row r="288" spans="1:70" ht="13">
      <c r="A288" s="6" t="s">
        <v>613</v>
      </c>
      <c r="B288" s="6" t="s">
        <v>614</v>
      </c>
      <c r="C288" s="7">
        <v>19</v>
      </c>
      <c r="D288" s="7">
        <v>60</v>
      </c>
      <c r="E288" s="7">
        <v>12</v>
      </c>
      <c r="F288" s="7">
        <v>48</v>
      </c>
      <c r="G288" s="7">
        <v>20.7</v>
      </c>
      <c r="H288" s="8">
        <v>354</v>
      </c>
      <c r="I288" s="9">
        <v>114</v>
      </c>
      <c r="J288" s="9">
        <v>348</v>
      </c>
      <c r="K288" s="8">
        <v>33</v>
      </c>
      <c r="L288" s="9">
        <v>60</v>
      </c>
      <c r="M288" s="9">
        <v>204</v>
      </c>
      <c r="N288" s="8">
        <v>28.3</v>
      </c>
      <c r="O288" s="8">
        <v>66</v>
      </c>
      <c r="P288" s="8">
        <v>96</v>
      </c>
      <c r="Q288" s="8">
        <v>71.3</v>
      </c>
      <c r="R288" s="9">
        <v>72</v>
      </c>
      <c r="S288" s="9">
        <v>210</v>
      </c>
      <c r="T288" s="9">
        <v>282</v>
      </c>
      <c r="U288" s="9">
        <v>72</v>
      </c>
      <c r="V288" s="9">
        <v>60</v>
      </c>
      <c r="W288" s="9">
        <v>30</v>
      </c>
      <c r="X288" s="9">
        <v>12</v>
      </c>
      <c r="Y288" s="9">
        <v>84</v>
      </c>
      <c r="Z288" s="8">
        <v>870</v>
      </c>
      <c r="AA288" s="8">
        <v>2</v>
      </c>
      <c r="AB288" s="8">
        <v>0</v>
      </c>
      <c r="AC288" s="7">
        <v>-5.4</v>
      </c>
      <c r="AD288" s="7">
        <v>99.4</v>
      </c>
      <c r="AE288" s="7">
        <v>111.2</v>
      </c>
      <c r="AF288" s="7">
        <v>-11.9</v>
      </c>
      <c r="AG288" s="7">
        <v>9.1999999999999993</v>
      </c>
      <c r="AH288" s="7">
        <v>1.28</v>
      </c>
      <c r="AI288" s="7">
        <v>14.2</v>
      </c>
      <c r="AJ288" s="7">
        <v>5</v>
      </c>
      <c r="AK288" s="7">
        <v>16.8</v>
      </c>
      <c r="AL288" s="7">
        <v>10.6</v>
      </c>
      <c r="AM288" s="7">
        <v>11.2</v>
      </c>
      <c r="AN288" s="7">
        <v>41.4</v>
      </c>
      <c r="AO288" s="7">
        <v>45.7</v>
      </c>
      <c r="AP288" s="7">
        <v>15</v>
      </c>
      <c r="AQ288" s="7">
        <v>98.5</v>
      </c>
      <c r="AR288" s="7">
        <v>6.5</v>
      </c>
      <c r="AS288" s="7">
        <v>2545</v>
      </c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1"/>
    </row>
    <row r="289" spans="1:70" ht="13">
      <c r="A289" s="6" t="s">
        <v>615</v>
      </c>
      <c r="B289" s="6" t="s">
        <v>616</v>
      </c>
      <c r="C289" s="7">
        <v>28</v>
      </c>
      <c r="D289" s="7">
        <v>47</v>
      </c>
      <c r="E289" s="7">
        <v>21</v>
      </c>
      <c r="F289" s="7">
        <v>26</v>
      </c>
      <c r="G289" s="7">
        <v>17.600000000000001</v>
      </c>
      <c r="H289" s="8">
        <v>353</v>
      </c>
      <c r="I289" s="9">
        <v>103</v>
      </c>
      <c r="J289" s="9">
        <v>259</v>
      </c>
      <c r="K289" s="8">
        <v>39.700000000000003</v>
      </c>
      <c r="L289" s="9">
        <v>85</v>
      </c>
      <c r="M289" s="9">
        <v>216</v>
      </c>
      <c r="N289" s="8">
        <v>39</v>
      </c>
      <c r="O289" s="8">
        <v>66</v>
      </c>
      <c r="P289" s="8">
        <v>80</v>
      </c>
      <c r="Q289" s="8">
        <v>82.1</v>
      </c>
      <c r="R289" s="9">
        <v>14</v>
      </c>
      <c r="S289" s="9">
        <v>75</v>
      </c>
      <c r="T289" s="9">
        <v>89</v>
      </c>
      <c r="U289" s="9">
        <v>61</v>
      </c>
      <c r="V289" s="9">
        <v>33</v>
      </c>
      <c r="W289" s="9">
        <v>28</v>
      </c>
      <c r="X289" s="9">
        <v>14</v>
      </c>
      <c r="Y289" s="9">
        <v>80</v>
      </c>
      <c r="Z289" s="8">
        <v>639</v>
      </c>
      <c r="AA289" s="8">
        <v>0</v>
      </c>
      <c r="AB289" s="8">
        <v>0</v>
      </c>
      <c r="AC289" s="7">
        <v>-1.3</v>
      </c>
      <c r="AD289" s="7">
        <v>107.9</v>
      </c>
      <c r="AE289" s="7">
        <v>111.4</v>
      </c>
      <c r="AF289" s="7">
        <v>-3.5</v>
      </c>
      <c r="AG289" s="7">
        <v>10.199999999999999</v>
      </c>
      <c r="AH289" s="7">
        <v>1.94</v>
      </c>
      <c r="AI289" s="7">
        <v>16</v>
      </c>
      <c r="AJ289" s="7">
        <v>1.5</v>
      </c>
      <c r="AK289" s="7">
        <v>8.5</v>
      </c>
      <c r="AL289" s="7">
        <v>4.9000000000000004</v>
      </c>
      <c r="AM289" s="7">
        <v>8.1999999999999993</v>
      </c>
      <c r="AN289" s="7">
        <v>56.2</v>
      </c>
      <c r="AO289" s="7">
        <v>60.6</v>
      </c>
      <c r="AP289" s="7">
        <v>15.3</v>
      </c>
      <c r="AQ289" s="7">
        <v>105.43</v>
      </c>
      <c r="AR289" s="7">
        <v>6.8</v>
      </c>
      <c r="AS289" s="7">
        <v>1824</v>
      </c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1"/>
    </row>
    <row r="290" spans="1:70" ht="13">
      <c r="A290" s="6" t="s">
        <v>617</v>
      </c>
      <c r="B290" s="6" t="s">
        <v>618</v>
      </c>
      <c r="C290" s="7">
        <v>21</v>
      </c>
      <c r="D290" s="7">
        <v>23</v>
      </c>
      <c r="E290" s="7">
        <v>7</v>
      </c>
      <c r="F290" s="7">
        <v>16</v>
      </c>
      <c r="G290" s="7">
        <v>25.7</v>
      </c>
      <c r="H290" s="8">
        <v>352</v>
      </c>
      <c r="I290" s="9">
        <v>127</v>
      </c>
      <c r="J290" s="9">
        <v>274</v>
      </c>
      <c r="K290" s="8">
        <v>46</v>
      </c>
      <c r="L290" s="9">
        <v>51</v>
      </c>
      <c r="M290" s="9">
        <v>133</v>
      </c>
      <c r="N290" s="8">
        <v>38.299999999999997</v>
      </c>
      <c r="O290" s="8">
        <v>48</v>
      </c>
      <c r="P290" s="8">
        <v>55</v>
      </c>
      <c r="Q290" s="8">
        <v>87.5</v>
      </c>
      <c r="R290" s="9">
        <v>14</v>
      </c>
      <c r="S290" s="9">
        <v>44</v>
      </c>
      <c r="T290" s="9">
        <v>55</v>
      </c>
      <c r="U290" s="9">
        <v>60</v>
      </c>
      <c r="V290" s="9">
        <v>37</v>
      </c>
      <c r="W290" s="9">
        <v>16</v>
      </c>
      <c r="X290" s="8">
        <v>0</v>
      </c>
      <c r="Y290" s="9">
        <v>37</v>
      </c>
      <c r="Z290" s="8">
        <v>518</v>
      </c>
      <c r="AA290" s="8">
        <v>1</v>
      </c>
      <c r="AB290" s="8">
        <v>0</v>
      </c>
      <c r="AC290" s="7">
        <v>-1.2</v>
      </c>
      <c r="AD290" s="7">
        <v>109.3</v>
      </c>
      <c r="AE290" s="7">
        <v>111.4</v>
      </c>
      <c r="AF290" s="7">
        <v>-2.1</v>
      </c>
      <c r="AG290" s="7">
        <v>17.100000000000001</v>
      </c>
      <c r="AH290" s="7">
        <v>1.62</v>
      </c>
      <c r="AI290" s="7">
        <v>15.2</v>
      </c>
      <c r="AJ290" s="7">
        <v>2.2000000000000002</v>
      </c>
      <c r="AK290" s="7">
        <v>7.6</v>
      </c>
      <c r="AL290" s="7">
        <v>4.8</v>
      </c>
      <c r="AM290" s="7">
        <v>9.3000000000000007</v>
      </c>
      <c r="AN290" s="7">
        <v>55.3</v>
      </c>
      <c r="AO290" s="7">
        <v>58.9</v>
      </c>
      <c r="AP290" s="7">
        <v>24.3</v>
      </c>
      <c r="AQ290" s="7">
        <v>98.18</v>
      </c>
      <c r="AR290" s="7">
        <v>10.6</v>
      </c>
      <c r="AS290" s="7">
        <v>1210</v>
      </c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1"/>
    </row>
    <row r="291" spans="1:70" ht="13">
      <c r="A291" s="6" t="s">
        <v>619</v>
      </c>
      <c r="B291" s="6" t="s">
        <v>620</v>
      </c>
      <c r="C291" s="7">
        <v>31</v>
      </c>
      <c r="D291" s="7">
        <v>68</v>
      </c>
      <c r="E291" s="7">
        <v>24</v>
      </c>
      <c r="F291" s="7">
        <v>44</v>
      </c>
      <c r="G291" s="7">
        <v>18.5</v>
      </c>
      <c r="H291" s="8">
        <v>347</v>
      </c>
      <c r="I291" s="9">
        <v>122</v>
      </c>
      <c r="J291" s="9">
        <v>286</v>
      </c>
      <c r="K291" s="8">
        <v>42.9</v>
      </c>
      <c r="L291" s="9">
        <v>48</v>
      </c>
      <c r="M291" s="9">
        <v>143</v>
      </c>
      <c r="N291" s="8">
        <v>32.6</v>
      </c>
      <c r="O291" s="8">
        <v>54</v>
      </c>
      <c r="P291" s="8">
        <v>75</v>
      </c>
      <c r="Q291" s="8">
        <v>72.400000000000006</v>
      </c>
      <c r="R291" s="9">
        <v>61</v>
      </c>
      <c r="S291" s="9">
        <v>156</v>
      </c>
      <c r="T291" s="9">
        <v>218</v>
      </c>
      <c r="U291" s="9">
        <v>54</v>
      </c>
      <c r="V291" s="9">
        <v>34</v>
      </c>
      <c r="W291" s="9">
        <v>68</v>
      </c>
      <c r="X291" s="9">
        <v>34</v>
      </c>
      <c r="Y291" s="9">
        <v>95</v>
      </c>
      <c r="Z291" s="8">
        <v>952</v>
      </c>
      <c r="AA291" s="8">
        <v>0</v>
      </c>
      <c r="AB291" s="8">
        <v>0</v>
      </c>
      <c r="AC291" s="7">
        <v>-3.1</v>
      </c>
      <c r="AD291" s="7">
        <v>109.1</v>
      </c>
      <c r="AE291" s="7">
        <v>117</v>
      </c>
      <c r="AF291" s="7">
        <v>-7.8</v>
      </c>
      <c r="AG291" s="7">
        <v>5.9</v>
      </c>
      <c r="AH291" s="7">
        <v>1.75</v>
      </c>
      <c r="AI291" s="7">
        <v>13.8</v>
      </c>
      <c r="AJ291" s="7">
        <v>4.2</v>
      </c>
      <c r="AK291" s="7">
        <v>12.2</v>
      </c>
      <c r="AL291" s="7">
        <v>8.1</v>
      </c>
      <c r="AM291" s="7">
        <v>7.9</v>
      </c>
      <c r="AN291" s="7">
        <v>50.9</v>
      </c>
      <c r="AO291" s="7">
        <v>54.1</v>
      </c>
      <c r="AP291" s="7">
        <v>11.3</v>
      </c>
      <c r="AQ291" s="7">
        <v>101.97</v>
      </c>
      <c r="AR291" s="7">
        <v>6.4</v>
      </c>
      <c r="AS291" s="7">
        <v>2671</v>
      </c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1"/>
    </row>
    <row r="292" spans="1:70" ht="13">
      <c r="A292" s="6" t="s">
        <v>621</v>
      </c>
      <c r="B292" s="6" t="s">
        <v>622</v>
      </c>
      <c r="C292" s="7">
        <v>22</v>
      </c>
      <c r="D292" s="7">
        <v>56</v>
      </c>
      <c r="E292" s="7">
        <v>30</v>
      </c>
      <c r="F292" s="7">
        <v>26</v>
      </c>
      <c r="G292" s="7">
        <v>14.6</v>
      </c>
      <c r="H292" s="8">
        <v>347</v>
      </c>
      <c r="I292" s="9">
        <v>134</v>
      </c>
      <c r="J292" s="9">
        <v>269</v>
      </c>
      <c r="K292" s="8">
        <v>48.7</v>
      </c>
      <c r="L292" s="9">
        <v>50</v>
      </c>
      <c r="M292" s="9">
        <v>118</v>
      </c>
      <c r="N292" s="8">
        <v>40.799999999999997</v>
      </c>
      <c r="O292" s="8">
        <v>34</v>
      </c>
      <c r="P292" s="8">
        <v>45</v>
      </c>
      <c r="Q292" s="8">
        <v>80</v>
      </c>
      <c r="R292" s="9">
        <v>22</v>
      </c>
      <c r="S292" s="9">
        <v>90</v>
      </c>
      <c r="T292" s="9">
        <v>106</v>
      </c>
      <c r="U292" s="9">
        <v>106</v>
      </c>
      <c r="V292" s="9">
        <v>50</v>
      </c>
      <c r="W292" s="9">
        <v>45</v>
      </c>
      <c r="X292" s="9">
        <v>17</v>
      </c>
      <c r="Y292" s="9">
        <v>90</v>
      </c>
      <c r="Z292" s="8">
        <v>756</v>
      </c>
      <c r="AA292" s="8">
        <v>1</v>
      </c>
      <c r="AB292" s="8">
        <v>0</v>
      </c>
      <c r="AC292" s="7">
        <v>1.5</v>
      </c>
      <c r="AD292" s="7">
        <v>114</v>
      </c>
      <c r="AE292" s="7">
        <v>108.6</v>
      </c>
      <c r="AF292" s="7">
        <v>5.4</v>
      </c>
      <c r="AG292" s="7">
        <v>17.3</v>
      </c>
      <c r="AH292" s="7">
        <v>1.96</v>
      </c>
      <c r="AI292" s="7">
        <v>23.3</v>
      </c>
      <c r="AJ292" s="7">
        <v>2.7</v>
      </c>
      <c r="AK292" s="7">
        <v>9.8000000000000007</v>
      </c>
      <c r="AL292" s="7">
        <v>6.5</v>
      </c>
      <c r="AM292" s="7">
        <v>11.9</v>
      </c>
      <c r="AN292" s="7">
        <v>57.7</v>
      </c>
      <c r="AO292" s="7">
        <v>60</v>
      </c>
      <c r="AP292" s="7">
        <v>17.899999999999999</v>
      </c>
      <c r="AQ292" s="7">
        <v>101.74</v>
      </c>
      <c r="AR292" s="7">
        <v>8.8000000000000007</v>
      </c>
      <c r="AS292" s="7">
        <v>1732</v>
      </c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1"/>
    </row>
    <row r="293" spans="1:70" ht="13">
      <c r="A293" s="6" t="s">
        <v>623</v>
      </c>
      <c r="B293" s="6" t="s">
        <v>624</v>
      </c>
      <c r="C293" s="7">
        <v>29</v>
      </c>
      <c r="D293" s="7">
        <v>76</v>
      </c>
      <c r="E293" s="7">
        <v>45</v>
      </c>
      <c r="F293" s="7">
        <v>31</v>
      </c>
      <c r="G293" s="7">
        <v>15</v>
      </c>
      <c r="H293" s="8">
        <v>342</v>
      </c>
      <c r="I293" s="9">
        <v>144</v>
      </c>
      <c r="J293" s="9">
        <v>281</v>
      </c>
      <c r="K293" s="8">
        <v>51.4</v>
      </c>
      <c r="L293" s="8">
        <v>0</v>
      </c>
      <c r="M293" s="9">
        <v>8</v>
      </c>
      <c r="N293" s="8">
        <v>40</v>
      </c>
      <c r="O293" s="8">
        <v>53</v>
      </c>
      <c r="P293" s="8">
        <v>99</v>
      </c>
      <c r="Q293" s="8">
        <v>56.6</v>
      </c>
      <c r="R293" s="9">
        <v>182</v>
      </c>
      <c r="S293" s="9">
        <v>274</v>
      </c>
      <c r="T293" s="9">
        <v>464</v>
      </c>
      <c r="U293" s="9">
        <v>122</v>
      </c>
      <c r="V293" s="9">
        <v>38</v>
      </c>
      <c r="W293" s="9">
        <v>46</v>
      </c>
      <c r="X293" s="9">
        <v>38</v>
      </c>
      <c r="Y293" s="9">
        <v>152</v>
      </c>
      <c r="Z293" s="8">
        <v>1284</v>
      </c>
      <c r="AA293" s="8">
        <v>2</v>
      </c>
      <c r="AB293" s="8">
        <v>0</v>
      </c>
      <c r="AC293" s="7">
        <v>1.5</v>
      </c>
      <c r="AD293" s="7">
        <v>112.5</v>
      </c>
      <c r="AE293" s="7">
        <v>106.9</v>
      </c>
      <c r="AF293" s="7">
        <v>5.6</v>
      </c>
      <c r="AG293" s="7">
        <v>14.3</v>
      </c>
      <c r="AH293" s="7">
        <v>3.03</v>
      </c>
      <c r="AI293" s="7">
        <v>24.7</v>
      </c>
      <c r="AJ293" s="7">
        <v>13.9</v>
      </c>
      <c r="AK293" s="7">
        <v>22.7</v>
      </c>
      <c r="AL293" s="7">
        <v>18.100000000000001</v>
      </c>
      <c r="AM293" s="7">
        <v>8.1999999999999993</v>
      </c>
      <c r="AN293" s="7">
        <v>51.8</v>
      </c>
      <c r="AO293" s="7">
        <v>53.5</v>
      </c>
      <c r="AP293" s="7">
        <v>12.5</v>
      </c>
      <c r="AQ293" s="7">
        <v>100.61</v>
      </c>
      <c r="AR293" s="7">
        <v>11.4</v>
      </c>
      <c r="AS293" s="7">
        <v>2386</v>
      </c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1"/>
    </row>
    <row r="294" spans="1:70" ht="13">
      <c r="A294" s="6" t="s">
        <v>625</v>
      </c>
      <c r="B294" s="6" t="s">
        <v>626</v>
      </c>
      <c r="C294" s="7">
        <v>28</v>
      </c>
      <c r="D294" s="7">
        <v>62</v>
      </c>
      <c r="E294" s="7">
        <v>39</v>
      </c>
      <c r="F294" s="7">
        <v>23</v>
      </c>
      <c r="G294" s="7">
        <v>12.8</v>
      </c>
      <c r="H294" s="8">
        <v>341</v>
      </c>
      <c r="I294" s="9">
        <v>118</v>
      </c>
      <c r="J294" s="9">
        <v>267</v>
      </c>
      <c r="K294" s="8">
        <v>43.7</v>
      </c>
      <c r="L294" s="9">
        <v>74</v>
      </c>
      <c r="M294" s="9">
        <v>180</v>
      </c>
      <c r="N294" s="8">
        <v>39.799999999999997</v>
      </c>
      <c r="O294" s="8">
        <v>31</v>
      </c>
      <c r="P294" s="8">
        <v>43</v>
      </c>
      <c r="Q294" s="8">
        <v>82.9</v>
      </c>
      <c r="R294" s="9">
        <v>12</v>
      </c>
      <c r="S294" s="9">
        <v>62</v>
      </c>
      <c r="T294" s="9">
        <v>81</v>
      </c>
      <c r="U294" s="9">
        <v>81</v>
      </c>
      <c r="V294" s="9">
        <v>37</v>
      </c>
      <c r="W294" s="9">
        <v>19</v>
      </c>
      <c r="X294" s="9">
        <v>12</v>
      </c>
      <c r="Y294" s="9">
        <v>62</v>
      </c>
      <c r="Z294" s="8">
        <v>614</v>
      </c>
      <c r="AA294" s="8">
        <v>0</v>
      </c>
      <c r="AB294" s="8">
        <v>0</v>
      </c>
      <c r="AC294" s="7">
        <v>1.4</v>
      </c>
      <c r="AD294" s="7">
        <v>110.3</v>
      </c>
      <c r="AE294" s="7">
        <v>103.6</v>
      </c>
      <c r="AF294" s="7">
        <v>6.7</v>
      </c>
      <c r="AG294" s="7">
        <v>14.2</v>
      </c>
      <c r="AH294" s="7">
        <v>2.2400000000000002</v>
      </c>
      <c r="AI294" s="7">
        <v>20.5</v>
      </c>
      <c r="AJ294" s="7">
        <v>1.5</v>
      </c>
      <c r="AK294" s="7">
        <v>7.3</v>
      </c>
      <c r="AL294" s="7">
        <v>4.4000000000000004</v>
      </c>
      <c r="AM294" s="7">
        <v>9.1</v>
      </c>
      <c r="AN294" s="7">
        <v>57.1</v>
      </c>
      <c r="AO294" s="7">
        <v>59.4</v>
      </c>
      <c r="AP294" s="7">
        <v>16.2</v>
      </c>
      <c r="AQ294" s="7">
        <v>103.09</v>
      </c>
      <c r="AR294" s="7">
        <v>8.1999999999999993</v>
      </c>
      <c r="AS294" s="7">
        <v>1689</v>
      </c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1"/>
    </row>
    <row r="295" spans="1:70" ht="13">
      <c r="A295" s="6" t="s">
        <v>627</v>
      </c>
      <c r="B295" s="6" t="s">
        <v>628</v>
      </c>
      <c r="C295" s="7">
        <v>25</v>
      </c>
      <c r="D295" s="7">
        <v>42</v>
      </c>
      <c r="E295" s="7">
        <v>26</v>
      </c>
      <c r="F295" s="7">
        <v>16</v>
      </c>
      <c r="G295" s="7">
        <v>16.3</v>
      </c>
      <c r="H295" s="8">
        <v>340</v>
      </c>
      <c r="I295" s="9">
        <v>122</v>
      </c>
      <c r="J295" s="9">
        <v>273</v>
      </c>
      <c r="K295" s="8">
        <v>44.9</v>
      </c>
      <c r="L295" s="9">
        <v>71</v>
      </c>
      <c r="M295" s="9">
        <v>181</v>
      </c>
      <c r="N295" s="8">
        <v>40.799999999999997</v>
      </c>
      <c r="O295" s="8">
        <v>21</v>
      </c>
      <c r="P295" s="8">
        <v>25</v>
      </c>
      <c r="Q295" s="8">
        <v>77.8</v>
      </c>
      <c r="R295" s="9">
        <v>34</v>
      </c>
      <c r="S295" s="9">
        <v>113</v>
      </c>
      <c r="T295" s="9">
        <v>147</v>
      </c>
      <c r="U295" s="9">
        <v>55</v>
      </c>
      <c r="V295" s="9">
        <v>34</v>
      </c>
      <c r="W295" s="9">
        <v>17</v>
      </c>
      <c r="X295" s="9">
        <v>17</v>
      </c>
      <c r="Y295" s="9">
        <v>84</v>
      </c>
      <c r="Z295" s="8">
        <v>672</v>
      </c>
      <c r="AA295" s="8">
        <v>0</v>
      </c>
      <c r="AB295" s="8">
        <v>0</v>
      </c>
      <c r="AC295" s="7">
        <v>1</v>
      </c>
      <c r="AD295" s="7">
        <v>111.5</v>
      </c>
      <c r="AE295" s="7">
        <v>109.1</v>
      </c>
      <c r="AF295" s="7">
        <v>2.4</v>
      </c>
      <c r="AG295" s="7">
        <v>13.1</v>
      </c>
      <c r="AH295" s="7">
        <v>1.7</v>
      </c>
      <c r="AI295" s="7">
        <v>14.9</v>
      </c>
      <c r="AJ295" s="7">
        <v>4.9000000000000004</v>
      </c>
      <c r="AK295" s="7">
        <v>16.600000000000001</v>
      </c>
      <c r="AL295" s="7">
        <v>10.6</v>
      </c>
      <c r="AM295" s="7">
        <v>8.8000000000000007</v>
      </c>
      <c r="AN295" s="7">
        <v>58.2</v>
      </c>
      <c r="AO295" s="7">
        <v>59.5</v>
      </c>
      <c r="AP295" s="7">
        <v>19.7</v>
      </c>
      <c r="AQ295" s="7">
        <v>100.02</v>
      </c>
      <c r="AR295" s="7">
        <v>9.5</v>
      </c>
      <c r="AS295" s="7">
        <v>1433</v>
      </c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1"/>
    </row>
    <row r="296" spans="1:70" ht="13">
      <c r="A296" s="6" t="s">
        <v>629</v>
      </c>
      <c r="B296" s="6" t="s">
        <v>630</v>
      </c>
      <c r="C296" s="7">
        <v>28</v>
      </c>
      <c r="D296" s="7">
        <v>41</v>
      </c>
      <c r="E296" s="7">
        <v>15</v>
      </c>
      <c r="F296" s="7">
        <v>26</v>
      </c>
      <c r="G296" s="7">
        <v>22.5</v>
      </c>
      <c r="H296" s="8">
        <v>340</v>
      </c>
      <c r="I296" s="9">
        <v>131</v>
      </c>
      <c r="J296" s="9">
        <v>308</v>
      </c>
      <c r="K296" s="8">
        <v>42.1</v>
      </c>
      <c r="L296" s="9">
        <v>29</v>
      </c>
      <c r="M296" s="9">
        <v>82</v>
      </c>
      <c r="N296" s="8">
        <v>33.299999999999997</v>
      </c>
      <c r="O296" s="8">
        <v>53</v>
      </c>
      <c r="P296" s="8">
        <v>66</v>
      </c>
      <c r="Q296" s="8">
        <v>81.5</v>
      </c>
      <c r="R296" s="9">
        <v>41</v>
      </c>
      <c r="S296" s="9">
        <v>123</v>
      </c>
      <c r="T296" s="9">
        <v>164</v>
      </c>
      <c r="U296" s="9">
        <v>82</v>
      </c>
      <c r="V296" s="9">
        <v>41</v>
      </c>
      <c r="W296" s="9">
        <v>33</v>
      </c>
      <c r="X296" s="9">
        <v>8</v>
      </c>
      <c r="Y296" s="9">
        <v>70</v>
      </c>
      <c r="Z296" s="8">
        <v>754</v>
      </c>
      <c r="AA296" s="8">
        <v>0</v>
      </c>
      <c r="AB296" s="8">
        <v>0</v>
      </c>
      <c r="AC296" s="7">
        <v>-5.5</v>
      </c>
      <c r="AD296" s="7">
        <v>104.8</v>
      </c>
      <c r="AE296" s="7">
        <v>116.8</v>
      </c>
      <c r="AF296" s="7">
        <v>-11.9</v>
      </c>
      <c r="AG296" s="7">
        <v>13.3</v>
      </c>
      <c r="AH296" s="7">
        <v>2.15</v>
      </c>
      <c r="AI296" s="7">
        <v>18.3</v>
      </c>
      <c r="AJ296" s="7">
        <v>4</v>
      </c>
      <c r="AK296" s="7">
        <v>13.4</v>
      </c>
      <c r="AL296" s="7">
        <v>8.5</v>
      </c>
      <c r="AM296" s="7">
        <v>8.5</v>
      </c>
      <c r="AN296" s="7">
        <v>46.4</v>
      </c>
      <c r="AO296" s="7">
        <v>50.4</v>
      </c>
      <c r="AP296" s="7">
        <v>16.899999999999999</v>
      </c>
      <c r="AQ296" s="7">
        <v>100.19</v>
      </c>
      <c r="AR296" s="7">
        <v>7.8</v>
      </c>
      <c r="AS296" s="7">
        <v>1925</v>
      </c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1"/>
    </row>
    <row r="297" spans="1:70" ht="13">
      <c r="A297" s="6" t="s">
        <v>631</v>
      </c>
      <c r="B297" s="6" t="s">
        <v>632</v>
      </c>
      <c r="C297" s="7">
        <v>24</v>
      </c>
      <c r="D297" s="7">
        <v>55</v>
      </c>
      <c r="E297" s="7">
        <v>44</v>
      </c>
      <c r="F297" s="7">
        <v>11</v>
      </c>
      <c r="G297" s="7">
        <v>19.100000000000001</v>
      </c>
      <c r="H297" s="8">
        <v>336</v>
      </c>
      <c r="I297" s="9">
        <v>127</v>
      </c>
      <c r="J297" s="9">
        <v>270</v>
      </c>
      <c r="K297" s="8">
        <v>46.4</v>
      </c>
      <c r="L297" s="9">
        <v>55</v>
      </c>
      <c r="M297" s="9">
        <v>149</v>
      </c>
      <c r="N297" s="8">
        <v>37.1</v>
      </c>
      <c r="O297" s="8">
        <v>33</v>
      </c>
      <c r="P297" s="8">
        <v>44</v>
      </c>
      <c r="Q297" s="8">
        <v>71.7</v>
      </c>
      <c r="R297" s="9">
        <v>50</v>
      </c>
      <c r="S297" s="9">
        <v>83</v>
      </c>
      <c r="T297" s="9">
        <v>132</v>
      </c>
      <c r="U297" s="9">
        <v>66</v>
      </c>
      <c r="V297" s="9">
        <v>22</v>
      </c>
      <c r="W297" s="9">
        <v>33</v>
      </c>
      <c r="X297" s="9">
        <v>17</v>
      </c>
      <c r="Y297" s="9">
        <v>105</v>
      </c>
      <c r="Z297" s="8">
        <v>715</v>
      </c>
      <c r="AA297" s="8">
        <v>0</v>
      </c>
      <c r="AB297" s="8">
        <v>0</v>
      </c>
      <c r="AC297" s="7">
        <v>4.5999999999999996</v>
      </c>
      <c r="AD297" s="7">
        <v>122.1</v>
      </c>
      <c r="AE297" s="7">
        <v>109.7</v>
      </c>
      <c r="AF297" s="7">
        <v>12.5</v>
      </c>
      <c r="AG297" s="7">
        <v>7.8</v>
      </c>
      <c r="AH297" s="7">
        <v>2.96</v>
      </c>
      <c r="AI297" s="7">
        <v>17.899999999999999</v>
      </c>
      <c r="AJ297" s="7">
        <v>4.7</v>
      </c>
      <c r="AK297" s="7">
        <v>7.2</v>
      </c>
      <c r="AL297" s="7">
        <v>6</v>
      </c>
      <c r="AM297" s="7">
        <v>6.1</v>
      </c>
      <c r="AN297" s="7">
        <v>56.9</v>
      </c>
      <c r="AO297" s="7">
        <v>58.7</v>
      </c>
      <c r="AP297" s="7">
        <v>12.4</v>
      </c>
      <c r="AQ297" s="7">
        <v>100.08</v>
      </c>
      <c r="AR297" s="7">
        <v>5.7</v>
      </c>
      <c r="AS297" s="7">
        <v>2187</v>
      </c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1"/>
    </row>
    <row r="298" spans="1:70" ht="13">
      <c r="A298" s="6" t="s">
        <v>633</v>
      </c>
      <c r="B298" s="6" t="s">
        <v>634</v>
      </c>
      <c r="C298" s="7">
        <v>22</v>
      </c>
      <c r="D298" s="7">
        <v>58</v>
      </c>
      <c r="E298" s="7">
        <v>12</v>
      </c>
      <c r="F298" s="7">
        <v>46</v>
      </c>
      <c r="G298" s="7">
        <v>15.6</v>
      </c>
      <c r="H298" s="8">
        <v>336</v>
      </c>
      <c r="I298" s="9">
        <v>133</v>
      </c>
      <c r="J298" s="9">
        <v>191</v>
      </c>
      <c r="K298" s="8">
        <v>70.3</v>
      </c>
      <c r="L298" s="8">
        <v>0</v>
      </c>
      <c r="M298" s="8">
        <v>0</v>
      </c>
      <c r="N298" s="8">
        <v>0</v>
      </c>
      <c r="O298" s="8">
        <v>70</v>
      </c>
      <c r="P298" s="8">
        <v>99</v>
      </c>
      <c r="Q298" s="8">
        <v>67</v>
      </c>
      <c r="R298" s="9">
        <v>93</v>
      </c>
      <c r="S298" s="9">
        <v>151</v>
      </c>
      <c r="T298" s="9">
        <v>244</v>
      </c>
      <c r="U298" s="9">
        <v>29</v>
      </c>
      <c r="V298" s="9">
        <v>64</v>
      </c>
      <c r="W298" s="9">
        <v>23</v>
      </c>
      <c r="X298" s="9">
        <v>70</v>
      </c>
      <c r="Y298" s="9">
        <v>128</v>
      </c>
      <c r="Z298" s="8">
        <v>893</v>
      </c>
      <c r="AA298" s="8">
        <v>3</v>
      </c>
      <c r="AB298" s="8">
        <v>0</v>
      </c>
      <c r="AC298" s="7">
        <v>-1.9</v>
      </c>
      <c r="AD298" s="7">
        <v>107.4</v>
      </c>
      <c r="AE298" s="7">
        <v>114</v>
      </c>
      <c r="AF298" s="7">
        <v>-6.6</v>
      </c>
      <c r="AG298" s="7">
        <v>4.3</v>
      </c>
      <c r="AH298" s="7">
        <v>0.44</v>
      </c>
      <c r="AI298" s="7">
        <v>8.4</v>
      </c>
      <c r="AJ298" s="7">
        <v>9.6999999999999993</v>
      </c>
      <c r="AK298" s="7">
        <v>16.399999999999999</v>
      </c>
      <c r="AL298" s="7">
        <v>13</v>
      </c>
      <c r="AM298" s="7">
        <v>18.899999999999999</v>
      </c>
      <c r="AN298" s="7">
        <v>70.3</v>
      </c>
      <c r="AO298" s="7">
        <v>71.400000000000006</v>
      </c>
      <c r="AP298" s="7">
        <v>13.5</v>
      </c>
      <c r="AQ298" s="7">
        <v>100.51</v>
      </c>
      <c r="AR298" s="7">
        <v>9.3000000000000007</v>
      </c>
      <c r="AS298" s="7">
        <v>1900</v>
      </c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1"/>
    </row>
    <row r="299" spans="1:70" ht="13">
      <c r="A299" s="6" t="s">
        <v>635</v>
      </c>
      <c r="B299" s="6" t="s">
        <v>636</v>
      </c>
      <c r="C299" s="7">
        <v>23</v>
      </c>
      <c r="D299" s="7">
        <v>63</v>
      </c>
      <c r="E299" s="7">
        <v>40</v>
      </c>
      <c r="F299" s="7">
        <v>23</v>
      </c>
      <c r="G299" s="7">
        <v>19.5</v>
      </c>
      <c r="H299" s="8">
        <v>334</v>
      </c>
      <c r="I299" s="9">
        <v>120</v>
      </c>
      <c r="J299" s="9">
        <v>290</v>
      </c>
      <c r="K299" s="8">
        <v>41.8</v>
      </c>
      <c r="L299" s="9">
        <v>69</v>
      </c>
      <c r="M299" s="9">
        <v>202</v>
      </c>
      <c r="N299" s="8">
        <v>34.200000000000003</v>
      </c>
      <c r="O299" s="8">
        <v>25</v>
      </c>
      <c r="P299" s="8">
        <v>25</v>
      </c>
      <c r="Q299" s="8">
        <v>88.9</v>
      </c>
      <c r="R299" s="9">
        <v>44</v>
      </c>
      <c r="S299" s="9">
        <v>132</v>
      </c>
      <c r="T299" s="9">
        <v>176</v>
      </c>
      <c r="U299" s="9">
        <v>82</v>
      </c>
      <c r="V299" s="9">
        <v>19</v>
      </c>
      <c r="W299" s="9">
        <v>38</v>
      </c>
      <c r="X299" s="9">
        <v>13</v>
      </c>
      <c r="Y299" s="9">
        <v>126</v>
      </c>
      <c r="Z299" s="8">
        <v>806</v>
      </c>
      <c r="AA299" s="8">
        <v>0</v>
      </c>
      <c r="AB299" s="8">
        <v>0</v>
      </c>
      <c r="AC299" s="7">
        <v>-0.9</v>
      </c>
      <c r="AD299" s="7">
        <v>111.2</v>
      </c>
      <c r="AE299" s="7">
        <v>113.4</v>
      </c>
      <c r="AF299" s="7">
        <v>-2.2000000000000002</v>
      </c>
      <c r="AG299" s="7">
        <v>8.6999999999999993</v>
      </c>
      <c r="AH299" s="7">
        <v>3.86</v>
      </c>
      <c r="AI299" s="7">
        <v>21</v>
      </c>
      <c r="AJ299" s="7">
        <v>3.5</v>
      </c>
      <c r="AK299" s="7">
        <v>10.6</v>
      </c>
      <c r="AL299" s="7">
        <v>7</v>
      </c>
      <c r="AM299" s="7">
        <v>5.4</v>
      </c>
      <c r="AN299" s="7">
        <v>53.7</v>
      </c>
      <c r="AO299" s="7">
        <v>55.5</v>
      </c>
      <c r="AP299" s="7">
        <v>10.8</v>
      </c>
      <c r="AQ299" s="7">
        <v>102.92</v>
      </c>
      <c r="AR299" s="7">
        <v>5.5</v>
      </c>
      <c r="AS299" s="7">
        <v>2636</v>
      </c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1"/>
    </row>
    <row r="300" spans="1:70" ht="13">
      <c r="A300" s="6" t="s">
        <v>637</v>
      </c>
      <c r="B300" s="6" t="s">
        <v>638</v>
      </c>
      <c r="C300" s="7">
        <v>28</v>
      </c>
      <c r="D300" s="7">
        <v>38</v>
      </c>
      <c r="E300" s="7">
        <v>6</v>
      </c>
      <c r="F300" s="7">
        <v>32</v>
      </c>
      <c r="G300" s="7">
        <v>20</v>
      </c>
      <c r="H300" s="8">
        <v>334</v>
      </c>
      <c r="I300" s="9">
        <v>118</v>
      </c>
      <c r="J300" s="9">
        <v>300</v>
      </c>
      <c r="K300" s="8">
        <v>39.1</v>
      </c>
      <c r="L300" s="9">
        <v>68</v>
      </c>
      <c r="M300" s="9">
        <v>201</v>
      </c>
      <c r="N300" s="8">
        <v>34.5</v>
      </c>
      <c r="O300" s="8">
        <v>27</v>
      </c>
      <c r="P300" s="8">
        <v>34</v>
      </c>
      <c r="Q300" s="8">
        <v>80</v>
      </c>
      <c r="R300" s="9">
        <v>23</v>
      </c>
      <c r="S300" s="9">
        <v>68</v>
      </c>
      <c r="T300" s="9">
        <v>91</v>
      </c>
      <c r="U300" s="9">
        <v>76</v>
      </c>
      <c r="V300" s="9">
        <v>53</v>
      </c>
      <c r="W300" s="9">
        <v>19</v>
      </c>
      <c r="X300" s="9">
        <v>8</v>
      </c>
      <c r="Y300" s="9">
        <v>42</v>
      </c>
      <c r="Z300" s="8">
        <v>581</v>
      </c>
      <c r="AA300" s="8">
        <v>0</v>
      </c>
      <c r="AB300" s="8">
        <v>0</v>
      </c>
      <c r="AC300" s="7">
        <v>-2.8</v>
      </c>
      <c r="AD300" s="7">
        <v>110.3</v>
      </c>
      <c r="AE300" s="7">
        <v>117.7</v>
      </c>
      <c r="AF300" s="7">
        <v>-7.4</v>
      </c>
      <c r="AG300" s="7">
        <v>14.4</v>
      </c>
      <c r="AH300" s="7">
        <v>1.46</v>
      </c>
      <c r="AI300" s="7">
        <v>17.100000000000001</v>
      </c>
      <c r="AJ300" s="7">
        <v>2.6</v>
      </c>
      <c r="AK300" s="7">
        <v>8.5</v>
      </c>
      <c r="AL300" s="7">
        <v>5.5</v>
      </c>
      <c r="AM300" s="7">
        <v>11.7</v>
      </c>
      <c r="AN300" s="7">
        <v>50.7</v>
      </c>
      <c r="AO300" s="7">
        <v>52.6</v>
      </c>
      <c r="AP300" s="7">
        <v>19.8</v>
      </c>
      <c r="AQ300" s="7">
        <v>101.83</v>
      </c>
      <c r="AR300" s="7">
        <v>6.7</v>
      </c>
      <c r="AS300" s="7">
        <v>1619</v>
      </c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1"/>
    </row>
    <row r="301" spans="1:70" ht="13">
      <c r="A301" s="6" t="s">
        <v>639</v>
      </c>
      <c r="B301" s="6" t="s">
        <v>640</v>
      </c>
      <c r="C301" s="7">
        <v>35</v>
      </c>
      <c r="D301" s="7">
        <v>74</v>
      </c>
      <c r="E301" s="7">
        <v>33</v>
      </c>
      <c r="F301" s="7">
        <v>41</v>
      </c>
      <c r="G301" s="7">
        <v>17.600000000000001</v>
      </c>
      <c r="H301" s="8">
        <v>333</v>
      </c>
      <c r="I301" s="9">
        <v>126</v>
      </c>
      <c r="J301" s="9">
        <v>200</v>
      </c>
      <c r="K301" s="8">
        <v>61.9</v>
      </c>
      <c r="L301" s="8">
        <v>0</v>
      </c>
      <c r="M301" s="9">
        <v>7</v>
      </c>
      <c r="N301" s="8">
        <v>0</v>
      </c>
      <c r="O301" s="8">
        <v>81</v>
      </c>
      <c r="P301" s="8">
        <v>126</v>
      </c>
      <c r="Q301" s="8">
        <v>64.8</v>
      </c>
      <c r="R301" s="9">
        <v>118</v>
      </c>
      <c r="S301" s="9">
        <v>340</v>
      </c>
      <c r="T301" s="9">
        <v>451</v>
      </c>
      <c r="U301" s="9">
        <v>133</v>
      </c>
      <c r="V301" s="9">
        <v>59</v>
      </c>
      <c r="W301" s="9">
        <v>30</v>
      </c>
      <c r="X301" s="9">
        <v>44</v>
      </c>
      <c r="Y301" s="9">
        <v>155</v>
      </c>
      <c r="Z301" s="8">
        <v>1258</v>
      </c>
      <c r="AA301" s="8">
        <v>2</v>
      </c>
      <c r="AB301" s="8">
        <v>0</v>
      </c>
      <c r="AC301" s="7">
        <v>0.7</v>
      </c>
      <c r="AD301" s="7">
        <v>115.2</v>
      </c>
      <c r="AE301" s="7">
        <v>115</v>
      </c>
      <c r="AF301" s="7">
        <v>0.2</v>
      </c>
      <c r="AG301" s="7">
        <v>13.3</v>
      </c>
      <c r="AH301" s="7">
        <v>2.27</v>
      </c>
      <c r="AI301" s="7">
        <v>29.5</v>
      </c>
      <c r="AJ301" s="7">
        <v>9.4</v>
      </c>
      <c r="AK301" s="7">
        <v>25.3</v>
      </c>
      <c r="AL301" s="7">
        <v>17.600000000000001</v>
      </c>
      <c r="AM301" s="7">
        <v>13</v>
      </c>
      <c r="AN301" s="7">
        <v>61.9</v>
      </c>
      <c r="AO301" s="7">
        <v>64.5</v>
      </c>
      <c r="AP301" s="7">
        <v>10.5</v>
      </c>
      <c r="AQ301" s="7">
        <v>100.08</v>
      </c>
      <c r="AR301" s="7">
        <v>9.8000000000000007</v>
      </c>
      <c r="AS301" s="7">
        <v>2732</v>
      </c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1"/>
    </row>
    <row r="302" spans="1:70" ht="13">
      <c r="A302" s="6" t="s">
        <v>641</v>
      </c>
      <c r="B302" s="6" t="s">
        <v>642</v>
      </c>
      <c r="C302" s="7">
        <v>25</v>
      </c>
      <c r="D302" s="7">
        <v>46</v>
      </c>
      <c r="E302" s="7">
        <v>21</v>
      </c>
      <c r="F302" s="7">
        <v>25</v>
      </c>
      <c r="G302" s="7">
        <v>19.7</v>
      </c>
      <c r="H302" s="8">
        <v>331</v>
      </c>
      <c r="I302" s="9">
        <v>129</v>
      </c>
      <c r="J302" s="9">
        <v>239</v>
      </c>
      <c r="K302" s="8">
        <v>53.8</v>
      </c>
      <c r="L302" s="9">
        <v>18</v>
      </c>
      <c r="M302" s="9">
        <v>46</v>
      </c>
      <c r="N302" s="8">
        <v>39.6</v>
      </c>
      <c r="O302" s="8">
        <v>55</v>
      </c>
      <c r="P302" s="8">
        <v>69</v>
      </c>
      <c r="Q302" s="8">
        <v>82.1</v>
      </c>
      <c r="R302" s="9">
        <v>32</v>
      </c>
      <c r="S302" s="9">
        <v>83</v>
      </c>
      <c r="T302" s="9">
        <v>115</v>
      </c>
      <c r="U302" s="9">
        <v>193</v>
      </c>
      <c r="V302" s="9">
        <v>37</v>
      </c>
      <c r="W302" s="9">
        <v>37</v>
      </c>
      <c r="X302" s="9">
        <v>9</v>
      </c>
      <c r="Y302" s="9">
        <v>55</v>
      </c>
      <c r="Z302" s="8">
        <v>865</v>
      </c>
      <c r="AA302" s="8">
        <v>1</v>
      </c>
      <c r="AB302" s="8">
        <v>0</v>
      </c>
      <c r="AC302" s="7">
        <v>-0.7</v>
      </c>
      <c r="AD302" s="7">
        <v>112</v>
      </c>
      <c r="AE302" s="7">
        <v>113.5</v>
      </c>
      <c r="AF302" s="7">
        <v>-1.5</v>
      </c>
      <c r="AG302" s="7">
        <v>28.9</v>
      </c>
      <c r="AH302" s="7">
        <v>5.49</v>
      </c>
      <c r="AI302" s="7">
        <v>38.9</v>
      </c>
      <c r="AJ302" s="7">
        <v>3.2</v>
      </c>
      <c r="AK302" s="7">
        <v>8.6</v>
      </c>
      <c r="AL302" s="7">
        <v>5.9</v>
      </c>
      <c r="AM302" s="7">
        <v>7.1</v>
      </c>
      <c r="AN302" s="7">
        <v>57.8</v>
      </c>
      <c r="AO302" s="7">
        <v>61.7</v>
      </c>
      <c r="AP302" s="7">
        <v>13.6</v>
      </c>
      <c r="AQ302" s="7">
        <v>103.35</v>
      </c>
      <c r="AR302" s="7">
        <v>11</v>
      </c>
      <c r="AS302" s="7">
        <v>1948</v>
      </c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1"/>
    </row>
    <row r="303" spans="1:70" ht="13">
      <c r="A303" s="6" t="s">
        <v>643</v>
      </c>
      <c r="B303" s="6" t="s">
        <v>644</v>
      </c>
      <c r="C303" s="7">
        <v>22</v>
      </c>
      <c r="D303" s="7">
        <v>73</v>
      </c>
      <c r="E303" s="7">
        <v>33</v>
      </c>
      <c r="F303" s="7">
        <v>40</v>
      </c>
      <c r="G303" s="7">
        <v>13.5</v>
      </c>
      <c r="H303" s="8">
        <v>329</v>
      </c>
      <c r="I303" s="9">
        <v>117</v>
      </c>
      <c r="J303" s="9">
        <v>270</v>
      </c>
      <c r="K303" s="8">
        <v>44.8</v>
      </c>
      <c r="L303" s="9">
        <v>37</v>
      </c>
      <c r="M303" s="9">
        <v>102</v>
      </c>
      <c r="N303" s="8">
        <v>35.6</v>
      </c>
      <c r="O303" s="8">
        <v>51</v>
      </c>
      <c r="P303" s="8">
        <v>66</v>
      </c>
      <c r="Q303" s="8">
        <v>71</v>
      </c>
      <c r="R303" s="9">
        <v>37</v>
      </c>
      <c r="S303" s="9">
        <v>88</v>
      </c>
      <c r="T303" s="9">
        <v>124</v>
      </c>
      <c r="U303" s="9">
        <v>95</v>
      </c>
      <c r="V303" s="9">
        <v>51</v>
      </c>
      <c r="W303" s="9">
        <v>44</v>
      </c>
      <c r="X303" s="9">
        <v>15</v>
      </c>
      <c r="Y303" s="9">
        <v>117</v>
      </c>
      <c r="Z303" s="8">
        <v>745</v>
      </c>
      <c r="AA303" s="8">
        <v>0</v>
      </c>
      <c r="AB303" s="8">
        <v>0</v>
      </c>
      <c r="AC303" s="7">
        <v>-2.4</v>
      </c>
      <c r="AD303" s="7">
        <v>104</v>
      </c>
      <c r="AE303" s="7">
        <v>111.6</v>
      </c>
      <c r="AF303" s="7">
        <v>-7.6</v>
      </c>
      <c r="AG303" s="7">
        <v>13.6</v>
      </c>
      <c r="AH303" s="7">
        <v>1.83</v>
      </c>
      <c r="AI303" s="7">
        <v>21.6</v>
      </c>
      <c r="AJ303" s="7">
        <v>3.4</v>
      </c>
      <c r="AK303" s="7">
        <v>8</v>
      </c>
      <c r="AL303" s="7">
        <v>5.7</v>
      </c>
      <c r="AM303" s="7">
        <v>11.8</v>
      </c>
      <c r="AN303" s="7">
        <v>51.7</v>
      </c>
      <c r="AO303" s="7">
        <v>54.6</v>
      </c>
      <c r="AP303" s="7">
        <v>14.2</v>
      </c>
      <c r="AQ303" s="7">
        <v>106.51</v>
      </c>
      <c r="AR303" s="7">
        <v>5.6</v>
      </c>
      <c r="AS303" s="7">
        <v>2188</v>
      </c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1"/>
    </row>
    <row r="304" spans="1:70" ht="13">
      <c r="A304" s="6" t="s">
        <v>645</v>
      </c>
      <c r="B304" s="6" t="s">
        <v>646</v>
      </c>
      <c r="C304" s="7">
        <v>22</v>
      </c>
      <c r="D304" s="7">
        <v>35</v>
      </c>
      <c r="E304" s="7">
        <v>7</v>
      </c>
      <c r="F304" s="7">
        <v>28</v>
      </c>
      <c r="G304" s="7">
        <v>14.6</v>
      </c>
      <c r="H304" s="8">
        <v>329</v>
      </c>
      <c r="I304" s="9">
        <v>119</v>
      </c>
      <c r="J304" s="9">
        <v>242</v>
      </c>
      <c r="K304" s="8">
        <v>49.6</v>
      </c>
      <c r="L304" s="9">
        <v>39</v>
      </c>
      <c r="M304" s="9">
        <v>102</v>
      </c>
      <c r="N304" s="8">
        <v>37.299999999999997</v>
      </c>
      <c r="O304" s="8">
        <v>53</v>
      </c>
      <c r="P304" s="8">
        <v>67</v>
      </c>
      <c r="Q304" s="8">
        <v>77.599999999999994</v>
      </c>
      <c r="R304" s="9">
        <v>25</v>
      </c>
      <c r="S304" s="9">
        <v>105</v>
      </c>
      <c r="T304" s="9">
        <v>130</v>
      </c>
      <c r="U304" s="9">
        <v>39</v>
      </c>
      <c r="V304" s="9">
        <v>42</v>
      </c>
      <c r="W304" s="9">
        <v>11</v>
      </c>
      <c r="X304" s="9">
        <v>25</v>
      </c>
      <c r="Y304" s="9">
        <v>56</v>
      </c>
      <c r="Z304" s="8">
        <v>606</v>
      </c>
      <c r="AA304" s="8">
        <v>1</v>
      </c>
      <c r="AB304" s="8">
        <v>0</v>
      </c>
      <c r="AC304" s="7">
        <v>-3.6</v>
      </c>
      <c r="AD304" s="7">
        <v>102.6</v>
      </c>
      <c r="AE304" s="7">
        <v>114.3</v>
      </c>
      <c r="AF304" s="7">
        <v>-11.7</v>
      </c>
      <c r="AG304" s="7">
        <v>13.6</v>
      </c>
      <c r="AH304" s="7">
        <v>0.93</v>
      </c>
      <c r="AI304" s="7">
        <v>11.1</v>
      </c>
      <c r="AJ304" s="7">
        <v>4.5999999999999996</v>
      </c>
      <c r="AK304" s="7">
        <v>18.600000000000001</v>
      </c>
      <c r="AL304" s="7">
        <v>11.6</v>
      </c>
      <c r="AM304" s="7">
        <v>12</v>
      </c>
      <c r="AN304" s="7">
        <v>57.4</v>
      </c>
      <c r="AO304" s="7">
        <v>60.8</v>
      </c>
      <c r="AP304" s="7">
        <v>25.2</v>
      </c>
      <c r="AQ304" s="7">
        <v>102.79</v>
      </c>
      <c r="AR304" s="7">
        <v>12.7</v>
      </c>
      <c r="AS304" s="7">
        <v>1099</v>
      </c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1"/>
    </row>
    <row r="305" spans="1:70" ht="13">
      <c r="A305" s="6" t="s">
        <v>647</v>
      </c>
      <c r="B305" s="6" t="s">
        <v>648</v>
      </c>
      <c r="C305" s="7">
        <v>24</v>
      </c>
      <c r="D305" s="7">
        <v>42</v>
      </c>
      <c r="E305" s="7">
        <v>12</v>
      </c>
      <c r="F305" s="7">
        <v>30</v>
      </c>
      <c r="G305" s="7">
        <v>18.8</v>
      </c>
      <c r="H305" s="8">
        <v>323</v>
      </c>
      <c r="I305" s="9">
        <v>134</v>
      </c>
      <c r="J305" s="9">
        <v>235</v>
      </c>
      <c r="K305" s="8">
        <v>57.4</v>
      </c>
      <c r="L305" s="9">
        <v>21</v>
      </c>
      <c r="M305" s="9">
        <v>67</v>
      </c>
      <c r="N305" s="8">
        <v>31.8</v>
      </c>
      <c r="O305" s="8">
        <v>34</v>
      </c>
      <c r="P305" s="8">
        <v>42</v>
      </c>
      <c r="Q305" s="8">
        <v>77.3</v>
      </c>
      <c r="R305" s="9">
        <v>63</v>
      </c>
      <c r="S305" s="9">
        <v>147</v>
      </c>
      <c r="T305" s="9">
        <v>210</v>
      </c>
      <c r="U305" s="9">
        <v>46</v>
      </c>
      <c r="V305" s="9">
        <v>42</v>
      </c>
      <c r="W305" s="9">
        <v>21</v>
      </c>
      <c r="X305" s="9">
        <v>42</v>
      </c>
      <c r="Y305" s="9">
        <v>105</v>
      </c>
      <c r="Z305" s="8">
        <v>790</v>
      </c>
      <c r="AA305" s="8">
        <v>4</v>
      </c>
      <c r="AB305" s="8">
        <v>0</v>
      </c>
      <c r="AC305" s="7">
        <v>-2.1</v>
      </c>
      <c r="AD305" s="7">
        <v>109.4</v>
      </c>
      <c r="AE305" s="7">
        <v>114.1</v>
      </c>
      <c r="AF305" s="7">
        <v>-4.7</v>
      </c>
      <c r="AG305" s="7">
        <v>8.3000000000000007</v>
      </c>
      <c r="AH305" s="7">
        <v>1.07</v>
      </c>
      <c r="AI305" s="7">
        <v>13.5</v>
      </c>
      <c r="AJ305" s="7">
        <v>7.9</v>
      </c>
      <c r="AK305" s="7">
        <v>17.7</v>
      </c>
      <c r="AL305" s="7">
        <v>12.9</v>
      </c>
      <c r="AM305" s="7">
        <v>12.6</v>
      </c>
      <c r="AN305" s="7">
        <v>61.9</v>
      </c>
      <c r="AO305" s="7">
        <v>63.9</v>
      </c>
      <c r="AP305" s="7">
        <v>15.5</v>
      </c>
      <c r="AQ305" s="7">
        <v>101.91</v>
      </c>
      <c r="AR305" s="7">
        <v>9.6</v>
      </c>
      <c r="AS305" s="7">
        <v>1674</v>
      </c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1"/>
    </row>
    <row r="306" spans="1:70" ht="13">
      <c r="A306" s="6" t="s">
        <v>649</v>
      </c>
      <c r="B306" s="6" t="s">
        <v>650</v>
      </c>
      <c r="C306" s="7">
        <v>28</v>
      </c>
      <c r="D306" s="7">
        <v>59</v>
      </c>
      <c r="E306" s="7">
        <v>47</v>
      </c>
      <c r="F306" s="7">
        <v>12</v>
      </c>
      <c r="G306" s="7">
        <v>21.2</v>
      </c>
      <c r="H306" s="8">
        <v>319</v>
      </c>
      <c r="I306" s="9">
        <v>112</v>
      </c>
      <c r="J306" s="9">
        <v>271</v>
      </c>
      <c r="K306" s="8">
        <v>41.3</v>
      </c>
      <c r="L306" s="9">
        <v>83</v>
      </c>
      <c r="M306" s="9">
        <v>224</v>
      </c>
      <c r="N306" s="8">
        <v>36</v>
      </c>
      <c r="O306" s="8">
        <v>18</v>
      </c>
      <c r="P306" s="8">
        <v>30</v>
      </c>
      <c r="Q306" s="8">
        <v>53.3</v>
      </c>
      <c r="R306" s="9">
        <v>53</v>
      </c>
      <c r="S306" s="9">
        <v>201</v>
      </c>
      <c r="T306" s="9">
        <v>248</v>
      </c>
      <c r="U306" s="9">
        <v>77</v>
      </c>
      <c r="V306" s="9">
        <v>24</v>
      </c>
      <c r="W306" s="9">
        <v>41</v>
      </c>
      <c r="X306" s="9">
        <v>18</v>
      </c>
      <c r="Y306" s="9">
        <v>100</v>
      </c>
      <c r="Z306" s="8">
        <v>897</v>
      </c>
      <c r="AA306" s="8">
        <v>1</v>
      </c>
      <c r="AB306" s="8">
        <v>0</v>
      </c>
      <c r="AC306" s="7">
        <v>4.8</v>
      </c>
      <c r="AD306" s="7">
        <v>120</v>
      </c>
      <c r="AE306" s="7">
        <v>109.4</v>
      </c>
      <c r="AF306" s="7">
        <v>10.7</v>
      </c>
      <c r="AG306" s="7">
        <v>7.3</v>
      </c>
      <c r="AH306" s="7">
        <v>3.45</v>
      </c>
      <c r="AI306" s="7">
        <v>20.100000000000001</v>
      </c>
      <c r="AJ306" s="7">
        <v>4.0999999999999996</v>
      </c>
      <c r="AK306" s="7">
        <v>15</v>
      </c>
      <c r="AL306" s="7">
        <v>9.6999999999999993</v>
      </c>
      <c r="AM306" s="7">
        <v>5.8</v>
      </c>
      <c r="AN306" s="7">
        <v>56.1</v>
      </c>
      <c r="AO306" s="7">
        <v>56.3</v>
      </c>
      <c r="AP306" s="7">
        <v>10.1</v>
      </c>
      <c r="AQ306" s="7">
        <v>101.1</v>
      </c>
      <c r="AR306" s="7">
        <v>6.7</v>
      </c>
      <c r="AS306" s="7">
        <v>2639</v>
      </c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1"/>
    </row>
    <row r="307" spans="1:70" ht="13">
      <c r="A307" s="6" t="s">
        <v>651</v>
      </c>
      <c r="B307" s="6" t="s">
        <v>652</v>
      </c>
      <c r="C307" s="7">
        <v>27</v>
      </c>
      <c r="D307" s="7">
        <v>47</v>
      </c>
      <c r="E307" s="7">
        <v>9</v>
      </c>
      <c r="F307" s="7">
        <v>38</v>
      </c>
      <c r="G307" s="7">
        <v>22.8</v>
      </c>
      <c r="H307" s="8">
        <v>315</v>
      </c>
      <c r="I307" s="9">
        <v>118</v>
      </c>
      <c r="J307" s="9">
        <v>291</v>
      </c>
      <c r="K307" s="8">
        <v>40.5</v>
      </c>
      <c r="L307" s="9">
        <v>56</v>
      </c>
      <c r="M307" s="9">
        <v>165</v>
      </c>
      <c r="N307" s="8">
        <v>33.5</v>
      </c>
      <c r="O307" s="8">
        <v>24</v>
      </c>
      <c r="P307" s="8">
        <v>28</v>
      </c>
      <c r="Q307" s="8">
        <v>80</v>
      </c>
      <c r="R307" s="9">
        <v>38</v>
      </c>
      <c r="S307" s="9">
        <v>99</v>
      </c>
      <c r="T307" s="9">
        <v>136</v>
      </c>
      <c r="U307" s="9">
        <v>52</v>
      </c>
      <c r="V307" s="9">
        <v>33</v>
      </c>
      <c r="W307" s="9">
        <v>28</v>
      </c>
      <c r="X307" s="9">
        <v>24</v>
      </c>
      <c r="Y307" s="9">
        <v>99</v>
      </c>
      <c r="Z307" s="8">
        <v>677</v>
      </c>
      <c r="AA307" s="8">
        <v>0</v>
      </c>
      <c r="AB307" s="8">
        <v>0</v>
      </c>
      <c r="AC307" s="7">
        <v>-5.9</v>
      </c>
      <c r="AD307" s="7">
        <v>106.6</v>
      </c>
      <c r="AE307" s="7">
        <v>118.2</v>
      </c>
      <c r="AF307" s="7">
        <v>-11.6</v>
      </c>
      <c r="AG307" s="7">
        <v>7.3</v>
      </c>
      <c r="AH307" s="7">
        <v>1.51</v>
      </c>
      <c r="AI307" s="7">
        <v>13.5</v>
      </c>
      <c r="AJ307" s="7">
        <v>3.3</v>
      </c>
      <c r="AK307" s="7">
        <v>8.6999999999999993</v>
      </c>
      <c r="AL307" s="7">
        <v>6</v>
      </c>
      <c r="AM307" s="7">
        <v>8.9</v>
      </c>
      <c r="AN307" s="7">
        <v>50</v>
      </c>
      <c r="AO307" s="7">
        <v>51.8</v>
      </c>
      <c r="AP307" s="7">
        <v>13.6</v>
      </c>
      <c r="AQ307" s="7">
        <v>98.04</v>
      </c>
      <c r="AR307" s="7">
        <v>4.5999999999999996</v>
      </c>
      <c r="AS307" s="7">
        <v>2179</v>
      </c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1"/>
    </row>
    <row r="308" spans="1:70" ht="13">
      <c r="A308" s="6" t="s">
        <v>653</v>
      </c>
      <c r="B308" s="6" t="s">
        <v>654</v>
      </c>
      <c r="C308" s="7">
        <v>28</v>
      </c>
      <c r="D308" s="7">
        <v>57</v>
      </c>
      <c r="E308" s="7">
        <v>29</v>
      </c>
      <c r="F308" s="7">
        <v>28</v>
      </c>
      <c r="G308" s="7">
        <v>14.7</v>
      </c>
      <c r="H308" s="8">
        <v>314</v>
      </c>
      <c r="I308" s="9">
        <v>114</v>
      </c>
      <c r="J308" s="9">
        <v>257</v>
      </c>
      <c r="K308" s="8">
        <v>45.3</v>
      </c>
      <c r="L308" s="9">
        <v>40</v>
      </c>
      <c r="M308" s="9">
        <v>108</v>
      </c>
      <c r="N308" s="8">
        <v>35.799999999999997</v>
      </c>
      <c r="O308" s="8">
        <v>46</v>
      </c>
      <c r="P308" s="8">
        <v>57</v>
      </c>
      <c r="Q308" s="8">
        <v>79.7</v>
      </c>
      <c r="R308" s="9">
        <v>29</v>
      </c>
      <c r="S308" s="9">
        <v>74</v>
      </c>
      <c r="T308" s="9">
        <v>103</v>
      </c>
      <c r="U308" s="9">
        <v>103</v>
      </c>
      <c r="V308" s="9">
        <v>40</v>
      </c>
      <c r="W308" s="9">
        <v>23</v>
      </c>
      <c r="X308" s="9">
        <v>6</v>
      </c>
      <c r="Y308" s="9">
        <v>68</v>
      </c>
      <c r="Z308" s="8">
        <v>638</v>
      </c>
      <c r="AA308" s="8">
        <v>1</v>
      </c>
      <c r="AB308" s="8">
        <v>0</v>
      </c>
      <c r="AC308" s="7">
        <v>-2.1</v>
      </c>
      <c r="AD308" s="7">
        <v>106.2</v>
      </c>
      <c r="AE308" s="7">
        <v>113.1</v>
      </c>
      <c r="AF308" s="7">
        <v>-6.9</v>
      </c>
      <c r="AG308" s="7">
        <v>18.399999999999999</v>
      </c>
      <c r="AH308" s="7">
        <v>2.5499999999999998</v>
      </c>
      <c r="AI308" s="7">
        <v>24.2</v>
      </c>
      <c r="AJ308" s="7">
        <v>3.6</v>
      </c>
      <c r="AK308" s="7">
        <v>8.6</v>
      </c>
      <c r="AL308" s="7">
        <v>6.1</v>
      </c>
      <c r="AM308" s="7">
        <v>9.5</v>
      </c>
      <c r="AN308" s="7">
        <v>52.8</v>
      </c>
      <c r="AO308" s="7">
        <v>56.3</v>
      </c>
      <c r="AP308" s="7">
        <v>16.2</v>
      </c>
      <c r="AQ308" s="7">
        <v>98.81</v>
      </c>
      <c r="AR308" s="7">
        <v>8.1</v>
      </c>
      <c r="AS308" s="7">
        <v>1722</v>
      </c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1"/>
    </row>
    <row r="309" spans="1:70" ht="13">
      <c r="A309" s="6" t="s">
        <v>655</v>
      </c>
      <c r="B309" s="6" t="s">
        <v>656</v>
      </c>
      <c r="C309" s="7">
        <v>21</v>
      </c>
      <c r="D309" s="7">
        <v>36</v>
      </c>
      <c r="E309" s="7">
        <v>21</v>
      </c>
      <c r="F309" s="7">
        <v>15</v>
      </c>
      <c r="G309" s="7">
        <v>23.1</v>
      </c>
      <c r="H309" s="8">
        <v>313</v>
      </c>
      <c r="I309" s="9">
        <v>133</v>
      </c>
      <c r="J309" s="9">
        <v>191</v>
      </c>
      <c r="K309" s="8">
        <v>70.2</v>
      </c>
      <c r="L309" s="8">
        <v>0</v>
      </c>
      <c r="M309" s="8">
        <v>0</v>
      </c>
      <c r="N309" s="8">
        <v>0</v>
      </c>
      <c r="O309" s="8">
        <v>47</v>
      </c>
      <c r="P309" s="8">
        <v>72</v>
      </c>
      <c r="Q309" s="8">
        <v>63</v>
      </c>
      <c r="R309" s="9">
        <v>104</v>
      </c>
      <c r="S309" s="9">
        <v>166</v>
      </c>
      <c r="T309" s="9">
        <v>270</v>
      </c>
      <c r="U309" s="9">
        <v>86</v>
      </c>
      <c r="V309" s="9">
        <v>40</v>
      </c>
      <c r="W309" s="9">
        <v>22</v>
      </c>
      <c r="X309" s="9">
        <v>58</v>
      </c>
      <c r="Y309" s="9">
        <v>101</v>
      </c>
      <c r="Z309" s="8">
        <v>954</v>
      </c>
      <c r="AA309" s="8">
        <v>8</v>
      </c>
      <c r="AB309" s="8">
        <v>0</v>
      </c>
      <c r="AC309" s="7">
        <v>3.4</v>
      </c>
      <c r="AD309" s="7">
        <v>114.1</v>
      </c>
      <c r="AE309" s="7">
        <v>106.4</v>
      </c>
      <c r="AF309" s="7">
        <v>7.7</v>
      </c>
      <c r="AG309" s="7">
        <v>14.3</v>
      </c>
      <c r="AH309" s="7">
        <v>2.0699999999999998</v>
      </c>
      <c r="AI309" s="7">
        <v>24.3</v>
      </c>
      <c r="AJ309" s="7">
        <v>12.2</v>
      </c>
      <c r="AK309" s="7">
        <v>18.600000000000001</v>
      </c>
      <c r="AL309" s="7">
        <v>15.5</v>
      </c>
      <c r="AM309" s="7">
        <v>11.7</v>
      </c>
      <c r="AN309" s="7">
        <v>70.2</v>
      </c>
      <c r="AO309" s="7">
        <v>70.400000000000006</v>
      </c>
      <c r="AP309" s="7">
        <v>13.2</v>
      </c>
      <c r="AQ309" s="7">
        <v>100.99</v>
      </c>
      <c r="AR309" s="7">
        <v>12.4</v>
      </c>
      <c r="AS309" s="7">
        <v>1746</v>
      </c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1"/>
    </row>
    <row r="310" spans="1:70" ht="13">
      <c r="A310" s="6" t="s">
        <v>657</v>
      </c>
      <c r="B310" s="6" t="s">
        <v>658</v>
      </c>
      <c r="C310" s="7">
        <v>36</v>
      </c>
      <c r="D310" s="7">
        <v>78</v>
      </c>
      <c r="E310" s="7">
        <v>47</v>
      </c>
      <c r="F310" s="7">
        <v>31</v>
      </c>
      <c r="G310" s="7">
        <v>17.5</v>
      </c>
      <c r="H310" s="8">
        <v>312</v>
      </c>
      <c r="I310" s="9">
        <v>101</v>
      </c>
      <c r="J310" s="9">
        <v>242</v>
      </c>
      <c r="K310" s="8">
        <v>43.7</v>
      </c>
      <c r="L310" s="9">
        <v>86</v>
      </c>
      <c r="M310" s="9">
        <v>203</v>
      </c>
      <c r="N310" s="8">
        <v>43.3</v>
      </c>
      <c r="O310" s="8">
        <v>16</v>
      </c>
      <c r="P310" s="8">
        <v>23</v>
      </c>
      <c r="Q310" s="8">
        <v>81</v>
      </c>
      <c r="R310" s="9">
        <v>47</v>
      </c>
      <c r="S310" s="9">
        <v>172</v>
      </c>
      <c r="T310" s="9">
        <v>218</v>
      </c>
      <c r="U310" s="9">
        <v>86</v>
      </c>
      <c r="V310" s="9">
        <v>31</v>
      </c>
      <c r="W310" s="9">
        <v>55</v>
      </c>
      <c r="X310" s="9">
        <v>39</v>
      </c>
      <c r="Y310" s="9">
        <v>109</v>
      </c>
      <c r="Z310" s="8">
        <v>928</v>
      </c>
      <c r="AA310" s="8">
        <v>0</v>
      </c>
      <c r="AB310" s="8">
        <v>0</v>
      </c>
      <c r="AC310" s="7">
        <v>1.9</v>
      </c>
      <c r="AD310" s="7">
        <v>110.5</v>
      </c>
      <c r="AE310" s="7">
        <v>104.7</v>
      </c>
      <c r="AF310" s="7">
        <v>5.9</v>
      </c>
      <c r="AG310" s="7">
        <v>8.1999999999999993</v>
      </c>
      <c r="AH310" s="7">
        <v>2.4700000000000002</v>
      </c>
      <c r="AI310" s="7">
        <v>23</v>
      </c>
      <c r="AJ310" s="7">
        <v>3.4</v>
      </c>
      <c r="AK310" s="7">
        <v>11.7</v>
      </c>
      <c r="AL310" s="7">
        <v>7.7</v>
      </c>
      <c r="AM310" s="7">
        <v>9.3000000000000007</v>
      </c>
      <c r="AN310" s="7">
        <v>62.2</v>
      </c>
      <c r="AO310" s="7">
        <v>63.3</v>
      </c>
      <c r="AP310" s="7">
        <v>8.6999999999999993</v>
      </c>
      <c r="AQ310" s="7">
        <v>100.22</v>
      </c>
      <c r="AR310" s="7">
        <v>6.9</v>
      </c>
      <c r="AS310" s="7">
        <v>2848</v>
      </c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1"/>
    </row>
    <row r="311" spans="1:70" ht="13">
      <c r="A311" s="6" t="s">
        <v>659</v>
      </c>
      <c r="B311" s="6" t="s">
        <v>660</v>
      </c>
      <c r="C311" s="7">
        <v>22</v>
      </c>
      <c r="D311" s="7">
        <v>60</v>
      </c>
      <c r="E311" s="7">
        <v>23</v>
      </c>
      <c r="F311" s="7">
        <v>37</v>
      </c>
      <c r="G311" s="7">
        <v>12.5</v>
      </c>
      <c r="H311" s="8">
        <v>312</v>
      </c>
      <c r="I311" s="9">
        <v>120</v>
      </c>
      <c r="J311" s="9">
        <v>228</v>
      </c>
      <c r="K311" s="8">
        <v>51.5</v>
      </c>
      <c r="L311" s="9">
        <v>30</v>
      </c>
      <c r="M311" s="9">
        <v>72</v>
      </c>
      <c r="N311" s="8">
        <v>38.9</v>
      </c>
      <c r="O311" s="8">
        <v>48</v>
      </c>
      <c r="P311" s="8">
        <v>72</v>
      </c>
      <c r="Q311" s="8">
        <v>69</v>
      </c>
      <c r="R311" s="9">
        <v>60</v>
      </c>
      <c r="S311" s="9">
        <v>150</v>
      </c>
      <c r="T311" s="9">
        <v>210</v>
      </c>
      <c r="U311" s="9">
        <v>36</v>
      </c>
      <c r="V311" s="9">
        <v>36</v>
      </c>
      <c r="W311" s="9">
        <v>36</v>
      </c>
      <c r="X311" s="9">
        <v>6</v>
      </c>
      <c r="Y311" s="9">
        <v>90</v>
      </c>
      <c r="Z311" s="8">
        <v>702</v>
      </c>
      <c r="AA311" s="8">
        <v>1</v>
      </c>
      <c r="AB311" s="8">
        <v>0</v>
      </c>
      <c r="AC311" s="7">
        <v>0.3</v>
      </c>
      <c r="AD311" s="7">
        <v>108.1</v>
      </c>
      <c r="AE311" s="7">
        <v>107.6</v>
      </c>
      <c r="AF311" s="7">
        <v>0.5</v>
      </c>
      <c r="AG311" s="7">
        <v>7.1</v>
      </c>
      <c r="AH311" s="7">
        <v>1.0900000000000001</v>
      </c>
      <c r="AI311" s="7">
        <v>11.2</v>
      </c>
      <c r="AJ311" s="7">
        <v>7.2</v>
      </c>
      <c r="AK311" s="7">
        <v>19.8</v>
      </c>
      <c r="AL311" s="7">
        <v>13.3</v>
      </c>
      <c r="AM311" s="7">
        <v>10.3</v>
      </c>
      <c r="AN311" s="7">
        <v>57.6</v>
      </c>
      <c r="AO311" s="7">
        <v>60.1</v>
      </c>
      <c r="AP311" s="7">
        <v>15.6</v>
      </c>
      <c r="AQ311" s="7">
        <v>103.86</v>
      </c>
      <c r="AR311" s="7">
        <v>10.7</v>
      </c>
      <c r="AS311" s="7">
        <v>1624</v>
      </c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1"/>
    </row>
    <row r="312" spans="1:70" ht="13">
      <c r="A312" s="6" t="s">
        <v>661</v>
      </c>
      <c r="B312" s="6" t="s">
        <v>662</v>
      </c>
      <c r="C312" s="7">
        <v>25</v>
      </c>
      <c r="D312" s="7">
        <v>62</v>
      </c>
      <c r="E312" s="7">
        <v>46</v>
      </c>
      <c r="F312" s="7">
        <v>16</v>
      </c>
      <c r="G312" s="7">
        <v>13.9</v>
      </c>
      <c r="H312" s="8">
        <v>310</v>
      </c>
      <c r="I312" s="9">
        <v>130</v>
      </c>
      <c r="J312" s="9">
        <v>205</v>
      </c>
      <c r="K312" s="8">
        <v>65</v>
      </c>
      <c r="L312" s="8">
        <v>0</v>
      </c>
      <c r="M312" s="8">
        <v>0</v>
      </c>
      <c r="N312" s="8">
        <v>0</v>
      </c>
      <c r="O312" s="8">
        <v>43</v>
      </c>
      <c r="P312" s="8">
        <v>62</v>
      </c>
      <c r="Q312" s="8">
        <v>75.400000000000006</v>
      </c>
      <c r="R312" s="9">
        <v>87</v>
      </c>
      <c r="S312" s="9">
        <v>149</v>
      </c>
      <c r="T312" s="9">
        <v>236</v>
      </c>
      <c r="U312" s="9">
        <v>43</v>
      </c>
      <c r="V312" s="9">
        <v>37</v>
      </c>
      <c r="W312" s="9">
        <v>19</v>
      </c>
      <c r="X312" s="9">
        <v>43</v>
      </c>
      <c r="Y312" s="9">
        <v>105</v>
      </c>
      <c r="Z312" s="8">
        <v>800</v>
      </c>
      <c r="AA312" s="8">
        <v>0</v>
      </c>
      <c r="AB312" s="8">
        <v>0</v>
      </c>
      <c r="AC312" s="7">
        <v>2.5</v>
      </c>
      <c r="AD312" s="7">
        <v>117.4</v>
      </c>
      <c r="AE312" s="7">
        <v>108.3</v>
      </c>
      <c r="AF312" s="7">
        <v>9.1</v>
      </c>
      <c r="AG312" s="7">
        <v>7.6</v>
      </c>
      <c r="AH312" s="7">
        <v>1.1299999999999999</v>
      </c>
      <c r="AI312" s="7">
        <v>14.2</v>
      </c>
      <c r="AJ312" s="7">
        <v>10.5</v>
      </c>
      <c r="AK312" s="7">
        <v>16.8</v>
      </c>
      <c r="AL312" s="7">
        <v>13.7</v>
      </c>
      <c r="AM312" s="7">
        <v>12.7</v>
      </c>
      <c r="AN312" s="7">
        <v>65</v>
      </c>
      <c r="AO312" s="7">
        <v>67.400000000000006</v>
      </c>
      <c r="AP312" s="7">
        <v>13.6</v>
      </c>
      <c r="AQ312" s="7">
        <v>95.52</v>
      </c>
      <c r="AR312" s="7">
        <v>10.199999999999999</v>
      </c>
      <c r="AS312" s="7">
        <v>1717</v>
      </c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1"/>
    </row>
    <row r="313" spans="1:70" ht="13">
      <c r="A313" s="6" t="s">
        <v>663</v>
      </c>
      <c r="B313" s="6" t="s">
        <v>664</v>
      </c>
      <c r="C313" s="7">
        <v>31</v>
      </c>
      <c r="D313" s="7">
        <v>34</v>
      </c>
      <c r="E313" s="7">
        <v>17</v>
      </c>
      <c r="F313" s="7">
        <v>17</v>
      </c>
      <c r="G313" s="7">
        <v>20</v>
      </c>
      <c r="H313" s="8">
        <v>306</v>
      </c>
      <c r="I313" s="9">
        <v>102</v>
      </c>
      <c r="J313" s="9">
        <v>258</v>
      </c>
      <c r="K313" s="8">
        <v>39.299999999999997</v>
      </c>
      <c r="L313" s="9">
        <v>48</v>
      </c>
      <c r="M313" s="9">
        <v>139</v>
      </c>
      <c r="N313" s="8">
        <v>34.799999999999997</v>
      </c>
      <c r="O313" s="8">
        <v>54</v>
      </c>
      <c r="P313" s="8">
        <v>71</v>
      </c>
      <c r="Q313" s="8">
        <v>76.099999999999994</v>
      </c>
      <c r="R313" s="9">
        <v>17</v>
      </c>
      <c r="S313" s="9">
        <v>54</v>
      </c>
      <c r="T313" s="9">
        <v>71</v>
      </c>
      <c r="U313" s="9">
        <v>109</v>
      </c>
      <c r="V313" s="9">
        <v>54</v>
      </c>
      <c r="W313" s="9">
        <v>37</v>
      </c>
      <c r="X313" s="9">
        <v>10</v>
      </c>
      <c r="Y313" s="9">
        <v>54</v>
      </c>
      <c r="Z313" s="8">
        <v>646</v>
      </c>
      <c r="AA313" s="8">
        <v>0</v>
      </c>
      <c r="AB313" s="8">
        <v>0</v>
      </c>
      <c r="AC313" s="7">
        <v>1.2</v>
      </c>
      <c r="AD313" s="7">
        <v>109.9</v>
      </c>
      <c r="AE313" s="7">
        <v>107.3</v>
      </c>
      <c r="AF313" s="7">
        <v>2.6</v>
      </c>
      <c r="AG313" s="7">
        <v>22.1</v>
      </c>
      <c r="AH313" s="7">
        <v>2.02</v>
      </c>
      <c r="AI313" s="7">
        <v>24.1</v>
      </c>
      <c r="AJ313" s="7">
        <v>2.4</v>
      </c>
      <c r="AK313" s="7">
        <v>6.9</v>
      </c>
      <c r="AL313" s="7">
        <v>4.7</v>
      </c>
      <c r="AM313" s="7">
        <v>11.9</v>
      </c>
      <c r="AN313" s="7">
        <v>48.8</v>
      </c>
      <c r="AO313" s="7">
        <v>52.9</v>
      </c>
      <c r="AP313" s="7">
        <v>19.8</v>
      </c>
      <c r="AQ313" s="7">
        <v>107.13</v>
      </c>
      <c r="AR313" s="7">
        <v>8.6</v>
      </c>
      <c r="AS313" s="7">
        <v>1520</v>
      </c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1"/>
    </row>
    <row r="314" spans="1:70" ht="13">
      <c r="A314" s="6" t="s">
        <v>665</v>
      </c>
      <c r="B314" s="6" t="s">
        <v>666</v>
      </c>
      <c r="C314" s="7">
        <v>32</v>
      </c>
      <c r="D314" s="7">
        <v>24</v>
      </c>
      <c r="E314" s="7">
        <v>6</v>
      </c>
      <c r="F314" s="7">
        <v>18</v>
      </c>
      <c r="G314" s="7">
        <v>23.5</v>
      </c>
      <c r="H314" s="8">
        <v>305</v>
      </c>
      <c r="I314" s="9">
        <v>103</v>
      </c>
      <c r="J314" s="9">
        <v>240</v>
      </c>
      <c r="K314" s="8">
        <v>43.3</v>
      </c>
      <c r="L314" s="9">
        <v>17</v>
      </c>
      <c r="M314" s="9">
        <v>55</v>
      </c>
      <c r="N314" s="8">
        <v>28.6</v>
      </c>
      <c r="O314" s="8">
        <v>82</v>
      </c>
      <c r="P314" s="8">
        <v>91</v>
      </c>
      <c r="Q314" s="8">
        <v>88</v>
      </c>
      <c r="R314" s="9">
        <v>22</v>
      </c>
      <c r="S314" s="9">
        <v>70</v>
      </c>
      <c r="T314" s="9">
        <v>91</v>
      </c>
      <c r="U314" s="9">
        <v>98</v>
      </c>
      <c r="V314" s="9">
        <v>38</v>
      </c>
      <c r="W314" s="9">
        <v>12</v>
      </c>
      <c r="X314" s="9">
        <v>5</v>
      </c>
      <c r="Y314" s="9">
        <v>31</v>
      </c>
      <c r="Z314" s="8">
        <v>578</v>
      </c>
      <c r="AA314" s="8">
        <v>2</v>
      </c>
      <c r="AB314" s="8">
        <v>0</v>
      </c>
      <c r="AC314" s="7">
        <v>-5</v>
      </c>
      <c r="AD314" s="7">
        <v>106.5</v>
      </c>
      <c r="AE314" s="7">
        <v>116.9</v>
      </c>
      <c r="AF314" s="7">
        <v>-10.4</v>
      </c>
      <c r="AG314" s="7">
        <v>26.7</v>
      </c>
      <c r="AH314" s="7">
        <v>2.58</v>
      </c>
      <c r="AI314" s="7">
        <v>23.5</v>
      </c>
      <c r="AJ314" s="7">
        <v>3.6</v>
      </c>
      <c r="AK314" s="7">
        <v>11.9</v>
      </c>
      <c r="AL314" s="7">
        <v>7.7</v>
      </c>
      <c r="AM314" s="7">
        <v>9.1</v>
      </c>
      <c r="AN314" s="7">
        <v>46.7</v>
      </c>
      <c r="AO314" s="7">
        <v>54.4</v>
      </c>
      <c r="AP314" s="7">
        <v>23.1</v>
      </c>
      <c r="AQ314" s="7">
        <v>103.18</v>
      </c>
      <c r="AR314" s="7">
        <v>11.3</v>
      </c>
      <c r="AS314" s="7">
        <v>1215</v>
      </c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1"/>
    </row>
    <row r="315" spans="1:70" ht="13">
      <c r="A315" s="6" t="s">
        <v>667</v>
      </c>
      <c r="B315" s="6" t="s">
        <v>668</v>
      </c>
      <c r="C315" s="7">
        <v>22</v>
      </c>
      <c r="D315" s="7">
        <v>44</v>
      </c>
      <c r="E315" s="7">
        <v>6</v>
      </c>
      <c r="F315" s="7">
        <v>38</v>
      </c>
      <c r="G315" s="7">
        <v>15</v>
      </c>
      <c r="H315" s="8">
        <v>304</v>
      </c>
      <c r="I315" s="9">
        <v>114</v>
      </c>
      <c r="J315" s="9">
        <v>246</v>
      </c>
      <c r="K315" s="8">
        <v>45.6</v>
      </c>
      <c r="L315" s="9">
        <v>53</v>
      </c>
      <c r="M315" s="9">
        <v>128</v>
      </c>
      <c r="N315" s="8">
        <v>39.5</v>
      </c>
      <c r="O315" s="8">
        <v>26</v>
      </c>
      <c r="P315" s="8">
        <v>35</v>
      </c>
      <c r="Q315" s="8">
        <v>80</v>
      </c>
      <c r="R315" s="9">
        <v>18</v>
      </c>
      <c r="S315" s="9">
        <v>44</v>
      </c>
      <c r="T315" s="9">
        <v>62</v>
      </c>
      <c r="U315" s="9">
        <v>40</v>
      </c>
      <c r="V315" s="9">
        <v>31</v>
      </c>
      <c r="W315" s="9">
        <v>22</v>
      </c>
      <c r="X315" s="9">
        <v>4</v>
      </c>
      <c r="Y315" s="9">
        <v>40</v>
      </c>
      <c r="Z315" s="8">
        <v>484</v>
      </c>
      <c r="AA315" s="8">
        <v>0</v>
      </c>
      <c r="AB315" s="8">
        <v>0</v>
      </c>
      <c r="AC315" s="7">
        <v>-3.4</v>
      </c>
      <c r="AD315" s="7">
        <v>107.3</v>
      </c>
      <c r="AE315" s="7">
        <v>117.5</v>
      </c>
      <c r="AF315" s="7">
        <v>-10.199999999999999</v>
      </c>
      <c r="AG315" s="7">
        <v>8.9</v>
      </c>
      <c r="AH315" s="7">
        <v>1.3</v>
      </c>
      <c r="AI315" s="7">
        <v>11.8</v>
      </c>
      <c r="AJ315" s="7">
        <v>2.6</v>
      </c>
      <c r="AK315" s="7">
        <v>7</v>
      </c>
      <c r="AL315" s="7">
        <v>4.7</v>
      </c>
      <c r="AM315" s="7">
        <v>9.1</v>
      </c>
      <c r="AN315" s="7">
        <v>55.8</v>
      </c>
      <c r="AO315" s="7">
        <v>57.9</v>
      </c>
      <c r="AP315" s="7">
        <v>18.3</v>
      </c>
      <c r="AQ315" s="7">
        <v>101.12</v>
      </c>
      <c r="AR315" s="7">
        <v>7.2</v>
      </c>
      <c r="AS315" s="7">
        <v>1386</v>
      </c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1"/>
    </row>
    <row r="316" spans="1:70" ht="13">
      <c r="A316" s="6" t="s">
        <v>669</v>
      </c>
      <c r="B316" s="6" t="s">
        <v>670</v>
      </c>
      <c r="C316" s="7">
        <v>24</v>
      </c>
      <c r="D316" s="7">
        <v>44</v>
      </c>
      <c r="E316" s="7">
        <v>23</v>
      </c>
      <c r="F316" s="7">
        <v>21</v>
      </c>
      <c r="G316" s="7">
        <v>17.5</v>
      </c>
      <c r="H316" s="8">
        <v>304</v>
      </c>
      <c r="I316" s="9">
        <v>114</v>
      </c>
      <c r="J316" s="9">
        <v>260</v>
      </c>
      <c r="K316" s="8">
        <v>44.4</v>
      </c>
      <c r="L316" s="9">
        <v>18</v>
      </c>
      <c r="M316" s="9">
        <v>53</v>
      </c>
      <c r="N316" s="8">
        <v>32.700000000000003</v>
      </c>
      <c r="O316" s="8">
        <v>53</v>
      </c>
      <c r="P316" s="8">
        <v>70</v>
      </c>
      <c r="Q316" s="8">
        <v>77.099999999999994</v>
      </c>
      <c r="R316" s="9">
        <v>88</v>
      </c>
      <c r="S316" s="9">
        <v>132</v>
      </c>
      <c r="T316" s="9">
        <v>220</v>
      </c>
      <c r="U316" s="9">
        <v>79</v>
      </c>
      <c r="V316" s="9">
        <v>48</v>
      </c>
      <c r="W316" s="9">
        <v>18</v>
      </c>
      <c r="X316" s="9">
        <v>18</v>
      </c>
      <c r="Y316" s="9">
        <v>101</v>
      </c>
      <c r="Z316" s="8">
        <v>730</v>
      </c>
      <c r="AA316" s="8">
        <v>4</v>
      </c>
      <c r="AB316" s="8">
        <v>0</v>
      </c>
      <c r="AC316" s="7">
        <v>-2</v>
      </c>
      <c r="AD316" s="7">
        <v>104.5</v>
      </c>
      <c r="AE316" s="7">
        <v>109.2</v>
      </c>
      <c r="AF316" s="7">
        <v>-4.8</v>
      </c>
      <c r="AG316" s="7">
        <v>15.2</v>
      </c>
      <c r="AH316" s="7">
        <v>1.57</v>
      </c>
      <c r="AI316" s="7">
        <v>18.3</v>
      </c>
      <c r="AJ316" s="7">
        <v>9.6999999999999993</v>
      </c>
      <c r="AK316" s="7">
        <v>16.100000000000001</v>
      </c>
      <c r="AL316" s="7">
        <v>12.7</v>
      </c>
      <c r="AM316" s="7">
        <v>11.6</v>
      </c>
      <c r="AN316" s="7">
        <v>47.7</v>
      </c>
      <c r="AO316" s="7">
        <v>51.9</v>
      </c>
      <c r="AP316" s="7">
        <v>17.7</v>
      </c>
      <c r="AQ316" s="7">
        <v>102.45</v>
      </c>
      <c r="AR316" s="7">
        <v>8.8000000000000007</v>
      </c>
      <c r="AS316" s="7">
        <v>1639</v>
      </c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1"/>
    </row>
    <row r="317" spans="1:70" ht="13">
      <c r="A317" s="6" t="s">
        <v>671</v>
      </c>
      <c r="B317" s="6" t="s">
        <v>672</v>
      </c>
      <c r="C317" s="7">
        <v>31</v>
      </c>
      <c r="D317" s="7">
        <v>40</v>
      </c>
      <c r="E317" s="7">
        <v>12</v>
      </c>
      <c r="F317" s="7">
        <v>28</v>
      </c>
      <c r="G317" s="7">
        <v>18.8</v>
      </c>
      <c r="H317" s="8">
        <v>292</v>
      </c>
      <c r="I317" s="9">
        <v>116</v>
      </c>
      <c r="J317" s="9">
        <v>236</v>
      </c>
      <c r="K317" s="8">
        <v>50</v>
      </c>
      <c r="L317" s="9">
        <v>4</v>
      </c>
      <c r="M317" s="9">
        <v>20</v>
      </c>
      <c r="N317" s="8">
        <v>15</v>
      </c>
      <c r="O317" s="8">
        <v>56</v>
      </c>
      <c r="P317" s="8">
        <v>92</v>
      </c>
      <c r="Q317" s="8">
        <v>62.2</v>
      </c>
      <c r="R317" s="9">
        <v>108</v>
      </c>
      <c r="S317" s="9">
        <v>200</v>
      </c>
      <c r="T317" s="9">
        <v>312</v>
      </c>
      <c r="U317" s="9">
        <v>36</v>
      </c>
      <c r="V317" s="9">
        <v>56</v>
      </c>
      <c r="W317" s="9">
        <v>40</v>
      </c>
      <c r="X317" s="9">
        <v>20</v>
      </c>
      <c r="Y317" s="9">
        <v>96</v>
      </c>
      <c r="Z317" s="8">
        <v>832</v>
      </c>
      <c r="AA317" s="8">
        <v>5</v>
      </c>
      <c r="AB317" s="8">
        <v>0</v>
      </c>
      <c r="AC317" s="7">
        <v>-6.1</v>
      </c>
      <c r="AD317" s="7">
        <v>103.4</v>
      </c>
      <c r="AE317" s="7">
        <v>118.9</v>
      </c>
      <c r="AF317" s="7">
        <v>-15.5</v>
      </c>
      <c r="AG317" s="7">
        <v>7</v>
      </c>
      <c r="AH317" s="7">
        <v>0.62</v>
      </c>
      <c r="AI317" s="7">
        <v>9.4</v>
      </c>
      <c r="AJ317" s="7">
        <v>13.4</v>
      </c>
      <c r="AK317" s="7">
        <v>28.8</v>
      </c>
      <c r="AL317" s="7">
        <v>20.5</v>
      </c>
      <c r="AM317" s="7">
        <v>15.2</v>
      </c>
      <c r="AN317" s="7">
        <v>50.6</v>
      </c>
      <c r="AO317" s="7">
        <v>53.5</v>
      </c>
      <c r="AP317" s="7">
        <v>18.3</v>
      </c>
      <c r="AQ317" s="7">
        <v>98.83</v>
      </c>
      <c r="AR317" s="7">
        <v>10.9</v>
      </c>
      <c r="AS317" s="7">
        <v>1543</v>
      </c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1"/>
    </row>
    <row r="318" spans="1:70" ht="13">
      <c r="A318" s="6" t="s">
        <v>673</v>
      </c>
      <c r="B318" s="6" t="s">
        <v>674</v>
      </c>
      <c r="C318" s="7">
        <v>24</v>
      </c>
      <c r="D318" s="7">
        <v>69</v>
      </c>
      <c r="E318" s="7">
        <v>31</v>
      </c>
      <c r="F318" s="7">
        <v>38</v>
      </c>
      <c r="G318" s="7">
        <v>15.1</v>
      </c>
      <c r="H318" s="8">
        <v>290</v>
      </c>
      <c r="I318" s="9">
        <v>117</v>
      </c>
      <c r="J318" s="9">
        <v>276</v>
      </c>
      <c r="K318" s="8">
        <v>41.9</v>
      </c>
      <c r="L318" s="9">
        <v>28</v>
      </c>
      <c r="M318" s="9">
        <v>117</v>
      </c>
      <c r="N318" s="8">
        <v>22.5</v>
      </c>
      <c r="O318" s="8">
        <v>28</v>
      </c>
      <c r="P318" s="8">
        <v>55</v>
      </c>
      <c r="Q318" s="8">
        <v>45.6</v>
      </c>
      <c r="R318" s="9">
        <v>76</v>
      </c>
      <c r="S318" s="9">
        <v>104</v>
      </c>
      <c r="T318" s="9">
        <v>179</v>
      </c>
      <c r="U318" s="9">
        <v>69</v>
      </c>
      <c r="V318" s="9">
        <v>41</v>
      </c>
      <c r="W318" s="9">
        <v>35</v>
      </c>
      <c r="X318" s="9">
        <v>14</v>
      </c>
      <c r="Y318" s="9">
        <v>69</v>
      </c>
      <c r="Z318" s="8">
        <v>718</v>
      </c>
      <c r="AA318" s="8">
        <v>1</v>
      </c>
      <c r="AB318" s="8">
        <v>0</v>
      </c>
      <c r="AC318" s="7">
        <v>-0.7</v>
      </c>
      <c r="AD318" s="7">
        <v>106</v>
      </c>
      <c r="AE318" s="7">
        <v>107.8</v>
      </c>
      <c r="AF318" s="7">
        <v>-1.8</v>
      </c>
      <c r="AG318" s="7">
        <v>9</v>
      </c>
      <c r="AH318" s="7">
        <v>1.58</v>
      </c>
      <c r="AI318" s="7">
        <v>16.3</v>
      </c>
      <c r="AJ318" s="7">
        <v>6.6</v>
      </c>
      <c r="AK318" s="7">
        <v>9.6</v>
      </c>
      <c r="AL318" s="7">
        <v>8.1</v>
      </c>
      <c r="AM318" s="7">
        <v>10.3</v>
      </c>
      <c r="AN318" s="7">
        <v>46.8</v>
      </c>
      <c r="AO318" s="7">
        <v>47.2</v>
      </c>
      <c r="AP318" s="7">
        <v>13.3</v>
      </c>
      <c r="AQ318" s="7">
        <v>102.7</v>
      </c>
      <c r="AR318" s="7">
        <v>6.1</v>
      </c>
      <c r="AS318" s="7">
        <v>2221</v>
      </c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1"/>
    </row>
    <row r="319" spans="1:70" ht="13">
      <c r="A319" s="13" t="s">
        <v>675</v>
      </c>
      <c r="B319" s="6" t="s">
        <v>676</v>
      </c>
      <c r="C319" s="7">
        <v>28</v>
      </c>
      <c r="D319" s="7">
        <v>41</v>
      </c>
      <c r="E319" s="7">
        <v>10</v>
      </c>
      <c r="F319" s="7">
        <v>31</v>
      </c>
      <c r="G319" s="7">
        <v>15.1</v>
      </c>
      <c r="H319" s="8">
        <v>287</v>
      </c>
      <c r="I319" s="9">
        <v>111</v>
      </c>
      <c r="J319" s="9">
        <v>230</v>
      </c>
      <c r="K319" s="8">
        <v>48.7</v>
      </c>
      <c r="L319" s="9">
        <v>29</v>
      </c>
      <c r="M319" s="9">
        <v>70</v>
      </c>
      <c r="N319" s="8">
        <v>40</v>
      </c>
      <c r="O319" s="8">
        <v>33</v>
      </c>
      <c r="P319" s="8">
        <v>45</v>
      </c>
      <c r="Q319" s="8">
        <v>73.3</v>
      </c>
      <c r="R319" s="9">
        <v>12</v>
      </c>
      <c r="S319" s="9">
        <v>49</v>
      </c>
      <c r="T319" s="9">
        <v>62</v>
      </c>
      <c r="U319" s="9">
        <v>78</v>
      </c>
      <c r="V319" s="9">
        <v>16</v>
      </c>
      <c r="W319" s="9">
        <v>25</v>
      </c>
      <c r="X319" s="9">
        <v>12</v>
      </c>
      <c r="Y319" s="9">
        <v>29</v>
      </c>
      <c r="Z319" s="8">
        <v>566</v>
      </c>
      <c r="AA319" s="8">
        <v>0</v>
      </c>
      <c r="AB319" s="8">
        <v>0</v>
      </c>
      <c r="AC319" s="7">
        <v>-2.5</v>
      </c>
      <c r="AD319" s="7">
        <v>107.6</v>
      </c>
      <c r="AE319" s="7">
        <v>116.7</v>
      </c>
      <c r="AF319" s="7">
        <v>-9.1999999999999993</v>
      </c>
      <c r="AG319" s="7">
        <v>19.600000000000001</v>
      </c>
      <c r="AH319" s="7">
        <v>5.2</v>
      </c>
      <c r="AI319" s="7">
        <v>22.8</v>
      </c>
      <c r="AJ319" s="7">
        <v>1.8</v>
      </c>
      <c r="AK319" s="7">
        <v>7.9</v>
      </c>
      <c r="AL319" s="7">
        <v>4.7</v>
      </c>
      <c r="AM319" s="7">
        <v>4.4000000000000004</v>
      </c>
      <c r="AN319" s="7">
        <v>54.8</v>
      </c>
      <c r="AO319" s="7">
        <v>57</v>
      </c>
      <c r="AP319" s="7">
        <v>17.600000000000001</v>
      </c>
      <c r="AQ319" s="7">
        <v>99.32</v>
      </c>
      <c r="AR319" s="7">
        <v>10.6</v>
      </c>
      <c r="AS319" s="7">
        <v>1291</v>
      </c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1"/>
    </row>
    <row r="320" spans="1:70" ht="13">
      <c r="A320" s="6" t="s">
        <v>677</v>
      </c>
      <c r="B320" s="6" t="s">
        <v>678</v>
      </c>
      <c r="C320" s="7">
        <v>28</v>
      </c>
      <c r="D320" s="7">
        <v>50</v>
      </c>
      <c r="E320" s="7">
        <v>30</v>
      </c>
      <c r="F320" s="7">
        <v>20</v>
      </c>
      <c r="G320" s="7">
        <v>15.2</v>
      </c>
      <c r="H320" s="8">
        <v>285</v>
      </c>
      <c r="I320" s="9">
        <v>105</v>
      </c>
      <c r="J320" s="9">
        <v>230</v>
      </c>
      <c r="K320" s="8">
        <v>46.1</v>
      </c>
      <c r="L320" s="9">
        <v>60</v>
      </c>
      <c r="M320" s="9">
        <v>155</v>
      </c>
      <c r="N320" s="8">
        <v>39.700000000000003</v>
      </c>
      <c r="O320" s="8">
        <v>10</v>
      </c>
      <c r="P320" s="8">
        <v>20</v>
      </c>
      <c r="Q320" s="8">
        <v>66.7</v>
      </c>
      <c r="R320" s="9">
        <v>10</v>
      </c>
      <c r="S320" s="9">
        <v>50</v>
      </c>
      <c r="T320" s="9">
        <v>60</v>
      </c>
      <c r="U320" s="9">
        <v>25</v>
      </c>
      <c r="V320" s="9">
        <v>20</v>
      </c>
      <c r="W320" s="9">
        <v>25</v>
      </c>
      <c r="X320" s="8">
        <v>0</v>
      </c>
      <c r="Y320" s="9">
        <v>50</v>
      </c>
      <c r="Z320" s="8">
        <v>455</v>
      </c>
      <c r="AA320" s="8">
        <v>0</v>
      </c>
      <c r="AB320" s="8">
        <v>0</v>
      </c>
      <c r="AC320" s="7">
        <v>1.8</v>
      </c>
      <c r="AD320" s="7">
        <v>111.6</v>
      </c>
      <c r="AE320" s="7">
        <v>106.5</v>
      </c>
      <c r="AF320" s="7">
        <v>5.0999999999999996</v>
      </c>
      <c r="AG320" s="7">
        <v>4.9000000000000004</v>
      </c>
      <c r="AH320" s="7">
        <v>1.23</v>
      </c>
      <c r="AI320" s="7">
        <v>9.4</v>
      </c>
      <c r="AJ320" s="7">
        <v>1.4</v>
      </c>
      <c r="AK320" s="7">
        <v>6.4</v>
      </c>
      <c r="AL320" s="7">
        <v>3.9</v>
      </c>
      <c r="AM320" s="7">
        <v>7.7</v>
      </c>
      <c r="AN320" s="7">
        <v>59.6</v>
      </c>
      <c r="AO320" s="7">
        <v>60.1</v>
      </c>
      <c r="AP320" s="7">
        <v>14.3</v>
      </c>
      <c r="AQ320" s="7">
        <v>99.55</v>
      </c>
      <c r="AR320" s="7">
        <v>6.2</v>
      </c>
      <c r="AS320" s="7">
        <v>1583</v>
      </c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1"/>
    </row>
    <row r="321" spans="1:70" ht="13">
      <c r="A321" s="6" t="s">
        <v>679</v>
      </c>
      <c r="B321" s="6" t="s">
        <v>680</v>
      </c>
      <c r="C321" s="7">
        <v>26</v>
      </c>
      <c r="D321" s="7">
        <v>40</v>
      </c>
      <c r="E321" s="7">
        <v>11</v>
      </c>
      <c r="F321" s="7">
        <v>29</v>
      </c>
      <c r="G321" s="7">
        <v>15.6</v>
      </c>
      <c r="H321" s="8">
        <v>284</v>
      </c>
      <c r="I321" s="9">
        <v>96</v>
      </c>
      <c r="J321" s="9">
        <v>212</v>
      </c>
      <c r="K321" s="8">
        <v>44.3</v>
      </c>
      <c r="L321" s="9">
        <v>32</v>
      </c>
      <c r="M321" s="9">
        <v>92</v>
      </c>
      <c r="N321" s="8">
        <v>34.799999999999997</v>
      </c>
      <c r="O321" s="8">
        <v>64</v>
      </c>
      <c r="P321" s="8">
        <v>84</v>
      </c>
      <c r="Q321" s="8">
        <v>74.099999999999994</v>
      </c>
      <c r="R321" s="9">
        <v>44</v>
      </c>
      <c r="S321" s="9">
        <v>68</v>
      </c>
      <c r="T321" s="9">
        <v>112</v>
      </c>
      <c r="U321" s="9">
        <v>32</v>
      </c>
      <c r="V321" s="9">
        <v>32</v>
      </c>
      <c r="W321" s="9">
        <v>48</v>
      </c>
      <c r="X321" s="9">
        <v>20</v>
      </c>
      <c r="Y321" s="9">
        <v>48</v>
      </c>
      <c r="Z321" s="8">
        <v>636</v>
      </c>
      <c r="AA321" s="8">
        <v>1</v>
      </c>
      <c r="AB321" s="8">
        <v>0</v>
      </c>
      <c r="AC321" s="7">
        <v>-0.3</v>
      </c>
      <c r="AD321" s="7">
        <v>108.8</v>
      </c>
      <c r="AE321" s="7">
        <v>109.3</v>
      </c>
      <c r="AF321" s="7">
        <v>-0.5</v>
      </c>
      <c r="AG321" s="7">
        <v>8.1999999999999993</v>
      </c>
      <c r="AH321" s="7">
        <v>1.06</v>
      </c>
      <c r="AI321" s="7">
        <v>10.5</v>
      </c>
      <c r="AJ321" s="7">
        <v>6.6</v>
      </c>
      <c r="AK321" s="7">
        <v>10.8</v>
      </c>
      <c r="AL321" s="7">
        <v>8.6</v>
      </c>
      <c r="AM321" s="7">
        <v>9.9</v>
      </c>
      <c r="AN321" s="7">
        <v>51.9</v>
      </c>
      <c r="AO321" s="7">
        <v>56.7</v>
      </c>
      <c r="AP321" s="7">
        <v>18.5</v>
      </c>
      <c r="AQ321" s="7">
        <v>98.69</v>
      </c>
      <c r="AR321" s="7">
        <v>10</v>
      </c>
      <c r="AS321" s="7">
        <v>1282</v>
      </c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1"/>
    </row>
    <row r="322" spans="1:70" ht="13">
      <c r="A322" s="6" t="s">
        <v>681</v>
      </c>
      <c r="B322" s="6" t="s">
        <v>682</v>
      </c>
      <c r="C322" s="7">
        <v>22</v>
      </c>
      <c r="D322" s="7">
        <v>36</v>
      </c>
      <c r="E322" s="7">
        <v>3</v>
      </c>
      <c r="F322" s="7">
        <v>33</v>
      </c>
      <c r="G322" s="7">
        <v>23.4</v>
      </c>
      <c r="H322" s="8">
        <v>281</v>
      </c>
      <c r="I322" s="9">
        <v>104</v>
      </c>
      <c r="J322" s="9">
        <v>302</v>
      </c>
      <c r="K322" s="8">
        <v>34.6</v>
      </c>
      <c r="L322" s="9">
        <v>32</v>
      </c>
      <c r="M322" s="9">
        <v>130</v>
      </c>
      <c r="N322" s="8">
        <v>25.4</v>
      </c>
      <c r="O322" s="8">
        <v>40</v>
      </c>
      <c r="P322" s="8">
        <v>50</v>
      </c>
      <c r="Q322" s="8">
        <v>82</v>
      </c>
      <c r="R322" s="9">
        <v>40</v>
      </c>
      <c r="S322" s="9">
        <v>68</v>
      </c>
      <c r="T322" s="9">
        <v>108</v>
      </c>
      <c r="U322" s="9">
        <v>112</v>
      </c>
      <c r="V322" s="9">
        <v>58</v>
      </c>
      <c r="W322" s="9">
        <v>32</v>
      </c>
      <c r="X322" s="9">
        <v>7</v>
      </c>
      <c r="Y322" s="9">
        <v>58</v>
      </c>
      <c r="Z322" s="8">
        <v>644</v>
      </c>
      <c r="AA322" s="8">
        <v>0</v>
      </c>
      <c r="AB322" s="8">
        <v>0</v>
      </c>
      <c r="AC322" s="7">
        <v>-7.7</v>
      </c>
      <c r="AD322" s="7">
        <v>101</v>
      </c>
      <c r="AE322" s="7">
        <v>116.4</v>
      </c>
      <c r="AF322" s="7">
        <v>-15.4</v>
      </c>
      <c r="AG322" s="7">
        <v>21</v>
      </c>
      <c r="AH322" s="7">
        <v>2</v>
      </c>
      <c r="AI322" s="7">
        <v>22.8</v>
      </c>
      <c r="AJ322" s="7">
        <v>4.2</v>
      </c>
      <c r="AK322" s="7">
        <v>8.1</v>
      </c>
      <c r="AL322" s="7">
        <v>6</v>
      </c>
      <c r="AM322" s="7">
        <v>11.4</v>
      </c>
      <c r="AN322" s="7">
        <v>40</v>
      </c>
      <c r="AO322" s="7">
        <v>43.7</v>
      </c>
      <c r="AP322" s="7">
        <v>18.8</v>
      </c>
      <c r="AQ322" s="7">
        <v>99.1</v>
      </c>
      <c r="AR322" s="7">
        <v>6</v>
      </c>
      <c r="AS322" s="7">
        <v>1734</v>
      </c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1"/>
    </row>
    <row r="323" spans="1:70" ht="13">
      <c r="A323" s="6" t="s">
        <v>683</v>
      </c>
      <c r="B323" s="6" t="s">
        <v>684</v>
      </c>
      <c r="C323" s="7">
        <v>28</v>
      </c>
      <c r="D323" s="7">
        <v>61</v>
      </c>
      <c r="E323" s="7">
        <v>25</v>
      </c>
      <c r="F323" s="7">
        <v>36</v>
      </c>
      <c r="G323" s="7">
        <v>12.2</v>
      </c>
      <c r="H323" s="8">
        <v>281</v>
      </c>
      <c r="I323" s="9">
        <v>116</v>
      </c>
      <c r="J323" s="9">
        <v>195</v>
      </c>
      <c r="K323" s="8">
        <v>59.3</v>
      </c>
      <c r="L323" s="8">
        <v>0</v>
      </c>
      <c r="M323" s="9">
        <v>6</v>
      </c>
      <c r="N323" s="8">
        <v>50</v>
      </c>
      <c r="O323" s="8">
        <v>49</v>
      </c>
      <c r="P323" s="8">
        <v>73</v>
      </c>
      <c r="Q323" s="8">
        <v>66.2</v>
      </c>
      <c r="R323" s="9">
        <v>61</v>
      </c>
      <c r="S323" s="9">
        <v>165</v>
      </c>
      <c r="T323" s="9">
        <v>226</v>
      </c>
      <c r="U323" s="9">
        <v>55</v>
      </c>
      <c r="V323" s="9">
        <v>43</v>
      </c>
      <c r="W323" s="9">
        <v>12</v>
      </c>
      <c r="X323" s="9">
        <v>37</v>
      </c>
      <c r="Y323" s="9">
        <v>61</v>
      </c>
      <c r="Z323" s="8">
        <v>744</v>
      </c>
      <c r="AA323" s="8">
        <v>0</v>
      </c>
      <c r="AB323" s="8">
        <v>0</v>
      </c>
      <c r="AC323" s="7">
        <v>-2.1</v>
      </c>
      <c r="AD323" s="7">
        <v>106.7</v>
      </c>
      <c r="AE323" s="7">
        <v>114.8</v>
      </c>
      <c r="AF323" s="7">
        <v>-8.1</v>
      </c>
      <c r="AG323" s="7">
        <v>11</v>
      </c>
      <c r="AH323" s="7">
        <v>1.32</v>
      </c>
      <c r="AI323" s="7">
        <v>16.7</v>
      </c>
      <c r="AJ323" s="7">
        <v>7.8</v>
      </c>
      <c r="AK323" s="7">
        <v>21.1</v>
      </c>
      <c r="AL323" s="7">
        <v>14.5</v>
      </c>
      <c r="AM323" s="7">
        <v>12.7</v>
      </c>
      <c r="AN323" s="7">
        <v>60.1</v>
      </c>
      <c r="AO323" s="7">
        <v>62.2</v>
      </c>
      <c r="AP323" s="7">
        <v>14.9</v>
      </c>
      <c r="AQ323" s="7">
        <v>102.72</v>
      </c>
      <c r="AR323" s="7">
        <v>11.1</v>
      </c>
      <c r="AS323" s="7">
        <v>1598</v>
      </c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1"/>
    </row>
    <row r="324" spans="1:70" ht="13">
      <c r="A324" s="6" t="s">
        <v>685</v>
      </c>
      <c r="B324" s="6" t="s">
        <v>686</v>
      </c>
      <c r="C324" s="7">
        <v>22</v>
      </c>
      <c r="D324" s="7">
        <v>47</v>
      </c>
      <c r="E324" s="7">
        <v>40</v>
      </c>
      <c r="F324" s="7">
        <v>7</v>
      </c>
      <c r="G324" s="7">
        <v>16.7</v>
      </c>
      <c r="H324" s="8">
        <v>277</v>
      </c>
      <c r="I324" s="9">
        <v>99</v>
      </c>
      <c r="J324" s="9">
        <v>221</v>
      </c>
      <c r="K324" s="8">
        <v>43.9</v>
      </c>
      <c r="L324" s="9">
        <v>61</v>
      </c>
      <c r="M324" s="9">
        <v>155</v>
      </c>
      <c r="N324" s="8">
        <v>39.9</v>
      </c>
      <c r="O324" s="8">
        <v>24</v>
      </c>
      <c r="P324" s="8">
        <v>28</v>
      </c>
      <c r="Q324" s="8">
        <v>76.7</v>
      </c>
      <c r="R324" s="9">
        <v>47</v>
      </c>
      <c r="S324" s="9">
        <v>216</v>
      </c>
      <c r="T324" s="9">
        <v>263</v>
      </c>
      <c r="U324" s="9">
        <v>122</v>
      </c>
      <c r="V324" s="9">
        <v>33</v>
      </c>
      <c r="W324" s="9">
        <v>24</v>
      </c>
      <c r="X324" s="9">
        <v>28</v>
      </c>
      <c r="Y324" s="9">
        <v>80</v>
      </c>
      <c r="Z324" s="8">
        <v>888</v>
      </c>
      <c r="AA324" s="8">
        <v>4</v>
      </c>
      <c r="AB324" s="8">
        <v>3</v>
      </c>
      <c r="AC324" s="7">
        <v>6.4</v>
      </c>
      <c r="AD324" s="7">
        <v>121</v>
      </c>
      <c r="AE324" s="7">
        <v>103</v>
      </c>
      <c r="AF324" s="7">
        <v>17.899999999999999</v>
      </c>
      <c r="AG324" s="7">
        <v>19</v>
      </c>
      <c r="AH324" s="7">
        <v>3.43</v>
      </c>
      <c r="AI324" s="7">
        <v>30.9</v>
      </c>
      <c r="AJ324" s="7">
        <v>5.9</v>
      </c>
      <c r="AK324" s="7">
        <v>25.1</v>
      </c>
      <c r="AL324" s="7">
        <v>15.8</v>
      </c>
      <c r="AM324" s="7">
        <v>9</v>
      </c>
      <c r="AN324" s="7">
        <v>57.7</v>
      </c>
      <c r="AO324" s="7">
        <v>59.4</v>
      </c>
      <c r="AP324" s="7">
        <v>14.1</v>
      </c>
      <c r="AQ324" s="7">
        <v>102.7</v>
      </c>
      <c r="AR324" s="7">
        <v>12.4</v>
      </c>
      <c r="AS324" s="7">
        <v>1678</v>
      </c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1"/>
    </row>
    <row r="325" spans="1:70" ht="13">
      <c r="A325" s="6" t="s">
        <v>687</v>
      </c>
      <c r="B325" s="6" t="s">
        <v>688</v>
      </c>
      <c r="C325" s="7">
        <v>24</v>
      </c>
      <c r="D325" s="7">
        <v>43</v>
      </c>
      <c r="E325" s="7">
        <v>11</v>
      </c>
      <c r="F325" s="7">
        <v>32</v>
      </c>
      <c r="G325" s="7">
        <v>21.2</v>
      </c>
      <c r="H325" s="8">
        <v>275</v>
      </c>
      <c r="I325" s="9">
        <v>112</v>
      </c>
      <c r="J325" s="9">
        <v>202</v>
      </c>
      <c r="K325" s="8">
        <v>55.2</v>
      </c>
      <c r="L325" s="9">
        <v>13</v>
      </c>
      <c r="M325" s="9">
        <v>56</v>
      </c>
      <c r="N325" s="8">
        <v>25.9</v>
      </c>
      <c r="O325" s="8">
        <v>39</v>
      </c>
      <c r="P325" s="8">
        <v>47</v>
      </c>
      <c r="Q325" s="8">
        <v>78.7</v>
      </c>
      <c r="R325" s="9">
        <v>30</v>
      </c>
      <c r="S325" s="9">
        <v>95</v>
      </c>
      <c r="T325" s="9">
        <v>125</v>
      </c>
      <c r="U325" s="9">
        <v>47</v>
      </c>
      <c r="V325" s="9">
        <v>26</v>
      </c>
      <c r="W325" s="9">
        <v>17</v>
      </c>
      <c r="X325" s="9">
        <v>22</v>
      </c>
      <c r="Y325" s="9">
        <v>99</v>
      </c>
      <c r="Z325" s="8">
        <v>589</v>
      </c>
      <c r="AA325" s="8">
        <v>0</v>
      </c>
      <c r="AB325" s="8">
        <v>0</v>
      </c>
      <c r="AC325" s="7">
        <v>-3.3</v>
      </c>
      <c r="AD325" s="7">
        <v>109.3</v>
      </c>
      <c r="AE325" s="7">
        <v>117.4</v>
      </c>
      <c r="AF325" s="7">
        <v>-8.1</v>
      </c>
      <c r="AG325" s="7">
        <v>7.4</v>
      </c>
      <c r="AH325" s="7">
        <v>2</v>
      </c>
      <c r="AI325" s="7">
        <v>16.399999999999999</v>
      </c>
      <c r="AJ325" s="7">
        <v>3.2</v>
      </c>
      <c r="AK325" s="7">
        <v>10.3</v>
      </c>
      <c r="AL325" s="7">
        <v>6.7</v>
      </c>
      <c r="AM325" s="7">
        <v>8.1999999999999993</v>
      </c>
      <c r="AN325" s="7">
        <v>59</v>
      </c>
      <c r="AO325" s="7">
        <v>61.8</v>
      </c>
      <c r="AP325" s="7">
        <v>11.2</v>
      </c>
      <c r="AQ325" s="7">
        <v>100.63</v>
      </c>
      <c r="AR325" s="7">
        <v>6.1</v>
      </c>
      <c r="AS325" s="7">
        <v>1917</v>
      </c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1"/>
    </row>
    <row r="326" spans="1:70" ht="13">
      <c r="A326" s="6" t="s">
        <v>689</v>
      </c>
      <c r="B326" s="6" t="s">
        <v>690</v>
      </c>
      <c r="C326" s="7">
        <v>25</v>
      </c>
      <c r="D326" s="7">
        <v>33</v>
      </c>
      <c r="E326" s="7">
        <v>15</v>
      </c>
      <c r="F326" s="7">
        <v>18</v>
      </c>
      <c r="G326" s="7">
        <v>14.8</v>
      </c>
      <c r="H326" s="8">
        <v>274</v>
      </c>
      <c r="I326" s="9">
        <v>99</v>
      </c>
      <c r="J326" s="9">
        <v>188</v>
      </c>
      <c r="K326" s="8">
        <v>52.1</v>
      </c>
      <c r="L326" s="9">
        <v>23</v>
      </c>
      <c r="M326" s="9">
        <v>59</v>
      </c>
      <c r="N326" s="8">
        <v>40</v>
      </c>
      <c r="O326" s="8">
        <v>56</v>
      </c>
      <c r="P326" s="8">
        <v>66</v>
      </c>
      <c r="Q326" s="8">
        <v>83.3</v>
      </c>
      <c r="R326" s="9">
        <v>13</v>
      </c>
      <c r="S326" s="9">
        <v>46</v>
      </c>
      <c r="T326" s="9">
        <v>59</v>
      </c>
      <c r="U326" s="9">
        <v>76</v>
      </c>
      <c r="V326" s="9">
        <v>40</v>
      </c>
      <c r="W326" s="9">
        <v>23</v>
      </c>
      <c r="X326" s="9">
        <v>7</v>
      </c>
      <c r="Y326" s="9">
        <v>33</v>
      </c>
      <c r="Z326" s="8">
        <v>508</v>
      </c>
      <c r="AA326" s="8">
        <v>0</v>
      </c>
      <c r="AB326" s="8">
        <v>0</v>
      </c>
      <c r="AC326" s="7">
        <v>0.3</v>
      </c>
      <c r="AD326" s="7">
        <v>109.5</v>
      </c>
      <c r="AE326" s="7">
        <v>108.8</v>
      </c>
      <c r="AF326" s="7">
        <v>0.7</v>
      </c>
      <c r="AG326" s="7">
        <v>22.8</v>
      </c>
      <c r="AH326" s="7">
        <v>1.95</v>
      </c>
      <c r="AI326" s="7">
        <v>22.9</v>
      </c>
      <c r="AJ326" s="7">
        <v>2.5</v>
      </c>
      <c r="AK326" s="7">
        <v>9.1</v>
      </c>
      <c r="AL326" s="7">
        <v>5.9</v>
      </c>
      <c r="AM326" s="7">
        <v>11.7</v>
      </c>
      <c r="AN326" s="7">
        <v>58.5</v>
      </c>
      <c r="AO326" s="7">
        <v>63.4</v>
      </c>
      <c r="AP326" s="7">
        <v>21.8</v>
      </c>
      <c r="AQ326" s="7">
        <v>104.74</v>
      </c>
      <c r="AR326" s="7">
        <v>11.9</v>
      </c>
      <c r="AS326" s="7">
        <v>1064</v>
      </c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1"/>
    </row>
    <row r="327" spans="1:70" ht="13">
      <c r="A327" s="6" t="s">
        <v>691</v>
      </c>
      <c r="B327" s="6" t="s">
        <v>692</v>
      </c>
      <c r="C327" s="7">
        <v>31</v>
      </c>
      <c r="D327" s="7">
        <v>41</v>
      </c>
      <c r="E327" s="7">
        <v>8</v>
      </c>
      <c r="F327" s="7">
        <v>33</v>
      </c>
      <c r="G327" s="7">
        <v>19.100000000000001</v>
      </c>
      <c r="H327" s="8">
        <v>271</v>
      </c>
      <c r="I327" s="9">
        <v>94</v>
      </c>
      <c r="J327" s="9">
        <v>275</v>
      </c>
      <c r="K327" s="8">
        <v>34.799999999999997</v>
      </c>
      <c r="L327" s="9">
        <v>45</v>
      </c>
      <c r="M327" s="9">
        <v>123</v>
      </c>
      <c r="N327" s="8">
        <v>36</v>
      </c>
      <c r="O327" s="8">
        <v>33</v>
      </c>
      <c r="P327" s="8">
        <v>41</v>
      </c>
      <c r="Q327" s="8">
        <v>82.9</v>
      </c>
      <c r="R327" s="9">
        <v>21</v>
      </c>
      <c r="S327" s="9">
        <v>70</v>
      </c>
      <c r="T327" s="9">
        <v>90</v>
      </c>
      <c r="U327" s="9">
        <v>127</v>
      </c>
      <c r="V327" s="9">
        <v>78</v>
      </c>
      <c r="W327" s="9">
        <v>16</v>
      </c>
      <c r="X327" s="8">
        <v>0</v>
      </c>
      <c r="Y327" s="9">
        <v>45</v>
      </c>
      <c r="Z327" s="8">
        <v>537</v>
      </c>
      <c r="AA327" s="8">
        <v>1</v>
      </c>
      <c r="AB327" s="8">
        <v>0</v>
      </c>
      <c r="AC327" s="7">
        <v>-3</v>
      </c>
      <c r="AD327" s="7">
        <v>102.2</v>
      </c>
      <c r="AE327" s="7">
        <v>109.4</v>
      </c>
      <c r="AF327" s="7">
        <v>-7.2</v>
      </c>
      <c r="AG327" s="7">
        <v>25.8</v>
      </c>
      <c r="AH327" s="7">
        <v>1.66</v>
      </c>
      <c r="AI327" s="7">
        <v>25.9</v>
      </c>
      <c r="AJ327" s="7">
        <v>2.2999999999999998</v>
      </c>
      <c r="AK327" s="7">
        <v>8.5</v>
      </c>
      <c r="AL327" s="7">
        <v>5.3</v>
      </c>
      <c r="AM327" s="7">
        <v>15.6</v>
      </c>
      <c r="AN327" s="7">
        <v>43</v>
      </c>
      <c r="AO327" s="7">
        <v>46.2</v>
      </c>
      <c r="AP327" s="7">
        <v>19.899999999999999</v>
      </c>
      <c r="AQ327" s="7">
        <v>97.45</v>
      </c>
      <c r="AR327" s="7">
        <v>6.1</v>
      </c>
      <c r="AS327" s="7">
        <v>1590</v>
      </c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1"/>
    </row>
    <row r="328" spans="1:70" ht="13">
      <c r="A328" s="6" t="s">
        <v>693</v>
      </c>
      <c r="B328" s="6" t="s">
        <v>694</v>
      </c>
      <c r="C328" s="7">
        <v>21</v>
      </c>
      <c r="D328" s="7">
        <v>60</v>
      </c>
      <c r="E328" s="7">
        <v>29</v>
      </c>
      <c r="F328" s="7">
        <v>31</v>
      </c>
      <c r="G328" s="7">
        <v>11.7</v>
      </c>
      <c r="H328" s="8">
        <v>270</v>
      </c>
      <c r="I328" s="9">
        <v>96</v>
      </c>
      <c r="J328" s="9">
        <v>264</v>
      </c>
      <c r="K328" s="8">
        <v>37.4</v>
      </c>
      <c r="L328" s="9">
        <v>54</v>
      </c>
      <c r="M328" s="9">
        <v>186</v>
      </c>
      <c r="N328" s="8">
        <v>29.6</v>
      </c>
      <c r="O328" s="8">
        <v>18</v>
      </c>
      <c r="P328" s="8">
        <v>24</v>
      </c>
      <c r="Q328" s="8">
        <v>69.599999999999994</v>
      </c>
      <c r="R328" s="9">
        <v>18</v>
      </c>
      <c r="S328" s="9">
        <v>48</v>
      </c>
      <c r="T328" s="9">
        <v>72</v>
      </c>
      <c r="U328" s="9">
        <v>42</v>
      </c>
      <c r="V328" s="9">
        <v>36</v>
      </c>
      <c r="W328" s="9">
        <v>12</v>
      </c>
      <c r="X328" s="9">
        <v>12</v>
      </c>
      <c r="Y328" s="9">
        <v>66</v>
      </c>
      <c r="Z328" s="8">
        <v>456</v>
      </c>
      <c r="AA328" s="8">
        <v>0</v>
      </c>
      <c r="AB328" s="8">
        <v>0</v>
      </c>
      <c r="AC328" s="7">
        <v>-1.4</v>
      </c>
      <c r="AD328" s="7">
        <v>103</v>
      </c>
      <c r="AE328" s="7">
        <v>108.7</v>
      </c>
      <c r="AF328" s="7">
        <v>-5.7</v>
      </c>
      <c r="AG328" s="7">
        <v>10.199999999999999</v>
      </c>
      <c r="AH328" s="7">
        <v>1.22</v>
      </c>
      <c r="AI328" s="7">
        <v>12.5</v>
      </c>
      <c r="AJ328" s="7">
        <v>2.6</v>
      </c>
      <c r="AK328" s="7">
        <v>7.4</v>
      </c>
      <c r="AL328" s="7">
        <v>4.8</v>
      </c>
      <c r="AM328" s="7">
        <v>10.199999999999999</v>
      </c>
      <c r="AN328" s="7">
        <v>47.9</v>
      </c>
      <c r="AO328" s="7">
        <v>49.1</v>
      </c>
      <c r="AP328" s="7">
        <v>18.100000000000001</v>
      </c>
      <c r="AQ328" s="7">
        <v>99.92</v>
      </c>
      <c r="AR328" s="7">
        <v>4.5</v>
      </c>
      <c r="AS328" s="7">
        <v>1458</v>
      </c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1"/>
    </row>
    <row r="329" spans="1:70" ht="13">
      <c r="A329" s="6" t="s">
        <v>695</v>
      </c>
      <c r="B329" s="6" t="s">
        <v>696</v>
      </c>
      <c r="C329" s="7">
        <v>24</v>
      </c>
      <c r="D329" s="7">
        <v>28</v>
      </c>
      <c r="E329" s="7">
        <v>8</v>
      </c>
      <c r="F329" s="7">
        <v>20</v>
      </c>
      <c r="G329" s="7">
        <v>23.7</v>
      </c>
      <c r="H329" s="8">
        <v>266</v>
      </c>
      <c r="I329" s="9">
        <v>95</v>
      </c>
      <c r="J329" s="9">
        <v>221</v>
      </c>
      <c r="K329" s="8">
        <v>42.7</v>
      </c>
      <c r="L329" s="9">
        <v>25</v>
      </c>
      <c r="M329" s="9">
        <v>78</v>
      </c>
      <c r="N329" s="8">
        <v>31.2</v>
      </c>
      <c r="O329" s="8">
        <v>56</v>
      </c>
      <c r="P329" s="8">
        <v>73</v>
      </c>
      <c r="Q329" s="8">
        <v>75.3</v>
      </c>
      <c r="R329" s="9">
        <v>31</v>
      </c>
      <c r="S329" s="9">
        <v>87</v>
      </c>
      <c r="T329" s="9">
        <v>120</v>
      </c>
      <c r="U329" s="9">
        <v>56</v>
      </c>
      <c r="V329" s="9">
        <v>39</v>
      </c>
      <c r="W329" s="9">
        <v>25</v>
      </c>
      <c r="X329" s="9">
        <v>11</v>
      </c>
      <c r="Y329" s="9">
        <v>56</v>
      </c>
      <c r="Z329" s="8">
        <v>557</v>
      </c>
      <c r="AA329" s="8">
        <v>0</v>
      </c>
      <c r="AB329" s="8">
        <v>0</v>
      </c>
      <c r="AC329" s="7">
        <v>-2.4</v>
      </c>
      <c r="AD329" s="7">
        <v>103.4</v>
      </c>
      <c r="AE329" s="7">
        <v>108.4</v>
      </c>
      <c r="AF329" s="7">
        <v>-5</v>
      </c>
      <c r="AG329" s="7">
        <v>13.2</v>
      </c>
      <c r="AH329" s="7">
        <v>1.41</v>
      </c>
      <c r="AI329" s="7">
        <v>15.9</v>
      </c>
      <c r="AJ329" s="7">
        <v>4.4000000000000004</v>
      </c>
      <c r="AK329" s="7">
        <v>13.6</v>
      </c>
      <c r="AL329" s="7">
        <v>8.6999999999999993</v>
      </c>
      <c r="AM329" s="7">
        <v>11.2</v>
      </c>
      <c r="AN329" s="7">
        <v>48.2</v>
      </c>
      <c r="AO329" s="7">
        <v>53</v>
      </c>
      <c r="AP329" s="7">
        <v>18.3</v>
      </c>
      <c r="AQ329" s="7">
        <v>97.96</v>
      </c>
      <c r="AR329" s="7">
        <v>8.6999999999999993</v>
      </c>
      <c r="AS329" s="7">
        <v>1358</v>
      </c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1"/>
    </row>
    <row r="330" spans="1:70" ht="13">
      <c r="A330" s="6" t="s">
        <v>697</v>
      </c>
      <c r="B330" s="6" t="s">
        <v>698</v>
      </c>
      <c r="C330" s="7">
        <v>27</v>
      </c>
      <c r="D330" s="7">
        <v>35</v>
      </c>
      <c r="E330" s="7">
        <v>16</v>
      </c>
      <c r="F330" s="7">
        <v>19</v>
      </c>
      <c r="G330" s="7">
        <v>22.2</v>
      </c>
      <c r="H330" s="8">
        <v>266</v>
      </c>
      <c r="I330" s="9">
        <v>88</v>
      </c>
      <c r="J330" s="9">
        <v>242</v>
      </c>
      <c r="K330" s="8">
        <v>36.6</v>
      </c>
      <c r="L330" s="9">
        <v>67</v>
      </c>
      <c r="M330" s="9">
        <v>196</v>
      </c>
      <c r="N330" s="8">
        <v>34.4</v>
      </c>
      <c r="O330" s="8">
        <v>21</v>
      </c>
      <c r="P330" s="8">
        <v>28</v>
      </c>
      <c r="Q330" s="8">
        <v>81.5</v>
      </c>
      <c r="R330" s="9">
        <v>25</v>
      </c>
      <c r="S330" s="9">
        <v>95</v>
      </c>
      <c r="T330" s="9">
        <v>119</v>
      </c>
      <c r="U330" s="9">
        <v>116</v>
      </c>
      <c r="V330" s="9">
        <v>42</v>
      </c>
      <c r="W330" s="9">
        <v>46</v>
      </c>
      <c r="X330" s="9">
        <v>18</v>
      </c>
      <c r="Y330" s="9">
        <v>56</v>
      </c>
      <c r="Z330" s="8">
        <v>732</v>
      </c>
      <c r="AA330" s="8">
        <v>0</v>
      </c>
      <c r="AB330" s="8">
        <v>0</v>
      </c>
      <c r="AC330" s="7">
        <v>2.9</v>
      </c>
      <c r="AD330" s="7">
        <v>113.5</v>
      </c>
      <c r="AE330" s="7">
        <v>108</v>
      </c>
      <c r="AF330" s="7">
        <v>5.5</v>
      </c>
      <c r="AG330" s="7">
        <v>18.7</v>
      </c>
      <c r="AH330" s="7">
        <v>2.8</v>
      </c>
      <c r="AI330" s="7">
        <v>28</v>
      </c>
      <c r="AJ330" s="7">
        <v>2.9</v>
      </c>
      <c r="AK330" s="7">
        <v>10.6</v>
      </c>
      <c r="AL330" s="7">
        <v>6.8</v>
      </c>
      <c r="AM330" s="7">
        <v>10</v>
      </c>
      <c r="AN330" s="7">
        <v>50.4</v>
      </c>
      <c r="AO330" s="7">
        <v>52.4</v>
      </c>
      <c r="AP330" s="7">
        <v>15.2</v>
      </c>
      <c r="AQ330" s="7">
        <v>105.6</v>
      </c>
      <c r="AR330" s="7">
        <v>7.8</v>
      </c>
      <c r="AS330" s="7">
        <v>1712</v>
      </c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1"/>
    </row>
    <row r="331" spans="1:70" ht="13">
      <c r="A331" s="6" t="s">
        <v>699</v>
      </c>
      <c r="B331" s="6" t="s">
        <v>700</v>
      </c>
      <c r="C331" s="7">
        <v>36</v>
      </c>
      <c r="D331" s="7">
        <v>39</v>
      </c>
      <c r="E331" s="7">
        <v>12</v>
      </c>
      <c r="F331" s="7">
        <v>27</v>
      </c>
      <c r="G331" s="7">
        <v>19.7</v>
      </c>
      <c r="H331" s="8">
        <v>265</v>
      </c>
      <c r="I331" s="9">
        <v>86</v>
      </c>
      <c r="J331" s="9">
        <v>203</v>
      </c>
      <c r="K331" s="8">
        <v>42.6</v>
      </c>
      <c r="L331" s="9">
        <v>55</v>
      </c>
      <c r="M331" s="9">
        <v>137</v>
      </c>
      <c r="N331" s="8">
        <v>40.9</v>
      </c>
      <c r="O331" s="8">
        <v>35</v>
      </c>
      <c r="P331" s="8">
        <v>47</v>
      </c>
      <c r="Q331" s="8">
        <v>75</v>
      </c>
      <c r="R331" s="9">
        <v>8</v>
      </c>
      <c r="S331" s="9">
        <v>39</v>
      </c>
      <c r="T331" s="9">
        <v>47</v>
      </c>
      <c r="U331" s="9">
        <v>66</v>
      </c>
      <c r="V331" s="9">
        <v>27</v>
      </c>
      <c r="W331" s="9">
        <v>27</v>
      </c>
      <c r="X331" s="9">
        <v>12</v>
      </c>
      <c r="Y331" s="9">
        <v>31</v>
      </c>
      <c r="Z331" s="8">
        <v>503</v>
      </c>
      <c r="AA331" s="8">
        <v>0</v>
      </c>
      <c r="AB331" s="8">
        <v>0</v>
      </c>
      <c r="AC331" s="7">
        <v>-1.8</v>
      </c>
      <c r="AD331" s="7">
        <v>111</v>
      </c>
      <c r="AE331" s="7">
        <v>116.4</v>
      </c>
      <c r="AF331" s="7">
        <v>-5.4</v>
      </c>
      <c r="AG331" s="7">
        <v>11.8</v>
      </c>
      <c r="AH331" s="7">
        <v>2.3199999999999998</v>
      </c>
      <c r="AI331" s="7">
        <v>20.5</v>
      </c>
      <c r="AJ331" s="7">
        <v>1.1000000000000001</v>
      </c>
      <c r="AK331" s="7">
        <v>5.2</v>
      </c>
      <c r="AL331" s="7">
        <v>3.1</v>
      </c>
      <c r="AM331" s="7">
        <v>8.8000000000000007</v>
      </c>
      <c r="AN331" s="7">
        <v>56.4</v>
      </c>
      <c r="AO331" s="7">
        <v>59.1</v>
      </c>
      <c r="AP331" s="7">
        <v>14</v>
      </c>
      <c r="AQ331" s="7">
        <v>99.62</v>
      </c>
      <c r="AR331" s="7">
        <v>6.7</v>
      </c>
      <c r="AS331" s="7">
        <v>1601</v>
      </c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1"/>
    </row>
    <row r="332" spans="1:70" ht="13">
      <c r="A332" s="6" t="s">
        <v>701</v>
      </c>
      <c r="B332" s="6" t="s">
        <v>702</v>
      </c>
      <c r="C332" s="7">
        <v>22</v>
      </c>
      <c r="D332" s="7">
        <v>61</v>
      </c>
      <c r="E332" s="7">
        <v>25</v>
      </c>
      <c r="F332" s="7">
        <v>36</v>
      </c>
      <c r="G332" s="7">
        <v>17.100000000000001</v>
      </c>
      <c r="H332" s="8">
        <v>256</v>
      </c>
      <c r="I332" s="9">
        <v>116</v>
      </c>
      <c r="J332" s="9">
        <v>189</v>
      </c>
      <c r="K332" s="8">
        <v>60.4</v>
      </c>
      <c r="L332" s="8">
        <v>0</v>
      </c>
      <c r="M332" s="8">
        <v>0</v>
      </c>
      <c r="N332" s="8">
        <v>0</v>
      </c>
      <c r="O332" s="8">
        <v>31</v>
      </c>
      <c r="P332" s="8">
        <v>49</v>
      </c>
      <c r="Q332" s="8">
        <v>58</v>
      </c>
      <c r="R332" s="9">
        <v>67</v>
      </c>
      <c r="S332" s="9">
        <v>159</v>
      </c>
      <c r="T332" s="9">
        <v>220</v>
      </c>
      <c r="U332" s="9">
        <v>73</v>
      </c>
      <c r="V332" s="9">
        <v>37</v>
      </c>
      <c r="W332" s="9">
        <v>31</v>
      </c>
      <c r="X332" s="9">
        <v>31</v>
      </c>
      <c r="Y332" s="9">
        <v>104</v>
      </c>
      <c r="Z332" s="8">
        <v>763</v>
      </c>
      <c r="AA332" s="8">
        <v>0</v>
      </c>
      <c r="AB332" s="8">
        <v>0</v>
      </c>
      <c r="AC332" s="7">
        <v>-0.3</v>
      </c>
      <c r="AD332" s="7">
        <v>109.4</v>
      </c>
      <c r="AE332" s="7">
        <v>110</v>
      </c>
      <c r="AF332" s="7">
        <v>-0.6</v>
      </c>
      <c r="AG332" s="7">
        <v>9.5</v>
      </c>
      <c r="AH332" s="7">
        <v>1.82</v>
      </c>
      <c r="AI332" s="7">
        <v>22.3</v>
      </c>
      <c r="AJ332" s="7">
        <v>6.3</v>
      </c>
      <c r="AK332" s="7">
        <v>14.3</v>
      </c>
      <c r="AL332" s="7">
        <v>10.4</v>
      </c>
      <c r="AM332" s="7">
        <v>12.2</v>
      </c>
      <c r="AN332" s="7">
        <v>60.4</v>
      </c>
      <c r="AO332" s="7">
        <v>61</v>
      </c>
      <c r="AP332" s="7">
        <v>10.3</v>
      </c>
      <c r="AQ332" s="7">
        <v>99.05</v>
      </c>
      <c r="AR332" s="7">
        <v>7.3</v>
      </c>
      <c r="AS332" s="7">
        <v>2154</v>
      </c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1"/>
    </row>
    <row r="333" spans="1:70" ht="13">
      <c r="A333" s="6" t="s">
        <v>703</v>
      </c>
      <c r="B333" s="6" t="s">
        <v>704</v>
      </c>
      <c r="C333" s="7">
        <v>27</v>
      </c>
      <c r="D333" s="7">
        <v>52</v>
      </c>
      <c r="E333" s="7">
        <v>27</v>
      </c>
      <c r="F333" s="7">
        <v>25</v>
      </c>
      <c r="G333" s="7">
        <v>15</v>
      </c>
      <c r="H333" s="8">
        <v>255</v>
      </c>
      <c r="I333" s="9">
        <v>94</v>
      </c>
      <c r="J333" s="9">
        <v>250</v>
      </c>
      <c r="K333" s="8">
        <v>36.9</v>
      </c>
      <c r="L333" s="9">
        <v>62</v>
      </c>
      <c r="M333" s="9">
        <v>187</v>
      </c>
      <c r="N333" s="8">
        <v>34.4</v>
      </c>
      <c r="O333" s="8">
        <v>10</v>
      </c>
      <c r="P333" s="8">
        <v>10</v>
      </c>
      <c r="Q333" s="8">
        <v>72.7</v>
      </c>
      <c r="R333" s="9">
        <v>21</v>
      </c>
      <c r="S333" s="9">
        <v>88</v>
      </c>
      <c r="T333" s="9">
        <v>109</v>
      </c>
      <c r="U333" s="9">
        <v>52</v>
      </c>
      <c r="V333" s="9">
        <v>21</v>
      </c>
      <c r="W333" s="9">
        <v>26</v>
      </c>
      <c r="X333" s="9">
        <v>10</v>
      </c>
      <c r="Y333" s="9">
        <v>62</v>
      </c>
      <c r="Z333" s="8">
        <v>562</v>
      </c>
      <c r="AA333" s="8">
        <v>0</v>
      </c>
      <c r="AB333" s="8">
        <v>0</v>
      </c>
      <c r="AC333" s="7">
        <v>0.3</v>
      </c>
      <c r="AD333" s="7">
        <v>111.6</v>
      </c>
      <c r="AE333" s="7">
        <v>110.2</v>
      </c>
      <c r="AF333" s="7">
        <v>1.4</v>
      </c>
      <c r="AG333" s="7">
        <v>9.1999999999999993</v>
      </c>
      <c r="AH333" s="7">
        <v>2.6</v>
      </c>
      <c r="AI333" s="7">
        <v>16</v>
      </c>
      <c r="AJ333" s="7">
        <v>2.2999999999999998</v>
      </c>
      <c r="AK333" s="7">
        <v>11.6</v>
      </c>
      <c r="AL333" s="7">
        <v>6.7</v>
      </c>
      <c r="AM333" s="7">
        <v>6.2</v>
      </c>
      <c r="AN333" s="7">
        <v>49.8</v>
      </c>
      <c r="AO333" s="7">
        <v>50.4</v>
      </c>
      <c r="AP333" s="7">
        <v>14.5</v>
      </c>
      <c r="AQ333" s="7">
        <v>99.37</v>
      </c>
      <c r="AR333" s="7">
        <v>6.1</v>
      </c>
      <c r="AS333" s="7">
        <v>1607</v>
      </c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1"/>
    </row>
    <row r="334" spans="1:70" ht="13">
      <c r="A334" s="6" t="s">
        <v>705</v>
      </c>
      <c r="B334" s="6" t="s">
        <v>706</v>
      </c>
      <c r="C334" s="7">
        <v>28</v>
      </c>
      <c r="D334" s="7">
        <v>51</v>
      </c>
      <c r="E334" s="7">
        <v>26</v>
      </c>
      <c r="F334" s="7">
        <v>25</v>
      </c>
      <c r="G334" s="7">
        <v>22</v>
      </c>
      <c r="H334" s="8">
        <v>255</v>
      </c>
      <c r="I334" s="9">
        <v>117</v>
      </c>
      <c r="J334" s="9">
        <v>224</v>
      </c>
      <c r="K334" s="8">
        <v>52</v>
      </c>
      <c r="L334" s="8">
        <v>0</v>
      </c>
      <c r="M334" s="8">
        <v>0</v>
      </c>
      <c r="N334" s="8">
        <v>0</v>
      </c>
      <c r="O334" s="8">
        <v>26</v>
      </c>
      <c r="P334" s="8">
        <v>31</v>
      </c>
      <c r="Q334" s="8">
        <v>72.7</v>
      </c>
      <c r="R334" s="9">
        <v>46</v>
      </c>
      <c r="S334" s="9">
        <v>194</v>
      </c>
      <c r="T334" s="9">
        <v>240</v>
      </c>
      <c r="U334" s="9">
        <v>286</v>
      </c>
      <c r="V334" s="9">
        <v>102</v>
      </c>
      <c r="W334" s="9">
        <v>36</v>
      </c>
      <c r="X334" s="9">
        <v>26</v>
      </c>
      <c r="Y334" s="9">
        <v>107</v>
      </c>
      <c r="Z334" s="8">
        <v>1056</v>
      </c>
      <c r="AA334" s="8">
        <v>1</v>
      </c>
      <c r="AB334" s="8">
        <v>0</v>
      </c>
      <c r="AC334" s="7">
        <v>-1.1000000000000001</v>
      </c>
      <c r="AD334" s="7">
        <v>111.7</v>
      </c>
      <c r="AE334" s="7">
        <v>113.5</v>
      </c>
      <c r="AF334" s="7">
        <v>-1.8</v>
      </c>
      <c r="AG334" s="7">
        <v>35.799999999999997</v>
      </c>
      <c r="AH334" s="7">
        <v>2.79</v>
      </c>
      <c r="AI334" s="7">
        <v>45.7</v>
      </c>
      <c r="AJ334" s="7">
        <v>4.3</v>
      </c>
      <c r="AK334" s="7">
        <v>18.399999999999999</v>
      </c>
      <c r="AL334" s="7">
        <v>11.3</v>
      </c>
      <c r="AM334" s="7">
        <v>16.3</v>
      </c>
      <c r="AN334" s="7">
        <v>52</v>
      </c>
      <c r="AO334" s="7">
        <v>53.9</v>
      </c>
      <c r="AP334" s="7">
        <v>13.3</v>
      </c>
      <c r="AQ334" s="7">
        <v>98.17</v>
      </c>
      <c r="AR334" s="7">
        <v>10.3</v>
      </c>
      <c r="AS334" s="7">
        <v>2283</v>
      </c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1"/>
    </row>
    <row r="335" spans="1:70" ht="13">
      <c r="A335" s="6" t="s">
        <v>707</v>
      </c>
      <c r="B335" s="6" t="s">
        <v>708</v>
      </c>
      <c r="C335" s="7">
        <v>24</v>
      </c>
      <c r="D335" s="7">
        <v>55</v>
      </c>
      <c r="E335" s="7">
        <v>24</v>
      </c>
      <c r="F335" s="7">
        <v>31</v>
      </c>
      <c r="G335" s="7">
        <v>14.2</v>
      </c>
      <c r="H335" s="8">
        <v>253</v>
      </c>
      <c r="I335" s="9">
        <v>88</v>
      </c>
      <c r="J335" s="9">
        <v>204</v>
      </c>
      <c r="K335" s="8">
        <v>43.8</v>
      </c>
      <c r="L335" s="9">
        <v>33</v>
      </c>
      <c r="M335" s="9">
        <v>94</v>
      </c>
      <c r="N335" s="8">
        <v>33.700000000000003</v>
      </c>
      <c r="O335" s="8">
        <v>39</v>
      </c>
      <c r="P335" s="8">
        <v>61</v>
      </c>
      <c r="Q335" s="8">
        <v>67.2</v>
      </c>
      <c r="R335" s="9">
        <v>28</v>
      </c>
      <c r="S335" s="9">
        <v>66</v>
      </c>
      <c r="T335" s="9">
        <v>94</v>
      </c>
      <c r="U335" s="9">
        <v>66</v>
      </c>
      <c r="V335" s="9">
        <v>22</v>
      </c>
      <c r="W335" s="9">
        <v>33</v>
      </c>
      <c r="X335" s="9">
        <v>6</v>
      </c>
      <c r="Y335" s="9">
        <v>94</v>
      </c>
      <c r="Z335" s="8">
        <v>550</v>
      </c>
      <c r="AA335" s="8">
        <v>0</v>
      </c>
      <c r="AB335" s="8">
        <v>0</v>
      </c>
      <c r="AC335" s="7">
        <v>0.2</v>
      </c>
      <c r="AD335" s="7">
        <v>111.1</v>
      </c>
      <c r="AE335" s="7">
        <v>108.7</v>
      </c>
      <c r="AF335" s="7">
        <v>2.4</v>
      </c>
      <c r="AG335" s="7">
        <v>11.6</v>
      </c>
      <c r="AH335" s="7">
        <v>2.71</v>
      </c>
      <c r="AI335" s="7">
        <v>20.399999999999999</v>
      </c>
      <c r="AJ335" s="7">
        <v>3.6</v>
      </c>
      <c r="AK335" s="7">
        <v>8.1</v>
      </c>
      <c r="AL335" s="7">
        <v>5.8</v>
      </c>
      <c r="AM335" s="7">
        <v>7.5</v>
      </c>
      <c r="AN335" s="7">
        <v>51.7</v>
      </c>
      <c r="AO335" s="7">
        <v>54.6</v>
      </c>
      <c r="AP335" s="7">
        <v>14.1</v>
      </c>
      <c r="AQ335" s="7">
        <v>98.71</v>
      </c>
      <c r="AR335" s="7">
        <v>5.5</v>
      </c>
      <c r="AS335" s="7">
        <v>1595</v>
      </c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1"/>
    </row>
    <row r="336" spans="1:70" ht="13">
      <c r="A336" s="6" t="s">
        <v>709</v>
      </c>
      <c r="B336" s="6" t="s">
        <v>710</v>
      </c>
      <c r="C336" s="7">
        <v>26</v>
      </c>
      <c r="D336" s="7">
        <v>20</v>
      </c>
      <c r="E336" s="7">
        <v>3</v>
      </c>
      <c r="F336" s="7">
        <v>17</v>
      </c>
      <c r="G336" s="7">
        <v>23.8</v>
      </c>
      <c r="H336" s="8">
        <v>248</v>
      </c>
      <c r="I336" s="9">
        <v>90</v>
      </c>
      <c r="J336" s="9">
        <v>212</v>
      </c>
      <c r="K336" s="8">
        <v>42</v>
      </c>
      <c r="L336" s="9">
        <v>46</v>
      </c>
      <c r="M336" s="9">
        <v>128</v>
      </c>
      <c r="N336" s="8">
        <v>35.4</v>
      </c>
      <c r="O336" s="8">
        <v>24</v>
      </c>
      <c r="P336" s="8">
        <v>30</v>
      </c>
      <c r="Q336" s="8">
        <v>80</v>
      </c>
      <c r="R336" s="9">
        <v>6</v>
      </c>
      <c r="S336" s="9">
        <v>58</v>
      </c>
      <c r="T336" s="9">
        <v>64</v>
      </c>
      <c r="U336" s="9">
        <v>50</v>
      </c>
      <c r="V336" s="9">
        <v>26</v>
      </c>
      <c r="W336" s="9">
        <v>10</v>
      </c>
      <c r="X336" s="9">
        <v>6</v>
      </c>
      <c r="Y336" s="9">
        <v>28</v>
      </c>
      <c r="Z336" s="8">
        <v>418</v>
      </c>
      <c r="AA336" s="8">
        <v>1</v>
      </c>
      <c r="AB336" s="8">
        <v>0</v>
      </c>
      <c r="AC336" s="7">
        <v>-7.1</v>
      </c>
      <c r="AD336" s="7">
        <v>104.7</v>
      </c>
      <c r="AE336" s="7">
        <v>118.7</v>
      </c>
      <c r="AF336" s="7">
        <v>-14.1</v>
      </c>
      <c r="AG336" s="7">
        <v>16.7</v>
      </c>
      <c r="AH336" s="7">
        <v>2</v>
      </c>
      <c r="AI336" s="7">
        <v>16.7</v>
      </c>
      <c r="AJ336" s="7">
        <v>1.2</v>
      </c>
      <c r="AK336" s="7">
        <v>11.7</v>
      </c>
      <c r="AL336" s="7">
        <v>6.3</v>
      </c>
      <c r="AM336" s="7">
        <v>8.4</v>
      </c>
      <c r="AN336" s="7">
        <v>52.6</v>
      </c>
      <c r="AO336" s="7">
        <v>54.8</v>
      </c>
      <c r="AP336" s="7">
        <v>21.4</v>
      </c>
      <c r="AQ336" s="7">
        <v>101.6</v>
      </c>
      <c r="AR336" s="7">
        <v>9.1</v>
      </c>
      <c r="AS336" s="7">
        <v>1009</v>
      </c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1"/>
    </row>
    <row r="337" spans="1:70" ht="13">
      <c r="A337" s="6" t="s">
        <v>711</v>
      </c>
      <c r="B337" s="6" t="s">
        <v>712</v>
      </c>
      <c r="C337" s="7">
        <v>25</v>
      </c>
      <c r="D337" s="7">
        <v>36</v>
      </c>
      <c r="E337" s="7">
        <v>10</v>
      </c>
      <c r="F337" s="7">
        <v>26</v>
      </c>
      <c r="G337" s="7">
        <v>12.5</v>
      </c>
      <c r="H337" s="8">
        <v>245</v>
      </c>
      <c r="I337" s="9">
        <v>97</v>
      </c>
      <c r="J337" s="9">
        <v>184</v>
      </c>
      <c r="K337" s="8">
        <v>52.5</v>
      </c>
      <c r="L337" s="9">
        <v>32</v>
      </c>
      <c r="M337" s="9">
        <v>94</v>
      </c>
      <c r="N337" s="8">
        <v>34.4</v>
      </c>
      <c r="O337" s="8">
        <v>22</v>
      </c>
      <c r="P337" s="8">
        <v>25</v>
      </c>
      <c r="Q337" s="8">
        <v>76.900000000000006</v>
      </c>
      <c r="R337" s="9">
        <v>22</v>
      </c>
      <c r="S337" s="9">
        <v>83</v>
      </c>
      <c r="T337" s="9">
        <v>104</v>
      </c>
      <c r="U337" s="9">
        <v>22</v>
      </c>
      <c r="V337" s="9">
        <v>22</v>
      </c>
      <c r="W337" s="9">
        <v>11</v>
      </c>
      <c r="X337" s="9">
        <v>25</v>
      </c>
      <c r="Y337" s="9">
        <v>22</v>
      </c>
      <c r="Z337" s="8">
        <v>482</v>
      </c>
      <c r="AA337" s="8">
        <v>1</v>
      </c>
      <c r="AB337" s="8">
        <v>0</v>
      </c>
      <c r="AC337" s="7">
        <v>-1</v>
      </c>
      <c r="AD337" s="7">
        <v>112.1</v>
      </c>
      <c r="AE337" s="7">
        <v>115.9</v>
      </c>
      <c r="AF337" s="7">
        <v>-3.9</v>
      </c>
      <c r="AG337" s="7">
        <v>7.1</v>
      </c>
      <c r="AH337" s="7">
        <v>1.1000000000000001</v>
      </c>
      <c r="AI337" s="7">
        <v>9.3000000000000007</v>
      </c>
      <c r="AJ337" s="7">
        <v>4.7</v>
      </c>
      <c r="AK337" s="7">
        <v>16.8</v>
      </c>
      <c r="AL337" s="7">
        <v>11.3</v>
      </c>
      <c r="AM337" s="7">
        <v>8.4</v>
      </c>
      <c r="AN337" s="7">
        <v>61.2</v>
      </c>
      <c r="AO337" s="7">
        <v>62.7</v>
      </c>
      <c r="AP337" s="7">
        <v>20.399999999999999</v>
      </c>
      <c r="AQ337" s="7">
        <v>102.75</v>
      </c>
      <c r="AR337" s="7">
        <v>11.4</v>
      </c>
      <c r="AS337" s="7">
        <v>960</v>
      </c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1"/>
    </row>
    <row r="338" spans="1:70" ht="13">
      <c r="A338" s="6" t="s">
        <v>713</v>
      </c>
      <c r="B338" s="6" t="s">
        <v>714</v>
      </c>
      <c r="C338" s="7">
        <v>22</v>
      </c>
      <c r="D338" s="7">
        <v>58</v>
      </c>
      <c r="E338" s="7">
        <v>29</v>
      </c>
      <c r="F338" s="7">
        <v>29</v>
      </c>
      <c r="G338" s="7">
        <v>13.6</v>
      </c>
      <c r="H338" s="8">
        <v>238</v>
      </c>
      <c r="I338" s="9">
        <v>81</v>
      </c>
      <c r="J338" s="9">
        <v>191</v>
      </c>
      <c r="K338" s="8">
        <v>42.1</v>
      </c>
      <c r="L338" s="9">
        <v>64</v>
      </c>
      <c r="M338" s="9">
        <v>162</v>
      </c>
      <c r="N338" s="8">
        <v>40</v>
      </c>
      <c r="O338" s="8">
        <v>17</v>
      </c>
      <c r="P338" s="8">
        <v>17</v>
      </c>
      <c r="Q338" s="8">
        <v>88.2</v>
      </c>
      <c r="R338" s="9">
        <v>17</v>
      </c>
      <c r="S338" s="9">
        <v>58</v>
      </c>
      <c r="T338" s="9">
        <v>75</v>
      </c>
      <c r="U338" s="9">
        <v>35</v>
      </c>
      <c r="V338" s="9">
        <v>12</v>
      </c>
      <c r="W338" s="9">
        <v>23</v>
      </c>
      <c r="X338" s="9">
        <v>6</v>
      </c>
      <c r="Y338" s="9">
        <v>64</v>
      </c>
      <c r="Z338" s="8">
        <v>452</v>
      </c>
      <c r="AA338" s="8">
        <v>0</v>
      </c>
      <c r="AB338" s="8">
        <v>0</v>
      </c>
      <c r="AC338" s="7">
        <v>-1.1000000000000001</v>
      </c>
      <c r="AD338" s="7">
        <v>104.2</v>
      </c>
      <c r="AE338" s="7">
        <v>108.2</v>
      </c>
      <c r="AF338" s="7">
        <v>-4.0999999999999996</v>
      </c>
      <c r="AG338" s="7">
        <v>6.6</v>
      </c>
      <c r="AH338" s="7">
        <v>2.69</v>
      </c>
      <c r="AI338" s="7">
        <v>14.3</v>
      </c>
      <c r="AJ338" s="7">
        <v>2.2999999999999998</v>
      </c>
      <c r="AK338" s="7">
        <v>7.3</v>
      </c>
      <c r="AL338" s="7">
        <v>4.7</v>
      </c>
      <c r="AM338" s="7">
        <v>5.3</v>
      </c>
      <c r="AN338" s="7">
        <v>58.9</v>
      </c>
      <c r="AO338" s="7">
        <v>60.5</v>
      </c>
      <c r="AP338" s="7">
        <v>11.5</v>
      </c>
      <c r="AQ338" s="7">
        <v>96.82</v>
      </c>
      <c r="AR338" s="7">
        <v>6.1</v>
      </c>
      <c r="AS338" s="7">
        <v>1589</v>
      </c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1"/>
    </row>
    <row r="339" spans="1:70" ht="13">
      <c r="A339" s="13" t="s">
        <v>715</v>
      </c>
      <c r="B339" s="6" t="s">
        <v>716</v>
      </c>
      <c r="C339" s="7">
        <v>24</v>
      </c>
      <c r="D339" s="7">
        <v>26</v>
      </c>
      <c r="E339" s="7">
        <v>14</v>
      </c>
      <c r="F339" s="7">
        <v>12</v>
      </c>
      <c r="G339" s="7">
        <v>18.7</v>
      </c>
      <c r="H339" s="8">
        <v>237</v>
      </c>
      <c r="I339" s="9">
        <v>81</v>
      </c>
      <c r="J339" s="9">
        <v>190</v>
      </c>
      <c r="K339" s="8">
        <v>42.1</v>
      </c>
      <c r="L339" s="9">
        <v>34</v>
      </c>
      <c r="M339" s="9">
        <v>101</v>
      </c>
      <c r="N339" s="8">
        <v>32.700000000000003</v>
      </c>
      <c r="O339" s="8">
        <v>44</v>
      </c>
      <c r="P339" s="8">
        <v>62</v>
      </c>
      <c r="Q339" s="8">
        <v>68.3</v>
      </c>
      <c r="R339" s="9">
        <v>21</v>
      </c>
      <c r="S339" s="9">
        <v>65</v>
      </c>
      <c r="T339" s="9">
        <v>86</v>
      </c>
      <c r="U339" s="9">
        <v>31</v>
      </c>
      <c r="V339" s="9">
        <v>16</v>
      </c>
      <c r="W339" s="9">
        <v>13</v>
      </c>
      <c r="X339" s="9">
        <v>5</v>
      </c>
      <c r="Y339" s="9">
        <v>44</v>
      </c>
      <c r="Z339" s="8">
        <v>429</v>
      </c>
      <c r="AA339" s="8">
        <v>2</v>
      </c>
      <c r="AB339" s="8">
        <v>0</v>
      </c>
      <c r="AC339" s="7">
        <v>-0.7</v>
      </c>
      <c r="AD339" s="7">
        <v>109.7</v>
      </c>
      <c r="AE339" s="7">
        <v>111.1</v>
      </c>
      <c r="AF339" s="7">
        <v>-1.4</v>
      </c>
      <c r="AG339" s="7">
        <v>9.3000000000000007</v>
      </c>
      <c r="AH339" s="7">
        <v>2.0699999999999998</v>
      </c>
      <c r="AI339" s="7">
        <v>11.7</v>
      </c>
      <c r="AJ339" s="7">
        <v>3.6</v>
      </c>
      <c r="AK339" s="7">
        <v>12.8</v>
      </c>
      <c r="AL339" s="7">
        <v>8</v>
      </c>
      <c r="AM339" s="7">
        <v>5.7</v>
      </c>
      <c r="AN339" s="7">
        <v>50.8</v>
      </c>
      <c r="AO339" s="7">
        <v>54.2</v>
      </c>
      <c r="AP339" s="7">
        <v>18.899999999999999</v>
      </c>
      <c r="AQ339" s="7">
        <v>103.71</v>
      </c>
      <c r="AR339" s="7">
        <v>8.1999999999999993</v>
      </c>
      <c r="AS339" s="7">
        <v>1050</v>
      </c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1"/>
    </row>
    <row r="340" spans="1:70" ht="13">
      <c r="A340" s="6" t="s">
        <v>717</v>
      </c>
      <c r="B340" s="6" t="s">
        <v>718</v>
      </c>
      <c r="C340" s="7">
        <v>22</v>
      </c>
      <c r="D340" s="7">
        <v>47</v>
      </c>
      <c r="E340" s="7">
        <v>18</v>
      </c>
      <c r="F340" s="7">
        <v>29</v>
      </c>
      <c r="G340" s="7">
        <v>9.1</v>
      </c>
      <c r="H340" s="8">
        <v>235</v>
      </c>
      <c r="I340" s="9">
        <v>89</v>
      </c>
      <c r="J340" s="9">
        <v>188</v>
      </c>
      <c r="K340" s="8">
        <v>45.8</v>
      </c>
      <c r="L340" s="9">
        <v>33</v>
      </c>
      <c r="M340" s="9">
        <v>85</v>
      </c>
      <c r="N340" s="8">
        <v>40.5</v>
      </c>
      <c r="O340" s="8">
        <v>28</v>
      </c>
      <c r="P340" s="8">
        <v>33</v>
      </c>
      <c r="Q340" s="8">
        <v>81.8</v>
      </c>
      <c r="R340" s="9">
        <v>5</v>
      </c>
      <c r="S340" s="9">
        <v>42</v>
      </c>
      <c r="T340" s="9">
        <v>52</v>
      </c>
      <c r="U340" s="9">
        <v>38</v>
      </c>
      <c r="V340" s="9">
        <v>33</v>
      </c>
      <c r="W340" s="9">
        <v>9</v>
      </c>
      <c r="X340" s="8">
        <v>0</v>
      </c>
      <c r="Y340" s="9">
        <v>28</v>
      </c>
      <c r="Z340" s="8">
        <v>357</v>
      </c>
      <c r="AA340" s="8">
        <v>0</v>
      </c>
      <c r="AB340" s="8">
        <v>0</v>
      </c>
      <c r="AC340" s="7">
        <v>-0.7</v>
      </c>
      <c r="AD340" s="7">
        <v>106.1</v>
      </c>
      <c r="AE340" s="7">
        <v>109.8</v>
      </c>
      <c r="AF340" s="7">
        <v>-3.7</v>
      </c>
      <c r="AG340" s="7">
        <v>13.9</v>
      </c>
      <c r="AH340" s="7">
        <v>1.1200000000000001</v>
      </c>
      <c r="AI340" s="7">
        <v>13.7</v>
      </c>
      <c r="AJ340" s="7">
        <v>1.6</v>
      </c>
      <c r="AK340" s="7">
        <v>9.3000000000000007</v>
      </c>
      <c r="AL340" s="7">
        <v>5.7</v>
      </c>
      <c r="AM340" s="7">
        <v>12.3</v>
      </c>
      <c r="AN340" s="7">
        <v>54.7</v>
      </c>
      <c r="AO340" s="7">
        <v>57.5</v>
      </c>
      <c r="AP340" s="7">
        <v>23.3</v>
      </c>
      <c r="AQ340" s="7">
        <v>103.25</v>
      </c>
      <c r="AR340" s="7">
        <v>8.6999999999999993</v>
      </c>
      <c r="AS340" s="7">
        <v>918</v>
      </c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1"/>
    </row>
    <row r="341" spans="1:70" ht="13">
      <c r="A341" s="6" t="s">
        <v>719</v>
      </c>
      <c r="B341" s="6" t="s">
        <v>720</v>
      </c>
      <c r="C341" s="7">
        <v>22</v>
      </c>
      <c r="D341" s="7">
        <v>36</v>
      </c>
      <c r="E341" s="7">
        <v>31</v>
      </c>
      <c r="F341" s="7">
        <v>5</v>
      </c>
      <c r="G341" s="7">
        <v>16.600000000000001</v>
      </c>
      <c r="H341" s="8">
        <v>234</v>
      </c>
      <c r="I341" s="9">
        <v>90</v>
      </c>
      <c r="J341" s="9">
        <v>184</v>
      </c>
      <c r="K341" s="8">
        <v>49.5</v>
      </c>
      <c r="L341" s="9">
        <v>22</v>
      </c>
      <c r="M341" s="9">
        <v>61</v>
      </c>
      <c r="N341" s="8">
        <v>38.299999999999997</v>
      </c>
      <c r="O341" s="8">
        <v>29</v>
      </c>
      <c r="P341" s="8">
        <v>36</v>
      </c>
      <c r="Q341" s="8">
        <v>82.9</v>
      </c>
      <c r="R341" s="9">
        <v>18</v>
      </c>
      <c r="S341" s="9">
        <v>50</v>
      </c>
      <c r="T341" s="9">
        <v>68</v>
      </c>
      <c r="U341" s="9">
        <v>65</v>
      </c>
      <c r="V341" s="9">
        <v>29</v>
      </c>
      <c r="W341" s="9">
        <v>25</v>
      </c>
      <c r="X341" s="9">
        <v>4</v>
      </c>
      <c r="Y341" s="9">
        <v>68</v>
      </c>
      <c r="Z341" s="8">
        <v>468</v>
      </c>
      <c r="AA341" s="8">
        <v>1</v>
      </c>
      <c r="AB341" s="8">
        <v>0</v>
      </c>
      <c r="AC341" s="7">
        <v>3.5</v>
      </c>
      <c r="AD341" s="7">
        <v>110</v>
      </c>
      <c r="AE341" s="7">
        <v>100.2</v>
      </c>
      <c r="AF341" s="7">
        <v>9.6999999999999993</v>
      </c>
      <c r="AG341" s="7">
        <v>15.3</v>
      </c>
      <c r="AH341" s="7">
        <v>2.21</v>
      </c>
      <c r="AI341" s="7">
        <v>22.1</v>
      </c>
      <c r="AJ341" s="7">
        <v>2.8</v>
      </c>
      <c r="AK341" s="7">
        <v>8</v>
      </c>
      <c r="AL341" s="7">
        <v>5.3</v>
      </c>
      <c r="AM341" s="7">
        <v>10</v>
      </c>
      <c r="AN341" s="7">
        <v>55.7</v>
      </c>
      <c r="AO341" s="7">
        <v>58.7</v>
      </c>
      <c r="AP341" s="7">
        <v>15.9</v>
      </c>
      <c r="AQ341" s="7">
        <v>100.63</v>
      </c>
      <c r="AR341" s="7">
        <v>8.1999999999999993</v>
      </c>
      <c r="AS341" s="7">
        <v>1254</v>
      </c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1"/>
    </row>
    <row r="342" spans="1:70" ht="13">
      <c r="A342" s="6" t="s">
        <v>721</v>
      </c>
      <c r="B342" s="6" t="s">
        <v>722</v>
      </c>
      <c r="C342" s="7">
        <v>29</v>
      </c>
      <c r="D342" s="7">
        <v>45</v>
      </c>
      <c r="E342" s="7">
        <v>21</v>
      </c>
      <c r="F342" s="7">
        <v>24</v>
      </c>
      <c r="G342" s="7">
        <v>12.7</v>
      </c>
      <c r="H342" s="8">
        <v>234</v>
      </c>
      <c r="I342" s="9">
        <v>81</v>
      </c>
      <c r="J342" s="9">
        <v>194</v>
      </c>
      <c r="K342" s="8">
        <v>42.6</v>
      </c>
      <c r="L342" s="9">
        <v>32</v>
      </c>
      <c r="M342" s="9">
        <v>86</v>
      </c>
      <c r="N342" s="8">
        <v>36</v>
      </c>
      <c r="O342" s="8">
        <v>36</v>
      </c>
      <c r="P342" s="8">
        <v>41</v>
      </c>
      <c r="Q342" s="8">
        <v>85.7</v>
      </c>
      <c r="R342" s="9">
        <v>14</v>
      </c>
      <c r="S342" s="9">
        <v>54</v>
      </c>
      <c r="T342" s="9">
        <v>68</v>
      </c>
      <c r="U342" s="9">
        <v>72</v>
      </c>
      <c r="V342" s="9">
        <v>23</v>
      </c>
      <c r="W342" s="9">
        <v>18</v>
      </c>
      <c r="X342" s="9">
        <v>5</v>
      </c>
      <c r="Y342" s="9">
        <v>23</v>
      </c>
      <c r="Z342" s="8">
        <v>473</v>
      </c>
      <c r="AA342" s="8">
        <v>0</v>
      </c>
      <c r="AB342" s="8">
        <v>0</v>
      </c>
      <c r="AC342" s="7">
        <v>1</v>
      </c>
      <c r="AD342" s="7">
        <v>111.1</v>
      </c>
      <c r="AE342" s="7">
        <v>108.3</v>
      </c>
      <c r="AF342" s="7">
        <v>2.8</v>
      </c>
      <c r="AG342" s="7">
        <v>18.8</v>
      </c>
      <c r="AH342" s="7">
        <v>3.48</v>
      </c>
      <c r="AI342" s="7">
        <v>23.6</v>
      </c>
      <c r="AJ342" s="7">
        <v>2.1</v>
      </c>
      <c r="AK342" s="7">
        <v>8.8000000000000007</v>
      </c>
      <c r="AL342" s="7">
        <v>5.6</v>
      </c>
      <c r="AM342" s="7">
        <v>6.8</v>
      </c>
      <c r="AN342" s="7">
        <v>50.5</v>
      </c>
      <c r="AO342" s="7">
        <v>54.6</v>
      </c>
      <c r="AP342" s="7">
        <v>17.3</v>
      </c>
      <c r="AQ342" s="7">
        <v>99.99</v>
      </c>
      <c r="AR342" s="7">
        <v>9.6</v>
      </c>
      <c r="AS342" s="7">
        <v>1195</v>
      </c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1"/>
    </row>
    <row r="343" spans="1:70" ht="13">
      <c r="A343" s="6" t="s">
        <v>723</v>
      </c>
      <c r="B343" s="6" t="s">
        <v>724</v>
      </c>
      <c r="C343" s="7">
        <v>22</v>
      </c>
      <c r="D343" s="7">
        <v>56</v>
      </c>
      <c r="E343" s="7">
        <v>36</v>
      </c>
      <c r="F343" s="7">
        <v>20</v>
      </c>
      <c r="G343" s="7">
        <v>13.6</v>
      </c>
      <c r="H343" s="8">
        <v>230</v>
      </c>
      <c r="I343" s="9">
        <v>84</v>
      </c>
      <c r="J343" s="9">
        <v>179</v>
      </c>
      <c r="K343" s="8">
        <v>45.8</v>
      </c>
      <c r="L343" s="9">
        <v>34</v>
      </c>
      <c r="M343" s="9">
        <v>101</v>
      </c>
      <c r="N343" s="8">
        <v>33</v>
      </c>
      <c r="O343" s="8">
        <v>28</v>
      </c>
      <c r="P343" s="8">
        <v>45</v>
      </c>
      <c r="Q343" s="8">
        <v>69</v>
      </c>
      <c r="R343" s="9">
        <v>73</v>
      </c>
      <c r="S343" s="9">
        <v>101</v>
      </c>
      <c r="T343" s="9">
        <v>174</v>
      </c>
      <c r="U343" s="9">
        <v>78</v>
      </c>
      <c r="V343" s="9">
        <v>45</v>
      </c>
      <c r="W343" s="9">
        <v>22</v>
      </c>
      <c r="X343" s="9">
        <v>11</v>
      </c>
      <c r="Y343" s="9">
        <v>90</v>
      </c>
      <c r="Z343" s="8">
        <v>616</v>
      </c>
      <c r="AA343" s="8">
        <v>0</v>
      </c>
      <c r="AB343" s="8">
        <v>0</v>
      </c>
      <c r="AC343" s="7">
        <v>2.9</v>
      </c>
      <c r="AD343" s="7">
        <v>117.8</v>
      </c>
      <c r="AE343" s="7">
        <v>107.3</v>
      </c>
      <c r="AF343" s="7">
        <v>10.6</v>
      </c>
      <c r="AG343" s="7">
        <v>13.8</v>
      </c>
      <c r="AH343" s="7">
        <v>1.9</v>
      </c>
      <c r="AI343" s="7">
        <v>25.1</v>
      </c>
      <c r="AJ343" s="7">
        <v>8.5</v>
      </c>
      <c r="AK343" s="7">
        <v>12.7</v>
      </c>
      <c r="AL343" s="7">
        <v>10.6</v>
      </c>
      <c r="AM343" s="7">
        <v>13.2</v>
      </c>
      <c r="AN343" s="7">
        <v>55.3</v>
      </c>
      <c r="AO343" s="7">
        <v>57.5</v>
      </c>
      <c r="AP343" s="7">
        <v>12.6</v>
      </c>
      <c r="AQ343" s="7">
        <v>99.78</v>
      </c>
      <c r="AR343" s="7">
        <v>7.3</v>
      </c>
      <c r="AS343" s="7">
        <v>1582</v>
      </c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1"/>
    </row>
    <row r="344" spans="1:70" ht="13">
      <c r="A344" s="6" t="s">
        <v>725</v>
      </c>
      <c r="B344" s="6" t="s">
        <v>726</v>
      </c>
      <c r="C344" s="7">
        <v>20</v>
      </c>
      <c r="D344" s="7">
        <v>50</v>
      </c>
      <c r="E344" s="7">
        <v>9</v>
      </c>
      <c r="F344" s="7">
        <v>41</v>
      </c>
      <c r="G344" s="7">
        <v>21.2</v>
      </c>
      <c r="H344" s="8">
        <v>230</v>
      </c>
      <c r="I344" s="9">
        <v>85</v>
      </c>
      <c r="J344" s="9">
        <v>255</v>
      </c>
      <c r="K344" s="8">
        <v>32.299999999999997</v>
      </c>
      <c r="L344" s="9">
        <v>35</v>
      </c>
      <c r="M344" s="9">
        <v>135</v>
      </c>
      <c r="N344" s="8">
        <v>25.9</v>
      </c>
      <c r="O344" s="8">
        <v>30</v>
      </c>
      <c r="P344" s="8">
        <v>40</v>
      </c>
      <c r="Q344" s="8">
        <v>72.5</v>
      </c>
      <c r="R344" s="9">
        <v>25</v>
      </c>
      <c r="S344" s="9">
        <v>85</v>
      </c>
      <c r="T344" s="9">
        <v>115</v>
      </c>
      <c r="U344" s="9">
        <v>60</v>
      </c>
      <c r="V344" s="9">
        <v>45</v>
      </c>
      <c r="W344" s="9">
        <v>25</v>
      </c>
      <c r="X344" s="9">
        <v>15</v>
      </c>
      <c r="Y344" s="9">
        <v>95</v>
      </c>
      <c r="Z344" s="8">
        <v>525</v>
      </c>
      <c r="AA344" s="8">
        <v>0</v>
      </c>
      <c r="AB344" s="8">
        <v>0</v>
      </c>
      <c r="AC344" s="7">
        <v>-6.8</v>
      </c>
      <c r="AD344" s="7">
        <v>103</v>
      </c>
      <c r="AE344" s="7">
        <v>118.5</v>
      </c>
      <c r="AF344" s="7">
        <v>-15.5</v>
      </c>
      <c r="AG344" s="7">
        <v>7.8</v>
      </c>
      <c r="AH344" s="7">
        <v>1.34</v>
      </c>
      <c r="AI344" s="7">
        <v>15.6</v>
      </c>
      <c r="AJ344" s="7">
        <v>2.4</v>
      </c>
      <c r="AK344" s="7">
        <v>7.5</v>
      </c>
      <c r="AL344" s="7">
        <v>4.9000000000000004</v>
      </c>
      <c r="AM344" s="7">
        <v>11.6</v>
      </c>
      <c r="AN344" s="7">
        <v>39.1</v>
      </c>
      <c r="AO344" s="7">
        <v>41.9</v>
      </c>
      <c r="AP344" s="7">
        <v>12.2</v>
      </c>
      <c r="AQ344" s="7">
        <v>103.19</v>
      </c>
      <c r="AR344" s="7">
        <v>2.1</v>
      </c>
      <c r="AS344" s="7">
        <v>2284</v>
      </c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1"/>
    </row>
    <row r="345" spans="1:70" ht="13">
      <c r="A345" s="6" t="s">
        <v>727</v>
      </c>
      <c r="B345" s="6" t="s">
        <v>728</v>
      </c>
      <c r="C345" s="7">
        <v>20</v>
      </c>
      <c r="D345" s="7">
        <v>52</v>
      </c>
      <c r="E345" s="7">
        <v>30</v>
      </c>
      <c r="F345" s="7">
        <v>22</v>
      </c>
      <c r="G345" s="7">
        <v>12.6</v>
      </c>
      <c r="H345" s="8">
        <v>229</v>
      </c>
      <c r="I345" s="9">
        <v>83</v>
      </c>
      <c r="J345" s="9">
        <v>239</v>
      </c>
      <c r="K345" s="8">
        <v>35.1</v>
      </c>
      <c r="L345" s="9">
        <v>47</v>
      </c>
      <c r="M345" s="9">
        <v>140</v>
      </c>
      <c r="N345" s="8">
        <v>33.799999999999997</v>
      </c>
      <c r="O345" s="8">
        <v>16</v>
      </c>
      <c r="P345" s="8">
        <v>16</v>
      </c>
      <c r="Q345" s="8">
        <v>81.3</v>
      </c>
      <c r="R345" s="9">
        <v>16</v>
      </c>
      <c r="S345" s="9">
        <v>62</v>
      </c>
      <c r="T345" s="9">
        <v>78</v>
      </c>
      <c r="U345" s="9">
        <v>73</v>
      </c>
      <c r="V345" s="9">
        <v>36</v>
      </c>
      <c r="W345" s="9">
        <v>36</v>
      </c>
      <c r="X345" s="9">
        <v>16</v>
      </c>
      <c r="Y345" s="9">
        <v>52</v>
      </c>
      <c r="Z345" s="8">
        <v>556</v>
      </c>
      <c r="AA345" s="8">
        <v>0</v>
      </c>
      <c r="AB345" s="8">
        <v>0</v>
      </c>
      <c r="AC345" s="7">
        <v>-1</v>
      </c>
      <c r="AD345" s="7">
        <v>108.5</v>
      </c>
      <c r="AE345" s="7">
        <v>111.1</v>
      </c>
      <c r="AF345" s="7">
        <v>-2.7</v>
      </c>
      <c r="AG345" s="7">
        <v>15.3</v>
      </c>
      <c r="AH345" s="7">
        <v>2.0299999999999998</v>
      </c>
      <c r="AI345" s="7">
        <v>20.9</v>
      </c>
      <c r="AJ345" s="7">
        <v>2.2000000000000002</v>
      </c>
      <c r="AK345" s="7">
        <v>8.6</v>
      </c>
      <c r="AL345" s="7">
        <v>5.4</v>
      </c>
      <c r="AM345" s="7">
        <v>10.3</v>
      </c>
      <c r="AN345" s="7">
        <v>45.2</v>
      </c>
      <c r="AO345" s="7">
        <v>46.5</v>
      </c>
      <c r="AP345" s="7">
        <v>17.100000000000001</v>
      </c>
      <c r="AQ345" s="7">
        <v>104.93</v>
      </c>
      <c r="AR345" s="7">
        <v>6</v>
      </c>
      <c r="AS345" s="7">
        <v>1425</v>
      </c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1"/>
    </row>
    <row r="346" spans="1:70" ht="13">
      <c r="A346" s="6" t="s">
        <v>729</v>
      </c>
      <c r="B346" s="6" t="s">
        <v>730</v>
      </c>
      <c r="C346" s="7">
        <v>31</v>
      </c>
      <c r="D346" s="7">
        <v>31</v>
      </c>
      <c r="E346" s="7">
        <v>9</v>
      </c>
      <c r="F346" s="7">
        <v>22</v>
      </c>
      <c r="G346" s="7">
        <v>17.2</v>
      </c>
      <c r="H346" s="8">
        <v>229</v>
      </c>
      <c r="I346" s="9">
        <v>90</v>
      </c>
      <c r="J346" s="9">
        <v>140</v>
      </c>
      <c r="K346" s="8">
        <v>64.7</v>
      </c>
      <c r="L346" s="8">
        <v>0</v>
      </c>
      <c r="M346" s="9">
        <v>3</v>
      </c>
      <c r="N346" s="8">
        <v>0</v>
      </c>
      <c r="O346" s="8">
        <v>50</v>
      </c>
      <c r="P346" s="8">
        <v>59</v>
      </c>
      <c r="Q346" s="8">
        <v>83.3</v>
      </c>
      <c r="R346" s="9">
        <v>62</v>
      </c>
      <c r="S346" s="9">
        <v>115</v>
      </c>
      <c r="T346" s="9">
        <v>177</v>
      </c>
      <c r="U346" s="9">
        <v>43</v>
      </c>
      <c r="V346" s="9">
        <v>22</v>
      </c>
      <c r="W346" s="9">
        <v>9</v>
      </c>
      <c r="X346" s="9">
        <v>22</v>
      </c>
      <c r="Y346" s="9">
        <v>50</v>
      </c>
      <c r="Z346" s="8">
        <v>580</v>
      </c>
      <c r="AA346" s="8">
        <v>3</v>
      </c>
      <c r="AB346" s="8">
        <v>0</v>
      </c>
      <c r="AC346" s="7">
        <v>-1.2</v>
      </c>
      <c r="AD346" s="7">
        <v>110.2</v>
      </c>
      <c r="AE346" s="7">
        <v>114.5</v>
      </c>
      <c r="AF346" s="7">
        <v>-4.3</v>
      </c>
      <c r="AG346" s="7">
        <v>11.2</v>
      </c>
      <c r="AH346" s="7">
        <v>2</v>
      </c>
      <c r="AI346" s="7">
        <v>18.5</v>
      </c>
      <c r="AJ346" s="7">
        <v>11.3</v>
      </c>
      <c r="AK346" s="7">
        <v>20.8</v>
      </c>
      <c r="AL346" s="7">
        <v>16.100000000000001</v>
      </c>
      <c r="AM346" s="7">
        <v>9.3000000000000007</v>
      </c>
      <c r="AN346" s="7">
        <v>64.7</v>
      </c>
      <c r="AO346" s="7">
        <v>69.5</v>
      </c>
      <c r="AP346" s="7">
        <v>14.3</v>
      </c>
      <c r="AQ346" s="7">
        <v>100.78</v>
      </c>
      <c r="AR346" s="7">
        <v>13.5</v>
      </c>
      <c r="AS346" s="7">
        <v>1127</v>
      </c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1"/>
    </row>
    <row r="347" spans="1:70" ht="13">
      <c r="A347" s="13" t="s">
        <v>731</v>
      </c>
      <c r="B347" s="6" t="s">
        <v>732</v>
      </c>
      <c r="C347" s="7">
        <v>23</v>
      </c>
      <c r="D347" s="7">
        <v>67</v>
      </c>
      <c r="E347" s="7">
        <v>39</v>
      </c>
      <c r="F347" s="7">
        <v>28</v>
      </c>
      <c r="G347" s="7">
        <v>14.6</v>
      </c>
      <c r="H347" s="8">
        <v>228</v>
      </c>
      <c r="I347" s="9">
        <v>94</v>
      </c>
      <c r="J347" s="9">
        <v>194</v>
      </c>
      <c r="K347" s="8">
        <v>47.7</v>
      </c>
      <c r="L347" s="9">
        <v>27</v>
      </c>
      <c r="M347" s="9">
        <v>74</v>
      </c>
      <c r="N347" s="8">
        <v>39.5</v>
      </c>
      <c r="O347" s="8">
        <v>13</v>
      </c>
      <c r="P347" s="8">
        <v>27</v>
      </c>
      <c r="Q347" s="8">
        <v>50</v>
      </c>
      <c r="R347" s="9">
        <v>67</v>
      </c>
      <c r="S347" s="9">
        <v>114</v>
      </c>
      <c r="T347" s="9">
        <v>181</v>
      </c>
      <c r="U347" s="9">
        <v>80</v>
      </c>
      <c r="V347" s="9">
        <v>60</v>
      </c>
      <c r="W347" s="9">
        <v>34</v>
      </c>
      <c r="X347" s="9">
        <v>13</v>
      </c>
      <c r="Y347" s="9">
        <v>114</v>
      </c>
      <c r="Z347" s="8">
        <v>657</v>
      </c>
      <c r="AA347" s="8">
        <v>0</v>
      </c>
      <c r="AB347" s="8">
        <v>0</v>
      </c>
      <c r="AC347" s="7">
        <v>-0.5</v>
      </c>
      <c r="AD347" s="7">
        <v>110.6</v>
      </c>
      <c r="AE347" s="7">
        <v>112.1</v>
      </c>
      <c r="AF347" s="7">
        <v>-1.5</v>
      </c>
      <c r="AG347" s="7">
        <v>10.9</v>
      </c>
      <c r="AH347" s="7">
        <v>1.43</v>
      </c>
      <c r="AI347" s="7">
        <v>23.8</v>
      </c>
      <c r="AJ347" s="7">
        <v>6.6</v>
      </c>
      <c r="AK347" s="7">
        <v>11.4</v>
      </c>
      <c r="AL347" s="7">
        <v>9.1</v>
      </c>
      <c r="AM347" s="7">
        <v>16.600000000000001</v>
      </c>
      <c r="AN347" s="7">
        <v>55.3</v>
      </c>
      <c r="AO347" s="7">
        <v>55.4</v>
      </c>
      <c r="AP347" s="7">
        <v>11.5</v>
      </c>
      <c r="AQ347" s="7">
        <v>101.48</v>
      </c>
      <c r="AR347" s="7">
        <v>5.0999999999999996</v>
      </c>
      <c r="AS347" s="7">
        <v>2071</v>
      </c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1"/>
    </row>
    <row r="348" spans="1:70" ht="13">
      <c r="A348" s="6" t="s">
        <v>733</v>
      </c>
      <c r="B348" s="6" t="s">
        <v>734</v>
      </c>
      <c r="C348" s="7">
        <v>31</v>
      </c>
      <c r="D348" s="7">
        <v>58</v>
      </c>
      <c r="E348" s="7">
        <v>38</v>
      </c>
      <c r="F348" s="7">
        <v>20</v>
      </c>
      <c r="G348" s="7">
        <v>13.7</v>
      </c>
      <c r="H348" s="8">
        <v>226</v>
      </c>
      <c r="I348" s="9">
        <v>93</v>
      </c>
      <c r="J348" s="9">
        <v>168</v>
      </c>
      <c r="K348" s="8">
        <v>54.5</v>
      </c>
      <c r="L348" s="8">
        <v>0</v>
      </c>
      <c r="M348" s="8">
        <v>0</v>
      </c>
      <c r="N348" s="8">
        <v>0</v>
      </c>
      <c r="O348" s="8">
        <v>41</v>
      </c>
      <c r="P348" s="8">
        <v>93</v>
      </c>
      <c r="Q348" s="8">
        <v>46.2</v>
      </c>
      <c r="R348" s="9">
        <v>168</v>
      </c>
      <c r="S348" s="9">
        <v>162</v>
      </c>
      <c r="T348" s="9">
        <v>325</v>
      </c>
      <c r="U348" s="9">
        <v>64</v>
      </c>
      <c r="V348" s="9">
        <v>52</v>
      </c>
      <c r="W348" s="9">
        <v>23</v>
      </c>
      <c r="X348" s="9">
        <v>29</v>
      </c>
      <c r="Y348" s="9">
        <v>58</v>
      </c>
      <c r="Z348" s="8">
        <v>812</v>
      </c>
      <c r="AA348" s="8">
        <v>3</v>
      </c>
      <c r="AB348" s="8">
        <v>0</v>
      </c>
      <c r="AC348" s="7">
        <v>3</v>
      </c>
      <c r="AD348" s="7">
        <v>115.3</v>
      </c>
      <c r="AE348" s="7">
        <v>105.9</v>
      </c>
      <c r="AF348" s="7">
        <v>9.4</v>
      </c>
      <c r="AG348" s="7">
        <v>10.7</v>
      </c>
      <c r="AH348" s="7">
        <v>1.22</v>
      </c>
      <c r="AI348" s="7">
        <v>20.100000000000001</v>
      </c>
      <c r="AJ348" s="7">
        <v>18.100000000000001</v>
      </c>
      <c r="AK348" s="7">
        <v>19.3</v>
      </c>
      <c r="AL348" s="7">
        <v>18.7</v>
      </c>
      <c r="AM348" s="7">
        <v>16.399999999999999</v>
      </c>
      <c r="AN348" s="7">
        <v>54.5</v>
      </c>
      <c r="AO348" s="7">
        <v>54.1</v>
      </c>
      <c r="AP348" s="7">
        <v>12.7</v>
      </c>
      <c r="AQ348" s="7">
        <v>99.77</v>
      </c>
      <c r="AR348" s="7">
        <v>10.9</v>
      </c>
      <c r="AS348" s="7">
        <v>1658</v>
      </c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1"/>
    </row>
    <row r="349" spans="1:70" ht="13">
      <c r="A349" s="6" t="s">
        <v>735</v>
      </c>
      <c r="B349" s="6" t="s">
        <v>736</v>
      </c>
      <c r="C349" s="7">
        <v>20</v>
      </c>
      <c r="D349" s="7">
        <v>49</v>
      </c>
      <c r="E349" s="7">
        <v>30</v>
      </c>
      <c r="F349" s="7">
        <v>19</v>
      </c>
      <c r="G349" s="7">
        <v>10.5</v>
      </c>
      <c r="H349" s="8">
        <v>221</v>
      </c>
      <c r="I349" s="9">
        <v>93</v>
      </c>
      <c r="J349" s="9">
        <v>211</v>
      </c>
      <c r="K349" s="8">
        <v>44.1</v>
      </c>
      <c r="L349" s="9">
        <v>25</v>
      </c>
      <c r="M349" s="9">
        <v>74</v>
      </c>
      <c r="N349" s="8">
        <v>33.799999999999997</v>
      </c>
      <c r="O349" s="8">
        <v>10</v>
      </c>
      <c r="P349" s="8">
        <v>15</v>
      </c>
      <c r="Q349" s="8">
        <v>53.3</v>
      </c>
      <c r="R349" s="9">
        <v>10</v>
      </c>
      <c r="S349" s="9">
        <v>39</v>
      </c>
      <c r="T349" s="9">
        <v>49</v>
      </c>
      <c r="U349" s="9">
        <v>98</v>
      </c>
      <c r="V349" s="9">
        <v>54</v>
      </c>
      <c r="W349" s="9">
        <v>20</v>
      </c>
      <c r="X349" s="8">
        <v>0</v>
      </c>
      <c r="Y349" s="9">
        <v>39</v>
      </c>
      <c r="Z349" s="8">
        <v>436</v>
      </c>
      <c r="AA349" s="8">
        <v>0</v>
      </c>
      <c r="AB349" s="8">
        <v>0</v>
      </c>
      <c r="AC349" s="7">
        <v>0.4</v>
      </c>
      <c r="AD349" s="7">
        <v>112.3</v>
      </c>
      <c r="AE349" s="7">
        <v>111.1</v>
      </c>
      <c r="AF349" s="7">
        <v>1.2</v>
      </c>
      <c r="AG349" s="7">
        <v>28.3</v>
      </c>
      <c r="AH349" s="7">
        <v>1.85</v>
      </c>
      <c r="AI349" s="7">
        <v>26.6</v>
      </c>
      <c r="AJ349" s="7">
        <v>2.2000000000000002</v>
      </c>
      <c r="AK349" s="7">
        <v>7</v>
      </c>
      <c r="AL349" s="7">
        <v>4.5999999999999996</v>
      </c>
      <c r="AM349" s="7">
        <v>14.4</v>
      </c>
      <c r="AN349" s="7">
        <v>50</v>
      </c>
      <c r="AO349" s="7">
        <v>50.3</v>
      </c>
      <c r="AP349" s="7">
        <v>21.5</v>
      </c>
      <c r="AQ349" s="7">
        <v>101.82</v>
      </c>
      <c r="AR349" s="7">
        <v>7.8</v>
      </c>
      <c r="AS349" s="7">
        <v>1097</v>
      </c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1"/>
    </row>
    <row r="350" spans="1:70" ht="13">
      <c r="A350" s="6" t="s">
        <v>737</v>
      </c>
      <c r="B350" s="6" t="s">
        <v>738</v>
      </c>
      <c r="C350" s="7">
        <v>20</v>
      </c>
      <c r="D350" s="7">
        <v>29</v>
      </c>
      <c r="E350" s="7">
        <v>8</v>
      </c>
      <c r="F350" s="7">
        <v>21</v>
      </c>
      <c r="G350" s="7">
        <v>22</v>
      </c>
      <c r="H350" s="8">
        <v>220</v>
      </c>
      <c r="I350" s="9">
        <v>81</v>
      </c>
      <c r="J350" s="9">
        <v>212</v>
      </c>
      <c r="K350" s="8">
        <v>38.5</v>
      </c>
      <c r="L350" s="9">
        <v>23</v>
      </c>
      <c r="M350" s="9">
        <v>90</v>
      </c>
      <c r="N350" s="8">
        <v>26.7</v>
      </c>
      <c r="O350" s="8">
        <v>32</v>
      </c>
      <c r="P350" s="8">
        <v>38</v>
      </c>
      <c r="Q350" s="8">
        <v>86.5</v>
      </c>
      <c r="R350" s="9">
        <v>9</v>
      </c>
      <c r="S350" s="9">
        <v>52</v>
      </c>
      <c r="T350" s="9">
        <v>58</v>
      </c>
      <c r="U350" s="9">
        <v>75</v>
      </c>
      <c r="V350" s="9">
        <v>35</v>
      </c>
      <c r="W350" s="9">
        <v>12</v>
      </c>
      <c r="X350" s="9">
        <v>3</v>
      </c>
      <c r="Y350" s="9">
        <v>49</v>
      </c>
      <c r="Z350" s="8">
        <v>415</v>
      </c>
      <c r="AA350" s="8">
        <v>0</v>
      </c>
      <c r="AB350" s="8">
        <v>0</v>
      </c>
      <c r="AC350" s="7">
        <v>-5.2</v>
      </c>
      <c r="AD350" s="7">
        <v>104.1</v>
      </c>
      <c r="AE350" s="7">
        <v>115.6</v>
      </c>
      <c r="AF350" s="7">
        <v>-11.5</v>
      </c>
      <c r="AG350" s="7">
        <v>17.8</v>
      </c>
      <c r="AH350" s="7">
        <v>2.17</v>
      </c>
      <c r="AI350" s="7">
        <v>22.3</v>
      </c>
      <c r="AJ350" s="7">
        <v>1.1000000000000001</v>
      </c>
      <c r="AK350" s="7">
        <v>7.3</v>
      </c>
      <c r="AL350" s="7">
        <v>4.2</v>
      </c>
      <c r="AM350" s="7">
        <v>10.3</v>
      </c>
      <c r="AN350" s="7">
        <v>44.1</v>
      </c>
      <c r="AO350" s="7">
        <v>48</v>
      </c>
      <c r="AP350" s="7">
        <v>17.3</v>
      </c>
      <c r="AQ350" s="7">
        <v>100.83</v>
      </c>
      <c r="AR350" s="7">
        <v>5.3</v>
      </c>
      <c r="AS350" s="7">
        <v>1342</v>
      </c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1"/>
    </row>
    <row r="351" spans="1:70" ht="13">
      <c r="A351" s="6" t="s">
        <v>739</v>
      </c>
      <c r="B351" s="6" t="s">
        <v>740</v>
      </c>
      <c r="C351" s="7">
        <v>32</v>
      </c>
      <c r="D351" s="7">
        <v>41</v>
      </c>
      <c r="E351" s="7">
        <v>19</v>
      </c>
      <c r="F351" s="7">
        <v>22</v>
      </c>
      <c r="G351" s="7">
        <v>14.7</v>
      </c>
      <c r="H351" s="8">
        <v>217</v>
      </c>
      <c r="I351" s="9">
        <v>82</v>
      </c>
      <c r="J351" s="9">
        <v>176</v>
      </c>
      <c r="K351" s="8">
        <v>46.9</v>
      </c>
      <c r="L351" s="9">
        <v>25</v>
      </c>
      <c r="M351" s="9">
        <v>82</v>
      </c>
      <c r="N351" s="8">
        <v>32.1</v>
      </c>
      <c r="O351" s="8">
        <v>25</v>
      </c>
      <c r="P351" s="8">
        <v>33</v>
      </c>
      <c r="Q351" s="8">
        <v>77.400000000000006</v>
      </c>
      <c r="R351" s="9">
        <v>21</v>
      </c>
      <c r="S351" s="9">
        <v>90</v>
      </c>
      <c r="T351" s="9">
        <v>111</v>
      </c>
      <c r="U351" s="9">
        <v>70</v>
      </c>
      <c r="V351" s="9">
        <v>25</v>
      </c>
      <c r="W351" s="9">
        <v>8</v>
      </c>
      <c r="X351" s="9">
        <v>12</v>
      </c>
      <c r="Y351" s="9">
        <v>45</v>
      </c>
      <c r="Z351" s="8">
        <v>488</v>
      </c>
      <c r="AA351" s="8">
        <v>1</v>
      </c>
      <c r="AB351" s="8">
        <v>0</v>
      </c>
      <c r="AC351" s="7">
        <v>-0.3</v>
      </c>
      <c r="AD351" s="7">
        <v>111.7</v>
      </c>
      <c r="AE351" s="7">
        <v>114.6</v>
      </c>
      <c r="AF351" s="7">
        <v>-2.9</v>
      </c>
      <c r="AG351" s="7">
        <v>15.9</v>
      </c>
      <c r="AH351" s="7">
        <v>2.92</v>
      </c>
      <c r="AI351" s="7">
        <v>24.7</v>
      </c>
      <c r="AJ351" s="7">
        <v>3.2</v>
      </c>
      <c r="AK351" s="7">
        <v>14</v>
      </c>
      <c r="AL351" s="7">
        <v>8.8000000000000007</v>
      </c>
      <c r="AM351" s="7">
        <v>8.5</v>
      </c>
      <c r="AN351" s="7">
        <v>54.2</v>
      </c>
      <c r="AO351" s="7">
        <v>56.7</v>
      </c>
      <c r="AP351" s="7">
        <v>15.1</v>
      </c>
      <c r="AQ351" s="7">
        <v>99.41</v>
      </c>
      <c r="AR351" s="7">
        <v>8.8000000000000007</v>
      </c>
      <c r="AS351" s="7">
        <v>1259</v>
      </c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1"/>
    </row>
    <row r="352" spans="1:70" ht="13">
      <c r="A352" s="6" t="s">
        <v>741</v>
      </c>
      <c r="B352" s="6" t="s">
        <v>742</v>
      </c>
      <c r="C352" s="7">
        <v>22</v>
      </c>
      <c r="D352" s="7">
        <v>58</v>
      </c>
      <c r="E352" s="7">
        <v>23</v>
      </c>
      <c r="F352" s="7">
        <v>35</v>
      </c>
      <c r="G352" s="7">
        <v>11.8</v>
      </c>
      <c r="H352" s="8">
        <v>215</v>
      </c>
      <c r="I352" s="9">
        <v>81</v>
      </c>
      <c r="J352" s="9">
        <v>186</v>
      </c>
      <c r="K352" s="8">
        <v>43.5</v>
      </c>
      <c r="L352" s="9">
        <v>17</v>
      </c>
      <c r="M352" s="9">
        <v>58</v>
      </c>
      <c r="N352" s="8">
        <v>29.3</v>
      </c>
      <c r="O352" s="8">
        <v>41</v>
      </c>
      <c r="P352" s="8">
        <v>64</v>
      </c>
      <c r="Q352" s="8">
        <v>62.3</v>
      </c>
      <c r="R352" s="9">
        <v>17</v>
      </c>
      <c r="S352" s="9">
        <v>46</v>
      </c>
      <c r="T352" s="9">
        <v>64</v>
      </c>
      <c r="U352" s="9">
        <v>116</v>
      </c>
      <c r="V352" s="9">
        <v>52</v>
      </c>
      <c r="W352" s="9">
        <v>35</v>
      </c>
      <c r="X352" s="9">
        <v>6</v>
      </c>
      <c r="Y352" s="9">
        <v>46</v>
      </c>
      <c r="Z352" s="8">
        <v>534</v>
      </c>
      <c r="AA352" s="8">
        <v>0</v>
      </c>
      <c r="AB352" s="8">
        <v>0</v>
      </c>
      <c r="AC352" s="7">
        <v>-0.2</v>
      </c>
      <c r="AD352" s="7">
        <v>110.2</v>
      </c>
      <c r="AE352" s="7">
        <v>109.7</v>
      </c>
      <c r="AF352" s="7">
        <v>0.5</v>
      </c>
      <c r="AG352" s="7">
        <v>22.5</v>
      </c>
      <c r="AH352" s="7">
        <v>2.11</v>
      </c>
      <c r="AI352" s="7">
        <v>29.8</v>
      </c>
      <c r="AJ352" s="7">
        <v>2.5</v>
      </c>
      <c r="AK352" s="7">
        <v>6.2</v>
      </c>
      <c r="AL352" s="7">
        <v>4.4000000000000004</v>
      </c>
      <c r="AM352" s="7">
        <v>14.1</v>
      </c>
      <c r="AN352" s="7">
        <v>48.1</v>
      </c>
      <c r="AO352" s="7">
        <v>51</v>
      </c>
      <c r="AP352" s="7">
        <v>16.5</v>
      </c>
      <c r="AQ352" s="7">
        <v>101.92</v>
      </c>
      <c r="AR352" s="7">
        <v>6.6</v>
      </c>
      <c r="AS352" s="7">
        <v>1443</v>
      </c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1"/>
    </row>
    <row r="353" spans="1:70" ht="13">
      <c r="A353" s="6" t="s">
        <v>743</v>
      </c>
      <c r="B353" s="6" t="s">
        <v>744</v>
      </c>
      <c r="C353" s="7">
        <v>20</v>
      </c>
      <c r="D353" s="7">
        <v>29</v>
      </c>
      <c r="E353" s="7">
        <v>19</v>
      </c>
      <c r="F353" s="7">
        <v>10</v>
      </c>
      <c r="G353" s="7">
        <v>15.8</v>
      </c>
      <c r="H353" s="8">
        <v>209</v>
      </c>
      <c r="I353" s="9">
        <v>75</v>
      </c>
      <c r="J353" s="9">
        <v>200</v>
      </c>
      <c r="K353" s="8">
        <v>37.200000000000003</v>
      </c>
      <c r="L353" s="9">
        <v>32</v>
      </c>
      <c r="M353" s="9">
        <v>96</v>
      </c>
      <c r="N353" s="8">
        <v>33.700000000000003</v>
      </c>
      <c r="O353" s="8">
        <v>29</v>
      </c>
      <c r="P353" s="8">
        <v>41</v>
      </c>
      <c r="Q353" s="8">
        <v>72.5</v>
      </c>
      <c r="R353" s="9">
        <v>26</v>
      </c>
      <c r="S353" s="9">
        <v>64</v>
      </c>
      <c r="T353" s="9">
        <v>93</v>
      </c>
      <c r="U353" s="9">
        <v>29</v>
      </c>
      <c r="V353" s="9">
        <v>32</v>
      </c>
      <c r="W353" s="9">
        <v>12</v>
      </c>
      <c r="X353" s="9">
        <v>6</v>
      </c>
      <c r="Y353" s="9">
        <v>29</v>
      </c>
      <c r="Z353" s="8">
        <v>383</v>
      </c>
      <c r="AA353" s="8">
        <v>0</v>
      </c>
      <c r="AB353" s="8">
        <v>0</v>
      </c>
      <c r="AC353" s="7">
        <v>-2.2999999999999998</v>
      </c>
      <c r="AD353" s="7">
        <v>112.7</v>
      </c>
      <c r="AE353" s="7">
        <v>118.6</v>
      </c>
      <c r="AF353" s="7">
        <v>-5.9</v>
      </c>
      <c r="AG353" s="7">
        <v>8.5</v>
      </c>
      <c r="AH353" s="7">
        <v>0.94</v>
      </c>
      <c r="AI353" s="7">
        <v>10.5</v>
      </c>
      <c r="AJ353" s="7">
        <v>5.5</v>
      </c>
      <c r="AK353" s="7">
        <v>13</v>
      </c>
      <c r="AL353" s="7">
        <v>9.3000000000000007</v>
      </c>
      <c r="AM353" s="7">
        <v>11.2</v>
      </c>
      <c r="AN353" s="7">
        <v>45.2</v>
      </c>
      <c r="AO353" s="7">
        <v>48.2</v>
      </c>
      <c r="AP353" s="7">
        <v>21.9</v>
      </c>
      <c r="AQ353" s="7">
        <v>102.73</v>
      </c>
      <c r="AR353" s="7">
        <v>6.4</v>
      </c>
      <c r="AS353" s="7">
        <v>977</v>
      </c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1"/>
    </row>
    <row r="354" spans="1:70" ht="13">
      <c r="A354" s="6" t="s">
        <v>745</v>
      </c>
      <c r="B354" s="6" t="s">
        <v>746</v>
      </c>
      <c r="C354" s="7">
        <v>36</v>
      </c>
      <c r="D354" s="7">
        <v>56</v>
      </c>
      <c r="E354" s="7">
        <v>37</v>
      </c>
      <c r="F354" s="7">
        <v>19</v>
      </c>
      <c r="G354" s="7">
        <v>12.3</v>
      </c>
      <c r="H354" s="8">
        <v>207</v>
      </c>
      <c r="I354" s="9">
        <v>90</v>
      </c>
      <c r="J354" s="9">
        <v>140</v>
      </c>
      <c r="K354" s="8">
        <v>65</v>
      </c>
      <c r="L354" s="8">
        <v>0</v>
      </c>
      <c r="M354" s="8">
        <v>0</v>
      </c>
      <c r="N354" s="8">
        <v>0</v>
      </c>
      <c r="O354" s="8">
        <v>28</v>
      </c>
      <c r="P354" s="8">
        <v>62</v>
      </c>
      <c r="Q354" s="8">
        <v>42.2</v>
      </c>
      <c r="R354" s="9">
        <v>84</v>
      </c>
      <c r="S354" s="9">
        <v>202</v>
      </c>
      <c r="T354" s="9">
        <v>286</v>
      </c>
      <c r="U354" s="9">
        <v>50</v>
      </c>
      <c r="V354" s="9">
        <v>39</v>
      </c>
      <c r="W354" s="9">
        <v>17</v>
      </c>
      <c r="X354" s="9">
        <v>28</v>
      </c>
      <c r="Y354" s="9">
        <v>73</v>
      </c>
      <c r="Z354" s="8">
        <v>717</v>
      </c>
      <c r="AA354" s="8">
        <v>3</v>
      </c>
      <c r="AB354" s="8">
        <v>0</v>
      </c>
      <c r="AC354" s="7">
        <v>-0.8</v>
      </c>
      <c r="AD354" s="7">
        <v>108.8</v>
      </c>
      <c r="AE354" s="7">
        <v>112.1</v>
      </c>
      <c r="AF354" s="7">
        <v>-3.3</v>
      </c>
      <c r="AG354" s="7">
        <v>10.5</v>
      </c>
      <c r="AH354" s="7">
        <v>1.33</v>
      </c>
      <c r="AI354" s="7">
        <v>20.2</v>
      </c>
      <c r="AJ354" s="7">
        <v>11.9</v>
      </c>
      <c r="AK354" s="7">
        <v>26.2</v>
      </c>
      <c r="AL354" s="7">
        <v>19.399999999999999</v>
      </c>
      <c r="AM354" s="7">
        <v>15.3</v>
      </c>
      <c r="AN354" s="7">
        <v>65</v>
      </c>
      <c r="AO354" s="7">
        <v>62.1</v>
      </c>
      <c r="AP354" s="7">
        <v>12.6</v>
      </c>
      <c r="AQ354" s="7">
        <v>100.07</v>
      </c>
      <c r="AR354" s="7">
        <v>11.5</v>
      </c>
      <c r="AS354" s="7">
        <v>1440</v>
      </c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1"/>
    </row>
    <row r="355" spans="1:70" ht="13">
      <c r="A355" s="6" t="s">
        <v>747</v>
      </c>
      <c r="B355" s="6" t="s">
        <v>748</v>
      </c>
      <c r="C355" s="7">
        <v>26</v>
      </c>
      <c r="D355" s="7">
        <v>20</v>
      </c>
      <c r="E355" s="7">
        <v>5</v>
      </c>
      <c r="F355" s="7">
        <v>15</v>
      </c>
      <c r="G355" s="7">
        <v>32.4</v>
      </c>
      <c r="H355" s="8">
        <v>206</v>
      </c>
      <c r="I355" s="9">
        <v>76</v>
      </c>
      <c r="J355" s="9">
        <v>172</v>
      </c>
      <c r="K355" s="8">
        <v>43.6</v>
      </c>
      <c r="L355" s="9">
        <v>22</v>
      </c>
      <c r="M355" s="9">
        <v>72</v>
      </c>
      <c r="N355" s="8">
        <v>30.6</v>
      </c>
      <c r="O355" s="8">
        <v>34</v>
      </c>
      <c r="P355" s="8">
        <v>40</v>
      </c>
      <c r="Q355" s="8">
        <v>82.5</v>
      </c>
      <c r="R355" s="9">
        <v>22</v>
      </c>
      <c r="S355" s="9">
        <v>56</v>
      </c>
      <c r="T355" s="9">
        <v>78</v>
      </c>
      <c r="U355" s="9">
        <v>66</v>
      </c>
      <c r="V355" s="9">
        <v>36</v>
      </c>
      <c r="W355" s="9">
        <v>38</v>
      </c>
      <c r="X355" s="9">
        <v>10</v>
      </c>
      <c r="Y355" s="9">
        <v>66</v>
      </c>
      <c r="Z355" s="8">
        <v>500</v>
      </c>
      <c r="AA355" s="8">
        <v>0</v>
      </c>
      <c r="AB355" s="8">
        <v>0</v>
      </c>
      <c r="AC355" s="7">
        <v>-1</v>
      </c>
      <c r="AD355" s="7">
        <v>111.8</v>
      </c>
      <c r="AE355" s="7">
        <v>112.5</v>
      </c>
      <c r="AF355" s="7">
        <v>-0.7</v>
      </c>
      <c r="AG355" s="7">
        <v>13.4</v>
      </c>
      <c r="AH355" s="7">
        <v>1.86</v>
      </c>
      <c r="AI355" s="7">
        <v>22.3</v>
      </c>
      <c r="AJ355" s="7">
        <v>3.3</v>
      </c>
      <c r="AK355" s="7">
        <v>8.5</v>
      </c>
      <c r="AL355" s="7">
        <v>5.9</v>
      </c>
      <c r="AM355" s="7">
        <v>12</v>
      </c>
      <c r="AN355" s="7">
        <v>50</v>
      </c>
      <c r="AO355" s="7">
        <v>54.1</v>
      </c>
      <c r="AP355" s="7">
        <v>14.6</v>
      </c>
      <c r="AQ355" s="7">
        <v>100.76</v>
      </c>
      <c r="AR355" s="7">
        <v>6.2</v>
      </c>
      <c r="AS355" s="7">
        <v>1356</v>
      </c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1"/>
    </row>
    <row r="356" spans="1:70" ht="13">
      <c r="A356" s="13" t="s">
        <v>749</v>
      </c>
      <c r="B356" s="6" t="s">
        <v>750</v>
      </c>
      <c r="C356" s="7">
        <v>32</v>
      </c>
      <c r="D356" s="7">
        <v>24</v>
      </c>
      <c r="E356" s="7">
        <v>10</v>
      </c>
      <c r="F356" s="7">
        <v>14</v>
      </c>
      <c r="G356" s="7">
        <v>19.3</v>
      </c>
      <c r="H356" s="8">
        <v>204</v>
      </c>
      <c r="I356" s="9">
        <v>79</v>
      </c>
      <c r="J356" s="9">
        <v>156</v>
      </c>
      <c r="K356" s="8">
        <v>51.6</v>
      </c>
      <c r="L356" s="9">
        <v>34</v>
      </c>
      <c r="M356" s="9">
        <v>77</v>
      </c>
      <c r="N356" s="8">
        <v>44.7</v>
      </c>
      <c r="O356" s="8">
        <v>10</v>
      </c>
      <c r="P356" s="8">
        <v>12</v>
      </c>
      <c r="Q356" s="8">
        <v>69.2</v>
      </c>
      <c r="R356" s="9">
        <v>24</v>
      </c>
      <c r="S356" s="9">
        <v>79</v>
      </c>
      <c r="T356" s="9">
        <v>103</v>
      </c>
      <c r="U356" s="9">
        <v>38</v>
      </c>
      <c r="V356" s="9">
        <v>17</v>
      </c>
      <c r="W356" s="9">
        <v>19</v>
      </c>
      <c r="X356" s="9">
        <v>12</v>
      </c>
      <c r="Y356" s="9">
        <v>36</v>
      </c>
      <c r="Z356" s="8">
        <v>466</v>
      </c>
      <c r="AA356" s="8">
        <v>3</v>
      </c>
      <c r="AB356" s="8">
        <v>0</v>
      </c>
      <c r="AC356" s="7">
        <v>-4</v>
      </c>
      <c r="AD356" s="7">
        <v>107.5</v>
      </c>
      <c r="AE356" s="7">
        <v>116.5</v>
      </c>
      <c r="AF356" s="7">
        <v>-9</v>
      </c>
      <c r="AG356" s="7">
        <v>12.5</v>
      </c>
      <c r="AH356" s="7">
        <v>2.38</v>
      </c>
      <c r="AI356" s="7">
        <v>17.7</v>
      </c>
      <c r="AJ356" s="7">
        <v>4.5999999999999996</v>
      </c>
      <c r="AK356" s="7">
        <v>17.399999999999999</v>
      </c>
      <c r="AL356" s="7">
        <v>10.8</v>
      </c>
      <c r="AM356" s="7">
        <v>7.4</v>
      </c>
      <c r="AN356" s="7">
        <v>62.6</v>
      </c>
      <c r="AO356" s="7">
        <v>63.2</v>
      </c>
      <c r="AP356" s="7">
        <v>15.5</v>
      </c>
      <c r="AQ356" s="7">
        <v>104.76</v>
      </c>
      <c r="AR356" s="7">
        <v>10.6</v>
      </c>
      <c r="AS356" s="7">
        <v>1009</v>
      </c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1"/>
    </row>
    <row r="357" spans="1:70" ht="13">
      <c r="A357" s="6" t="s">
        <v>751</v>
      </c>
      <c r="B357" s="6" t="s">
        <v>752</v>
      </c>
      <c r="C357" s="7">
        <v>22</v>
      </c>
      <c r="D357" s="7">
        <v>52</v>
      </c>
      <c r="E357" s="7">
        <v>27</v>
      </c>
      <c r="F357" s="7">
        <v>25</v>
      </c>
      <c r="G357" s="7">
        <v>11.2</v>
      </c>
      <c r="H357" s="8">
        <v>203</v>
      </c>
      <c r="I357" s="9">
        <v>68</v>
      </c>
      <c r="J357" s="9">
        <v>172</v>
      </c>
      <c r="K357" s="8">
        <v>40.200000000000003</v>
      </c>
      <c r="L357" s="9">
        <v>10</v>
      </c>
      <c r="M357" s="9">
        <v>52</v>
      </c>
      <c r="N357" s="8">
        <v>23.5</v>
      </c>
      <c r="O357" s="8">
        <v>47</v>
      </c>
      <c r="P357" s="8">
        <v>78</v>
      </c>
      <c r="Q357" s="8">
        <v>64.5</v>
      </c>
      <c r="R357" s="9">
        <v>42</v>
      </c>
      <c r="S357" s="9">
        <v>83</v>
      </c>
      <c r="T357" s="9">
        <v>125</v>
      </c>
      <c r="U357" s="9">
        <v>42</v>
      </c>
      <c r="V357" s="9">
        <v>16</v>
      </c>
      <c r="W357" s="9">
        <v>26</v>
      </c>
      <c r="X357" s="9">
        <v>5</v>
      </c>
      <c r="Y357" s="9">
        <v>26</v>
      </c>
      <c r="Z357" s="8">
        <v>494</v>
      </c>
      <c r="AA357" s="8">
        <v>0</v>
      </c>
      <c r="AB357" s="8">
        <v>0</v>
      </c>
      <c r="AC357" s="7">
        <v>-2</v>
      </c>
      <c r="AD357" s="7">
        <v>101.8</v>
      </c>
      <c r="AE357" s="7">
        <v>109.5</v>
      </c>
      <c r="AF357" s="7">
        <v>-7.7</v>
      </c>
      <c r="AG357" s="7">
        <v>10.1</v>
      </c>
      <c r="AH357" s="7">
        <v>2.86</v>
      </c>
      <c r="AI357" s="7">
        <v>15.2</v>
      </c>
      <c r="AJ357" s="7">
        <v>7.1</v>
      </c>
      <c r="AK357" s="7">
        <v>13.7</v>
      </c>
      <c r="AL357" s="7">
        <v>10.3</v>
      </c>
      <c r="AM357" s="7">
        <v>5.3</v>
      </c>
      <c r="AN357" s="7">
        <v>43.7</v>
      </c>
      <c r="AO357" s="7">
        <v>48.4</v>
      </c>
      <c r="AP357" s="7">
        <v>15.8</v>
      </c>
      <c r="AQ357" s="7">
        <v>103.43</v>
      </c>
      <c r="AR357" s="7">
        <v>8.1999999999999993</v>
      </c>
      <c r="AS357" s="7">
        <v>1255</v>
      </c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1"/>
    </row>
    <row r="358" spans="1:70" ht="13">
      <c r="A358" s="6" t="s">
        <v>753</v>
      </c>
      <c r="B358" s="6" t="s">
        <v>754</v>
      </c>
      <c r="C358" s="7">
        <v>29</v>
      </c>
      <c r="D358" s="7">
        <v>42</v>
      </c>
      <c r="E358" s="7">
        <v>26</v>
      </c>
      <c r="F358" s="7">
        <v>16</v>
      </c>
      <c r="G358" s="7">
        <v>11.9</v>
      </c>
      <c r="H358" s="8">
        <v>202</v>
      </c>
      <c r="I358" s="9">
        <v>80</v>
      </c>
      <c r="J358" s="9">
        <v>151</v>
      </c>
      <c r="K358" s="8">
        <v>53.3</v>
      </c>
      <c r="L358" s="9">
        <v>13</v>
      </c>
      <c r="M358" s="9">
        <v>25</v>
      </c>
      <c r="N358" s="8">
        <v>42.3</v>
      </c>
      <c r="O358" s="8">
        <v>25</v>
      </c>
      <c r="P358" s="8">
        <v>42</v>
      </c>
      <c r="Q358" s="8">
        <v>67.5</v>
      </c>
      <c r="R358" s="9">
        <v>55</v>
      </c>
      <c r="S358" s="9">
        <v>80</v>
      </c>
      <c r="T358" s="9">
        <v>139</v>
      </c>
      <c r="U358" s="9">
        <v>38</v>
      </c>
      <c r="V358" s="9">
        <v>21</v>
      </c>
      <c r="W358" s="9">
        <v>13</v>
      </c>
      <c r="X358" s="9">
        <v>8</v>
      </c>
      <c r="Y358" s="9">
        <v>50</v>
      </c>
      <c r="Z358" s="8">
        <v>466</v>
      </c>
      <c r="AA358" s="8">
        <v>1</v>
      </c>
      <c r="AB358" s="8">
        <v>0</v>
      </c>
      <c r="AC358" s="7">
        <v>-0.6</v>
      </c>
      <c r="AD358" s="7">
        <v>110.5</v>
      </c>
      <c r="AE358" s="7">
        <v>112.6</v>
      </c>
      <c r="AF358" s="7">
        <v>-2.1</v>
      </c>
      <c r="AG358" s="7">
        <v>10.199999999999999</v>
      </c>
      <c r="AH358" s="7">
        <v>1.76</v>
      </c>
      <c r="AI358" s="7">
        <v>16.3</v>
      </c>
      <c r="AJ358" s="7">
        <v>9.9</v>
      </c>
      <c r="AK358" s="7">
        <v>15.1</v>
      </c>
      <c r="AL358" s="7">
        <v>12.5</v>
      </c>
      <c r="AM358" s="7">
        <v>9.3000000000000007</v>
      </c>
      <c r="AN358" s="7">
        <v>56.9</v>
      </c>
      <c r="AO358" s="7">
        <v>59</v>
      </c>
      <c r="AP358" s="7">
        <v>14.8</v>
      </c>
      <c r="AQ358" s="7">
        <v>103.58</v>
      </c>
      <c r="AR358" s="7">
        <v>9.6999999999999993</v>
      </c>
      <c r="AS358" s="7">
        <v>1078</v>
      </c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1"/>
    </row>
    <row r="359" spans="1:70" ht="13">
      <c r="A359" s="6" t="s">
        <v>755</v>
      </c>
      <c r="B359" s="6" t="s">
        <v>756</v>
      </c>
      <c r="C359" s="7">
        <v>25</v>
      </c>
      <c r="D359" s="7">
        <v>49</v>
      </c>
      <c r="E359" s="7">
        <v>31</v>
      </c>
      <c r="F359" s="7">
        <v>18</v>
      </c>
      <c r="G359" s="7">
        <v>13.6</v>
      </c>
      <c r="H359" s="8">
        <v>201</v>
      </c>
      <c r="I359" s="9">
        <v>78</v>
      </c>
      <c r="J359" s="9">
        <v>181</v>
      </c>
      <c r="K359" s="8">
        <v>42.8</v>
      </c>
      <c r="L359" s="9">
        <v>39</v>
      </c>
      <c r="M359" s="9">
        <v>103</v>
      </c>
      <c r="N359" s="8">
        <v>39.6</v>
      </c>
      <c r="O359" s="8">
        <v>5</v>
      </c>
      <c r="P359" s="8">
        <v>10</v>
      </c>
      <c r="Q359" s="8">
        <v>75</v>
      </c>
      <c r="R359" s="9">
        <v>15</v>
      </c>
      <c r="S359" s="9">
        <v>54</v>
      </c>
      <c r="T359" s="9">
        <v>69</v>
      </c>
      <c r="U359" s="9">
        <v>108</v>
      </c>
      <c r="V359" s="9">
        <v>25</v>
      </c>
      <c r="W359" s="9">
        <v>20</v>
      </c>
      <c r="X359" s="9">
        <v>5</v>
      </c>
      <c r="Y359" s="9">
        <v>39</v>
      </c>
      <c r="Z359" s="8">
        <v>495</v>
      </c>
      <c r="AA359" s="8">
        <v>1</v>
      </c>
      <c r="AB359" s="8">
        <v>1</v>
      </c>
      <c r="AC359" s="7">
        <v>1.1000000000000001</v>
      </c>
      <c r="AD359" s="7">
        <v>112.6</v>
      </c>
      <c r="AE359" s="7">
        <v>109.7</v>
      </c>
      <c r="AF359" s="7">
        <v>2.9</v>
      </c>
      <c r="AG359" s="7">
        <v>21.1</v>
      </c>
      <c r="AH359" s="7">
        <v>4.46</v>
      </c>
      <c r="AI359" s="7">
        <v>34.1</v>
      </c>
      <c r="AJ359" s="7">
        <v>2.2000000000000002</v>
      </c>
      <c r="AK359" s="7">
        <v>7.8</v>
      </c>
      <c r="AL359" s="7">
        <v>5.0999999999999996</v>
      </c>
      <c r="AM359" s="7">
        <v>7.6</v>
      </c>
      <c r="AN359" s="7">
        <v>53.9</v>
      </c>
      <c r="AO359" s="7">
        <v>54.5</v>
      </c>
      <c r="AP359" s="7">
        <v>13</v>
      </c>
      <c r="AQ359" s="7">
        <v>99.25</v>
      </c>
      <c r="AR359" s="7">
        <v>7.8</v>
      </c>
      <c r="AS359" s="7">
        <v>1383</v>
      </c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1"/>
    </row>
    <row r="360" spans="1:70" ht="13">
      <c r="A360" s="6" t="s">
        <v>757</v>
      </c>
      <c r="B360" s="6" t="s">
        <v>758</v>
      </c>
      <c r="C360" s="7">
        <v>24</v>
      </c>
      <c r="D360" s="7">
        <v>40</v>
      </c>
      <c r="E360" s="7">
        <v>20</v>
      </c>
      <c r="F360" s="7">
        <v>20</v>
      </c>
      <c r="G360" s="7">
        <v>11.7</v>
      </c>
      <c r="H360" s="8">
        <v>200</v>
      </c>
      <c r="I360" s="9">
        <v>88</v>
      </c>
      <c r="J360" s="9">
        <v>108</v>
      </c>
      <c r="K360" s="8">
        <v>79.8</v>
      </c>
      <c r="L360" s="8">
        <v>0</v>
      </c>
      <c r="M360" s="9">
        <v>4</v>
      </c>
      <c r="N360" s="8">
        <v>20</v>
      </c>
      <c r="O360" s="8">
        <v>24</v>
      </c>
      <c r="P360" s="8">
        <v>32</v>
      </c>
      <c r="Q360" s="8">
        <v>71.900000000000006</v>
      </c>
      <c r="R360" s="9">
        <v>40</v>
      </c>
      <c r="S360" s="9">
        <v>84</v>
      </c>
      <c r="T360" s="9">
        <v>124</v>
      </c>
      <c r="U360" s="9">
        <v>24</v>
      </c>
      <c r="V360" s="9">
        <v>20</v>
      </c>
      <c r="W360" s="9">
        <v>16</v>
      </c>
      <c r="X360" s="9">
        <v>24</v>
      </c>
      <c r="Y360" s="9">
        <v>52</v>
      </c>
      <c r="Z360" s="8">
        <v>480</v>
      </c>
      <c r="AA360" s="8">
        <v>1</v>
      </c>
      <c r="AB360" s="8">
        <v>0</v>
      </c>
      <c r="AC360" s="7">
        <v>-0.5</v>
      </c>
      <c r="AD360" s="7">
        <v>107</v>
      </c>
      <c r="AE360" s="7">
        <v>109.2</v>
      </c>
      <c r="AF360" s="7">
        <v>-2.2999999999999998</v>
      </c>
      <c r="AG360" s="7">
        <v>8</v>
      </c>
      <c r="AH360" s="7">
        <v>1.39</v>
      </c>
      <c r="AI360" s="7">
        <v>15.2</v>
      </c>
      <c r="AJ360" s="7">
        <v>8.9</v>
      </c>
      <c r="AK360" s="7">
        <v>17.3</v>
      </c>
      <c r="AL360" s="7">
        <v>13.3</v>
      </c>
      <c r="AM360" s="7">
        <v>11</v>
      </c>
      <c r="AN360" s="7">
        <v>80.3</v>
      </c>
      <c r="AO360" s="7">
        <v>80.400000000000006</v>
      </c>
      <c r="AP360" s="7">
        <v>12.8</v>
      </c>
      <c r="AQ360" s="7">
        <v>99.77</v>
      </c>
      <c r="AR360" s="7">
        <v>13.1</v>
      </c>
      <c r="AS360" s="7">
        <v>974</v>
      </c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1"/>
    </row>
    <row r="361" spans="1:70" ht="13">
      <c r="A361" s="6" t="s">
        <v>759</v>
      </c>
      <c r="B361" s="6" t="s">
        <v>760</v>
      </c>
      <c r="C361" s="7">
        <v>22</v>
      </c>
      <c r="D361" s="7">
        <v>33</v>
      </c>
      <c r="E361" s="7">
        <v>15</v>
      </c>
      <c r="F361" s="7">
        <v>18</v>
      </c>
      <c r="G361" s="7">
        <v>16.100000000000001</v>
      </c>
      <c r="H361" s="8">
        <v>198</v>
      </c>
      <c r="I361" s="9">
        <v>73</v>
      </c>
      <c r="J361" s="9">
        <v>172</v>
      </c>
      <c r="K361" s="8">
        <v>42.1</v>
      </c>
      <c r="L361" s="9">
        <v>20</v>
      </c>
      <c r="M361" s="9">
        <v>83</v>
      </c>
      <c r="N361" s="8">
        <v>25.9</v>
      </c>
      <c r="O361" s="8">
        <v>33</v>
      </c>
      <c r="P361" s="8">
        <v>43</v>
      </c>
      <c r="Q361" s="8">
        <v>76.2</v>
      </c>
      <c r="R361" s="9">
        <v>43</v>
      </c>
      <c r="S361" s="9">
        <v>96</v>
      </c>
      <c r="T361" s="9">
        <v>139</v>
      </c>
      <c r="U361" s="9">
        <v>26</v>
      </c>
      <c r="V361" s="9">
        <v>17</v>
      </c>
      <c r="W361" s="9">
        <v>26</v>
      </c>
      <c r="X361" s="9">
        <v>33</v>
      </c>
      <c r="Y361" s="9">
        <v>56</v>
      </c>
      <c r="Z361" s="8">
        <v>571</v>
      </c>
      <c r="AA361" s="8">
        <v>2</v>
      </c>
      <c r="AB361" s="8">
        <v>0</v>
      </c>
      <c r="AC361" s="7">
        <v>2.6</v>
      </c>
      <c r="AD361" s="7">
        <v>113.4</v>
      </c>
      <c r="AE361" s="7">
        <v>104.7</v>
      </c>
      <c r="AF361" s="7">
        <v>8.8000000000000007</v>
      </c>
      <c r="AG361" s="7">
        <v>6.4</v>
      </c>
      <c r="AH361" s="7">
        <v>1.8</v>
      </c>
      <c r="AI361" s="7">
        <v>11.7</v>
      </c>
      <c r="AJ361" s="7">
        <v>7.8</v>
      </c>
      <c r="AK361" s="7">
        <v>17.899999999999999</v>
      </c>
      <c r="AL361" s="7">
        <v>12.7</v>
      </c>
      <c r="AM361" s="7">
        <v>6.5</v>
      </c>
      <c r="AN361" s="7">
        <v>48.2</v>
      </c>
      <c r="AO361" s="7">
        <v>52</v>
      </c>
      <c r="AP361" s="7">
        <v>15.5</v>
      </c>
      <c r="AQ361" s="7">
        <v>103.84</v>
      </c>
      <c r="AR361" s="7">
        <v>8.5</v>
      </c>
      <c r="AS361" s="7">
        <v>1146</v>
      </c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1"/>
    </row>
    <row r="362" spans="1:70" ht="13">
      <c r="A362" s="6" t="s">
        <v>761</v>
      </c>
      <c r="B362" s="6" t="s">
        <v>762</v>
      </c>
      <c r="C362" s="7">
        <v>26</v>
      </c>
      <c r="D362" s="7">
        <v>37</v>
      </c>
      <c r="E362" s="7">
        <v>6</v>
      </c>
      <c r="F362" s="7">
        <v>31</v>
      </c>
      <c r="G362" s="7">
        <v>13.6</v>
      </c>
      <c r="H362" s="8">
        <v>196</v>
      </c>
      <c r="I362" s="9">
        <v>67</v>
      </c>
      <c r="J362" s="9">
        <v>159</v>
      </c>
      <c r="K362" s="8">
        <v>43</v>
      </c>
      <c r="L362" s="9">
        <v>26</v>
      </c>
      <c r="M362" s="9">
        <v>81</v>
      </c>
      <c r="N362" s="8">
        <v>32.5</v>
      </c>
      <c r="O362" s="8">
        <v>33</v>
      </c>
      <c r="P362" s="8">
        <v>52</v>
      </c>
      <c r="Q362" s="8">
        <v>68</v>
      </c>
      <c r="R362" s="9">
        <v>26</v>
      </c>
      <c r="S362" s="9">
        <v>59</v>
      </c>
      <c r="T362" s="9">
        <v>85</v>
      </c>
      <c r="U362" s="9">
        <v>22</v>
      </c>
      <c r="V362" s="9">
        <v>22</v>
      </c>
      <c r="W362" s="9">
        <v>22</v>
      </c>
      <c r="X362" s="9">
        <v>7</v>
      </c>
      <c r="Y362" s="9">
        <v>44</v>
      </c>
      <c r="Z362" s="8">
        <v>403</v>
      </c>
      <c r="AA362" s="8">
        <v>0</v>
      </c>
      <c r="AB362" s="8">
        <v>0</v>
      </c>
      <c r="AC362" s="7">
        <v>-3.6</v>
      </c>
      <c r="AD362" s="7">
        <v>106.4</v>
      </c>
      <c r="AE362" s="7">
        <v>119.3</v>
      </c>
      <c r="AF362" s="7">
        <v>-12.9</v>
      </c>
      <c r="AG362" s="7">
        <v>6.5</v>
      </c>
      <c r="AH362" s="7">
        <v>1</v>
      </c>
      <c r="AI362" s="7">
        <v>9.8000000000000007</v>
      </c>
      <c r="AJ362" s="7">
        <v>5</v>
      </c>
      <c r="AK362" s="7">
        <v>11.7</v>
      </c>
      <c r="AL362" s="7">
        <v>8.1999999999999993</v>
      </c>
      <c r="AM362" s="7">
        <v>9.8000000000000007</v>
      </c>
      <c r="AN362" s="7">
        <v>51.3</v>
      </c>
      <c r="AO362" s="7">
        <v>54.4</v>
      </c>
      <c r="AP362" s="7">
        <v>16.7</v>
      </c>
      <c r="AQ362" s="7">
        <v>100.49</v>
      </c>
      <c r="AR362" s="7">
        <v>6.7</v>
      </c>
      <c r="AS362" s="7">
        <v>1052</v>
      </c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1"/>
    </row>
    <row r="363" spans="1:70" ht="13">
      <c r="A363" s="6" t="s">
        <v>763</v>
      </c>
      <c r="B363" s="6" t="s">
        <v>764</v>
      </c>
      <c r="C363" s="7">
        <v>25</v>
      </c>
      <c r="D363" s="7">
        <v>33</v>
      </c>
      <c r="E363" s="7">
        <v>12</v>
      </c>
      <c r="F363" s="7">
        <v>21</v>
      </c>
      <c r="G363" s="7">
        <v>14</v>
      </c>
      <c r="H363" s="8">
        <v>195</v>
      </c>
      <c r="I363" s="9">
        <v>69</v>
      </c>
      <c r="J363" s="9">
        <v>158</v>
      </c>
      <c r="K363" s="8">
        <v>43</v>
      </c>
      <c r="L363" s="9">
        <v>40</v>
      </c>
      <c r="M363" s="9">
        <v>89</v>
      </c>
      <c r="N363" s="8">
        <v>43.3</v>
      </c>
      <c r="O363" s="8">
        <v>20</v>
      </c>
      <c r="P363" s="8">
        <v>23</v>
      </c>
      <c r="Q363" s="8">
        <v>86.4</v>
      </c>
      <c r="R363" s="9">
        <v>23</v>
      </c>
      <c r="S363" s="9">
        <v>56</v>
      </c>
      <c r="T363" s="9">
        <v>79</v>
      </c>
      <c r="U363" s="9">
        <v>79</v>
      </c>
      <c r="V363" s="9">
        <v>17</v>
      </c>
      <c r="W363" s="9">
        <v>20</v>
      </c>
      <c r="X363" s="9">
        <v>7</v>
      </c>
      <c r="Y363" s="9">
        <v>30</v>
      </c>
      <c r="Z363" s="8">
        <v>465</v>
      </c>
      <c r="AA363" s="8">
        <v>1</v>
      </c>
      <c r="AB363" s="8">
        <v>0</v>
      </c>
      <c r="AC363" s="7">
        <v>-0.9</v>
      </c>
      <c r="AD363" s="7">
        <v>115.6</v>
      </c>
      <c r="AE363" s="7">
        <v>118.4</v>
      </c>
      <c r="AF363" s="7">
        <v>-2.8</v>
      </c>
      <c r="AG363" s="7">
        <v>23.5</v>
      </c>
      <c r="AH363" s="7">
        <v>4.59</v>
      </c>
      <c r="AI363" s="7">
        <v>29.7</v>
      </c>
      <c r="AJ363" s="7">
        <v>4.8</v>
      </c>
      <c r="AK363" s="7">
        <v>12.4</v>
      </c>
      <c r="AL363" s="7">
        <v>8.6</v>
      </c>
      <c r="AM363" s="7">
        <v>6.5</v>
      </c>
      <c r="AN363" s="7">
        <v>55.4</v>
      </c>
      <c r="AO363" s="7">
        <v>57.8</v>
      </c>
      <c r="AP363" s="7">
        <v>17</v>
      </c>
      <c r="AQ363" s="7">
        <v>98.66</v>
      </c>
      <c r="AR363" s="7">
        <v>10.5</v>
      </c>
      <c r="AS363" s="7">
        <v>947</v>
      </c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1"/>
    </row>
    <row r="364" spans="1:70" ht="13">
      <c r="A364" s="6" t="s">
        <v>765</v>
      </c>
      <c r="B364" s="6" t="s">
        <v>766</v>
      </c>
      <c r="C364" s="7">
        <v>28</v>
      </c>
      <c r="D364" s="7">
        <v>46</v>
      </c>
      <c r="E364" s="7">
        <v>19</v>
      </c>
      <c r="F364" s="7">
        <v>27</v>
      </c>
      <c r="G364" s="7">
        <v>10.199999999999999</v>
      </c>
      <c r="H364" s="8">
        <v>193</v>
      </c>
      <c r="I364" s="9">
        <v>69</v>
      </c>
      <c r="J364" s="9">
        <v>166</v>
      </c>
      <c r="K364" s="8">
        <v>42.2</v>
      </c>
      <c r="L364" s="9">
        <v>32</v>
      </c>
      <c r="M364" s="9">
        <v>106</v>
      </c>
      <c r="N364" s="8">
        <v>32.1</v>
      </c>
      <c r="O364" s="8">
        <v>18</v>
      </c>
      <c r="P364" s="8">
        <v>23</v>
      </c>
      <c r="Q364" s="8">
        <v>90.9</v>
      </c>
      <c r="R364" s="9">
        <v>46</v>
      </c>
      <c r="S364" s="9">
        <v>46</v>
      </c>
      <c r="T364" s="9">
        <v>92</v>
      </c>
      <c r="U364" s="9">
        <v>28</v>
      </c>
      <c r="V364" s="9">
        <v>14</v>
      </c>
      <c r="W364" s="9">
        <v>14</v>
      </c>
      <c r="X364" s="9">
        <v>14</v>
      </c>
      <c r="Y364" s="9">
        <v>41</v>
      </c>
      <c r="Z364" s="8">
        <v>405</v>
      </c>
      <c r="AA364" s="8">
        <v>0</v>
      </c>
      <c r="AB364" s="8">
        <v>0</v>
      </c>
      <c r="AC364" s="7">
        <v>-1.2</v>
      </c>
      <c r="AD364" s="7">
        <v>108</v>
      </c>
      <c r="AE364" s="7">
        <v>114.5</v>
      </c>
      <c r="AF364" s="7">
        <v>-6.5</v>
      </c>
      <c r="AG364" s="7">
        <v>8.3000000000000007</v>
      </c>
      <c r="AH364" s="7">
        <v>1.63</v>
      </c>
      <c r="AI364" s="7">
        <v>11.9</v>
      </c>
      <c r="AJ364" s="7">
        <v>8.1999999999999993</v>
      </c>
      <c r="AK364" s="7">
        <v>11.1</v>
      </c>
      <c r="AL364" s="7">
        <v>9.5</v>
      </c>
      <c r="AM364" s="7">
        <v>7.3</v>
      </c>
      <c r="AN364" s="7">
        <v>52.4</v>
      </c>
      <c r="AO364" s="7">
        <v>55.2</v>
      </c>
      <c r="AP364" s="7">
        <v>16.2</v>
      </c>
      <c r="AQ364" s="7">
        <v>102.71</v>
      </c>
      <c r="AR364" s="7">
        <v>7.7</v>
      </c>
      <c r="AS364" s="7">
        <v>1009</v>
      </c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1"/>
    </row>
    <row r="365" spans="1:70" ht="13">
      <c r="A365" s="13" t="s">
        <v>767</v>
      </c>
      <c r="B365" s="6" t="s">
        <v>768</v>
      </c>
      <c r="C365" s="7">
        <v>25</v>
      </c>
      <c r="D365" s="7">
        <v>51</v>
      </c>
      <c r="E365" s="7">
        <v>40</v>
      </c>
      <c r="F365" s="7">
        <v>11</v>
      </c>
      <c r="G365" s="7">
        <v>10.1</v>
      </c>
      <c r="H365" s="8">
        <v>189</v>
      </c>
      <c r="I365" s="9">
        <v>71</v>
      </c>
      <c r="J365" s="9">
        <v>138</v>
      </c>
      <c r="K365" s="8">
        <v>51.4</v>
      </c>
      <c r="L365" s="9">
        <v>20</v>
      </c>
      <c r="M365" s="9">
        <v>46</v>
      </c>
      <c r="N365" s="8">
        <v>43.8</v>
      </c>
      <c r="O365" s="8">
        <v>26</v>
      </c>
      <c r="P365" s="8">
        <v>31</v>
      </c>
      <c r="Q365" s="8">
        <v>71.900000000000006</v>
      </c>
      <c r="R365" s="9">
        <v>20</v>
      </c>
      <c r="S365" s="9">
        <v>46</v>
      </c>
      <c r="T365" s="9">
        <v>66</v>
      </c>
      <c r="U365" s="9">
        <v>71</v>
      </c>
      <c r="V365" s="9">
        <v>36</v>
      </c>
      <c r="W365" s="9">
        <v>15</v>
      </c>
      <c r="X365" s="9">
        <v>15</v>
      </c>
      <c r="Y365" s="9">
        <v>26</v>
      </c>
      <c r="Z365" s="8">
        <v>434</v>
      </c>
      <c r="AA365" s="8">
        <v>0</v>
      </c>
      <c r="AB365" s="8">
        <v>0</v>
      </c>
      <c r="AC365" s="7">
        <v>-0.9</v>
      </c>
      <c r="AD365" s="7">
        <v>108.3</v>
      </c>
      <c r="AE365" s="7">
        <v>113.5</v>
      </c>
      <c r="AF365" s="7">
        <v>-5.2</v>
      </c>
      <c r="AG365" s="7">
        <v>19.100000000000001</v>
      </c>
      <c r="AH365" s="7">
        <v>1.87</v>
      </c>
      <c r="AI365" s="7">
        <v>27</v>
      </c>
      <c r="AJ365" s="7">
        <v>3.7</v>
      </c>
      <c r="AK365" s="7">
        <v>8.5</v>
      </c>
      <c r="AL365" s="7">
        <v>6.3</v>
      </c>
      <c r="AM365" s="7">
        <v>14.4</v>
      </c>
      <c r="AN365" s="7">
        <v>58.9</v>
      </c>
      <c r="AO365" s="7">
        <v>61</v>
      </c>
      <c r="AP365" s="7">
        <v>15.5</v>
      </c>
      <c r="AQ365" s="7">
        <v>100.91</v>
      </c>
      <c r="AR365" s="7">
        <v>9.1</v>
      </c>
      <c r="AS365" s="7">
        <v>1084</v>
      </c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1"/>
    </row>
    <row r="366" spans="1:70" ht="13">
      <c r="A366" s="6" t="s">
        <v>769</v>
      </c>
      <c r="B366" s="6" t="s">
        <v>770</v>
      </c>
      <c r="C366" s="7">
        <v>29</v>
      </c>
      <c r="D366" s="7">
        <v>52</v>
      </c>
      <c r="E366" s="7">
        <v>38</v>
      </c>
      <c r="F366" s="7">
        <v>14</v>
      </c>
      <c r="G366" s="7">
        <v>11.3</v>
      </c>
      <c r="H366" s="8">
        <v>187</v>
      </c>
      <c r="I366" s="9">
        <v>68</v>
      </c>
      <c r="J366" s="9">
        <v>146</v>
      </c>
      <c r="K366" s="8">
        <v>47.3</v>
      </c>
      <c r="L366" s="9">
        <v>16</v>
      </c>
      <c r="M366" s="9">
        <v>47</v>
      </c>
      <c r="N366" s="8">
        <v>34.799999999999997</v>
      </c>
      <c r="O366" s="8">
        <v>31</v>
      </c>
      <c r="P366" s="8">
        <v>47</v>
      </c>
      <c r="Q366" s="8">
        <v>68.099999999999994</v>
      </c>
      <c r="R366" s="9">
        <v>52</v>
      </c>
      <c r="S366" s="9">
        <v>68</v>
      </c>
      <c r="T366" s="9">
        <v>120</v>
      </c>
      <c r="U366" s="9">
        <v>47</v>
      </c>
      <c r="V366" s="9">
        <v>21</v>
      </c>
      <c r="W366" s="9">
        <v>26</v>
      </c>
      <c r="X366" s="9">
        <v>5</v>
      </c>
      <c r="Y366" s="9">
        <v>83</v>
      </c>
      <c r="Z366" s="8">
        <v>478</v>
      </c>
      <c r="AA366" s="8">
        <v>0</v>
      </c>
      <c r="AB366" s="8">
        <v>0</v>
      </c>
      <c r="AC366" s="7">
        <v>1</v>
      </c>
      <c r="AD366" s="7">
        <v>111</v>
      </c>
      <c r="AE366" s="7">
        <v>104.7</v>
      </c>
      <c r="AF366" s="7">
        <v>6.3</v>
      </c>
      <c r="AG366" s="7">
        <v>10.7</v>
      </c>
      <c r="AH366" s="7">
        <v>2.14</v>
      </c>
      <c r="AI366" s="7">
        <v>19.7</v>
      </c>
      <c r="AJ366" s="7">
        <v>7.2</v>
      </c>
      <c r="AK366" s="7">
        <v>10.8</v>
      </c>
      <c r="AL366" s="7">
        <v>8.9</v>
      </c>
      <c r="AM366" s="7">
        <v>9.1999999999999993</v>
      </c>
      <c r="AN366" s="7">
        <v>52.7</v>
      </c>
      <c r="AO366" s="7">
        <v>55.7</v>
      </c>
      <c r="AP366" s="7">
        <v>12.6</v>
      </c>
      <c r="AQ366" s="7">
        <v>103.16</v>
      </c>
      <c r="AR366" s="7">
        <v>7.1</v>
      </c>
      <c r="AS366" s="7">
        <v>1251</v>
      </c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1"/>
    </row>
    <row r="367" spans="1:70" ht="13">
      <c r="A367" s="6" t="s">
        <v>771</v>
      </c>
      <c r="B367" s="6" t="s">
        <v>772</v>
      </c>
      <c r="C367" s="7">
        <v>25</v>
      </c>
      <c r="D367" s="7">
        <v>45</v>
      </c>
      <c r="E367" s="7">
        <v>22</v>
      </c>
      <c r="F367" s="7">
        <v>23</v>
      </c>
      <c r="G367" s="7">
        <v>9.6999999999999993</v>
      </c>
      <c r="H367" s="8">
        <v>185</v>
      </c>
      <c r="I367" s="9">
        <v>72</v>
      </c>
      <c r="J367" s="9">
        <v>144</v>
      </c>
      <c r="K367" s="8">
        <v>50.7</v>
      </c>
      <c r="L367" s="9">
        <v>9</v>
      </c>
      <c r="M367" s="9">
        <v>27</v>
      </c>
      <c r="N367" s="8">
        <v>28.6</v>
      </c>
      <c r="O367" s="8">
        <v>32</v>
      </c>
      <c r="P367" s="8">
        <v>41</v>
      </c>
      <c r="Q367" s="8">
        <v>76.2</v>
      </c>
      <c r="R367" s="9">
        <v>41</v>
      </c>
      <c r="S367" s="9">
        <v>81</v>
      </c>
      <c r="T367" s="9">
        <v>122</v>
      </c>
      <c r="U367" s="9">
        <v>45</v>
      </c>
      <c r="V367" s="9">
        <v>27</v>
      </c>
      <c r="W367" s="9">
        <v>41</v>
      </c>
      <c r="X367" s="9">
        <v>27</v>
      </c>
      <c r="Y367" s="9">
        <v>77</v>
      </c>
      <c r="Z367" s="8">
        <v>563</v>
      </c>
      <c r="AA367" s="8">
        <v>0</v>
      </c>
      <c r="AB367" s="8">
        <v>0</v>
      </c>
      <c r="AC367" s="7">
        <v>1</v>
      </c>
      <c r="AD367" s="7">
        <v>111.3</v>
      </c>
      <c r="AE367" s="7">
        <v>105.7</v>
      </c>
      <c r="AF367" s="7">
        <v>5.6</v>
      </c>
      <c r="AG367" s="7">
        <v>14.1</v>
      </c>
      <c r="AH367" s="7">
        <v>1.69</v>
      </c>
      <c r="AI367" s="7">
        <v>19</v>
      </c>
      <c r="AJ367" s="7">
        <v>9</v>
      </c>
      <c r="AK367" s="7">
        <v>19.7</v>
      </c>
      <c r="AL367" s="7">
        <v>14.2</v>
      </c>
      <c r="AM367" s="7">
        <v>11.3</v>
      </c>
      <c r="AN367" s="7">
        <v>53.5</v>
      </c>
      <c r="AO367" s="7">
        <v>57.3</v>
      </c>
      <c r="AP367" s="7">
        <v>17.899999999999999</v>
      </c>
      <c r="AQ367" s="7">
        <v>101.81</v>
      </c>
      <c r="AR367" s="7">
        <v>11.5</v>
      </c>
      <c r="AS367" s="7">
        <v>924</v>
      </c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1"/>
    </row>
    <row r="368" spans="1:70" ht="13">
      <c r="A368" s="6" t="s">
        <v>773</v>
      </c>
      <c r="B368" s="6" t="s">
        <v>774</v>
      </c>
      <c r="C368" s="7">
        <v>24</v>
      </c>
      <c r="D368" s="7">
        <v>13</v>
      </c>
      <c r="E368" s="7">
        <v>6</v>
      </c>
      <c r="F368" s="7">
        <v>7</v>
      </c>
      <c r="G368" s="7">
        <v>24.5</v>
      </c>
      <c r="H368" s="8">
        <v>183</v>
      </c>
      <c r="I368" s="9">
        <v>70</v>
      </c>
      <c r="J368" s="9">
        <v>161</v>
      </c>
      <c r="K368" s="8">
        <v>43.5</v>
      </c>
      <c r="L368" s="9">
        <v>23</v>
      </c>
      <c r="M368" s="9">
        <v>60</v>
      </c>
      <c r="N368" s="8">
        <v>40</v>
      </c>
      <c r="O368" s="8">
        <v>20</v>
      </c>
      <c r="P368" s="8">
        <v>21</v>
      </c>
      <c r="Q368" s="8">
        <v>90.5</v>
      </c>
      <c r="R368" s="9">
        <v>12</v>
      </c>
      <c r="S368" s="9">
        <v>26</v>
      </c>
      <c r="T368" s="9">
        <v>38</v>
      </c>
      <c r="U368" s="9">
        <v>39</v>
      </c>
      <c r="V368" s="9">
        <v>25</v>
      </c>
      <c r="W368" s="9">
        <v>7</v>
      </c>
      <c r="X368" s="9">
        <v>4</v>
      </c>
      <c r="Y368" s="9">
        <v>23</v>
      </c>
      <c r="Z368" s="8">
        <v>295</v>
      </c>
      <c r="AA368" s="8">
        <v>0</v>
      </c>
      <c r="AB368" s="8">
        <v>0</v>
      </c>
      <c r="AC368" s="7">
        <v>-4.2</v>
      </c>
      <c r="AD368" s="7">
        <v>107</v>
      </c>
      <c r="AE368" s="7">
        <v>114.4</v>
      </c>
      <c r="AF368" s="7">
        <v>-7.3</v>
      </c>
      <c r="AG368" s="7">
        <v>21.9</v>
      </c>
      <c r="AH368" s="7">
        <v>1.56</v>
      </c>
      <c r="AI368" s="7">
        <v>16.7</v>
      </c>
      <c r="AJ368" s="7">
        <v>3.4</v>
      </c>
      <c r="AK368" s="7">
        <v>7.9</v>
      </c>
      <c r="AL368" s="7">
        <v>5.6</v>
      </c>
      <c r="AM368" s="7">
        <v>10.7</v>
      </c>
      <c r="AN368" s="7">
        <v>50.9</v>
      </c>
      <c r="AO368" s="7">
        <v>53.7</v>
      </c>
      <c r="AP368" s="7">
        <v>25</v>
      </c>
      <c r="AQ368" s="7">
        <v>99</v>
      </c>
      <c r="AR368" s="7">
        <v>9.8000000000000007</v>
      </c>
      <c r="AS368" s="7">
        <v>655</v>
      </c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1"/>
    </row>
    <row r="369" spans="1:70" ht="13">
      <c r="A369" s="6" t="s">
        <v>775</v>
      </c>
      <c r="B369" s="6" t="s">
        <v>776</v>
      </c>
      <c r="C369" s="7">
        <v>24</v>
      </c>
      <c r="D369" s="7">
        <v>57</v>
      </c>
      <c r="E369" s="7">
        <v>36</v>
      </c>
      <c r="F369" s="7">
        <v>21</v>
      </c>
      <c r="G369" s="7">
        <v>10.7</v>
      </c>
      <c r="H369" s="8">
        <v>182</v>
      </c>
      <c r="I369" s="9">
        <v>68</v>
      </c>
      <c r="J369" s="9">
        <v>143</v>
      </c>
      <c r="K369" s="8">
        <v>49.6</v>
      </c>
      <c r="L369" s="9">
        <v>17</v>
      </c>
      <c r="M369" s="9">
        <v>51</v>
      </c>
      <c r="N369" s="8">
        <v>32.700000000000003</v>
      </c>
      <c r="O369" s="8">
        <v>29</v>
      </c>
      <c r="P369" s="8">
        <v>46</v>
      </c>
      <c r="Q369" s="8">
        <v>61.4</v>
      </c>
      <c r="R369" s="9">
        <v>34</v>
      </c>
      <c r="S369" s="9">
        <v>57</v>
      </c>
      <c r="T369" s="9">
        <v>91</v>
      </c>
      <c r="U369" s="9">
        <v>23</v>
      </c>
      <c r="V369" s="9">
        <v>11</v>
      </c>
      <c r="W369" s="9">
        <v>23</v>
      </c>
      <c r="X369" s="9">
        <v>40</v>
      </c>
      <c r="Y369" s="9">
        <v>63</v>
      </c>
      <c r="Z369" s="8">
        <v>502</v>
      </c>
      <c r="AA369" s="8">
        <v>0</v>
      </c>
      <c r="AB369" s="8">
        <v>0</v>
      </c>
      <c r="AC369" s="7">
        <v>-0.4</v>
      </c>
      <c r="AD369" s="7">
        <v>107.3</v>
      </c>
      <c r="AE369" s="7">
        <v>108.9</v>
      </c>
      <c r="AF369" s="7">
        <v>-1.6</v>
      </c>
      <c r="AG369" s="7">
        <v>5.0999999999999996</v>
      </c>
      <c r="AH369" s="7">
        <v>1.64</v>
      </c>
      <c r="AI369" s="7">
        <v>11.6</v>
      </c>
      <c r="AJ369" s="7">
        <v>5.2</v>
      </c>
      <c r="AK369" s="7">
        <v>8.1</v>
      </c>
      <c r="AL369" s="7">
        <v>6.7</v>
      </c>
      <c r="AM369" s="7">
        <v>7</v>
      </c>
      <c r="AN369" s="7">
        <v>55.7</v>
      </c>
      <c r="AO369" s="7">
        <v>57.4</v>
      </c>
      <c r="AP369" s="7">
        <v>11.9</v>
      </c>
      <c r="AQ369" s="7">
        <v>102.16</v>
      </c>
      <c r="AR369" s="7">
        <v>6.3</v>
      </c>
      <c r="AS369" s="7">
        <v>1293</v>
      </c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1"/>
    </row>
    <row r="370" spans="1:70" ht="13">
      <c r="A370" s="13" t="s">
        <v>777</v>
      </c>
      <c r="B370" s="6" t="s">
        <v>778</v>
      </c>
      <c r="C370" s="7">
        <v>24</v>
      </c>
      <c r="D370" s="7">
        <v>27</v>
      </c>
      <c r="E370" s="7">
        <v>10</v>
      </c>
      <c r="F370" s="7">
        <v>17</v>
      </c>
      <c r="G370" s="7">
        <v>18.5</v>
      </c>
      <c r="H370" s="8">
        <v>178</v>
      </c>
      <c r="I370" s="9">
        <v>68</v>
      </c>
      <c r="J370" s="9">
        <v>167</v>
      </c>
      <c r="K370" s="8">
        <v>40.1</v>
      </c>
      <c r="L370" s="9">
        <v>27</v>
      </c>
      <c r="M370" s="9">
        <v>95</v>
      </c>
      <c r="N370" s="8">
        <v>27.4</v>
      </c>
      <c r="O370" s="8">
        <v>19</v>
      </c>
      <c r="P370" s="8">
        <v>24</v>
      </c>
      <c r="Q370" s="8">
        <v>79.2</v>
      </c>
      <c r="R370" s="9">
        <v>22</v>
      </c>
      <c r="S370" s="9">
        <v>76</v>
      </c>
      <c r="T370" s="9">
        <v>97</v>
      </c>
      <c r="U370" s="9">
        <v>54</v>
      </c>
      <c r="V370" s="9">
        <v>32</v>
      </c>
      <c r="W370" s="9">
        <v>11</v>
      </c>
      <c r="X370" s="9">
        <v>8</v>
      </c>
      <c r="Y370" s="9">
        <v>46</v>
      </c>
      <c r="Z370" s="8">
        <v>402</v>
      </c>
      <c r="AA370" s="8">
        <v>1</v>
      </c>
      <c r="AB370" s="8">
        <v>0</v>
      </c>
      <c r="AC370" s="7">
        <v>0.2</v>
      </c>
      <c r="AD370" s="7">
        <v>117.4</v>
      </c>
      <c r="AE370" s="7">
        <v>116.2</v>
      </c>
      <c r="AF370" s="7">
        <v>1.2</v>
      </c>
      <c r="AG370" s="7">
        <v>14</v>
      </c>
      <c r="AH370" s="7">
        <v>1.67</v>
      </c>
      <c r="AI370" s="7">
        <v>20.8</v>
      </c>
      <c r="AJ370" s="7">
        <v>4.2</v>
      </c>
      <c r="AK370" s="7">
        <v>15</v>
      </c>
      <c r="AL370" s="7">
        <v>9.6</v>
      </c>
      <c r="AM370" s="7">
        <v>12.5</v>
      </c>
      <c r="AN370" s="7">
        <v>47.9</v>
      </c>
      <c r="AO370" s="7">
        <v>50.4</v>
      </c>
      <c r="AP370" s="7">
        <v>16.600000000000001</v>
      </c>
      <c r="AQ370" s="7">
        <v>105.23</v>
      </c>
      <c r="AR370" s="7">
        <v>6.5</v>
      </c>
      <c r="AS370" s="7">
        <v>1090</v>
      </c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1"/>
    </row>
    <row r="371" spans="1:70" ht="13">
      <c r="A371" s="6" t="s">
        <v>779</v>
      </c>
      <c r="B371" s="6" t="s">
        <v>780</v>
      </c>
      <c r="C371" s="7">
        <v>33</v>
      </c>
      <c r="D371" s="7">
        <v>50</v>
      </c>
      <c r="E371" s="7">
        <v>26</v>
      </c>
      <c r="F371" s="7">
        <v>24</v>
      </c>
      <c r="G371" s="7">
        <v>12.2</v>
      </c>
      <c r="H371" s="8">
        <v>175</v>
      </c>
      <c r="I371" s="9">
        <v>60</v>
      </c>
      <c r="J371" s="9">
        <v>155</v>
      </c>
      <c r="K371" s="8">
        <v>40.299999999999997</v>
      </c>
      <c r="L371" s="9">
        <v>40</v>
      </c>
      <c r="M371" s="9">
        <v>105</v>
      </c>
      <c r="N371" s="8">
        <v>36.4</v>
      </c>
      <c r="O371" s="8">
        <v>15</v>
      </c>
      <c r="P371" s="8">
        <v>20</v>
      </c>
      <c r="Q371" s="8">
        <v>77.8</v>
      </c>
      <c r="R371" s="9">
        <v>15</v>
      </c>
      <c r="S371" s="9">
        <v>55</v>
      </c>
      <c r="T371" s="9">
        <v>75</v>
      </c>
      <c r="U371" s="9">
        <v>70</v>
      </c>
      <c r="V371" s="9">
        <v>20</v>
      </c>
      <c r="W371" s="9">
        <v>25</v>
      </c>
      <c r="X371" s="9">
        <v>5</v>
      </c>
      <c r="Y371" s="9">
        <v>50</v>
      </c>
      <c r="Z371" s="8">
        <v>445</v>
      </c>
      <c r="AA371" s="8">
        <v>0</v>
      </c>
      <c r="AB371" s="8">
        <v>0</v>
      </c>
      <c r="AC371" s="7">
        <v>0.7</v>
      </c>
      <c r="AD371" s="7">
        <v>110.5</v>
      </c>
      <c r="AE371" s="7">
        <v>106.9</v>
      </c>
      <c r="AF371" s="7">
        <v>3.6</v>
      </c>
      <c r="AG371" s="7">
        <v>16.600000000000001</v>
      </c>
      <c r="AH371" s="7">
        <v>4</v>
      </c>
      <c r="AI371" s="7">
        <v>28.7</v>
      </c>
      <c r="AJ371" s="7">
        <v>2.7</v>
      </c>
      <c r="AK371" s="7">
        <v>9.5</v>
      </c>
      <c r="AL371" s="7">
        <v>6</v>
      </c>
      <c r="AM371" s="7">
        <v>7.2</v>
      </c>
      <c r="AN371" s="7">
        <v>52.9</v>
      </c>
      <c r="AO371" s="7">
        <v>54.7</v>
      </c>
      <c r="AP371" s="7">
        <v>12.6</v>
      </c>
      <c r="AQ371" s="7">
        <v>98.59</v>
      </c>
      <c r="AR371" s="7">
        <v>7.5</v>
      </c>
      <c r="AS371" s="7">
        <v>1252</v>
      </c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1"/>
    </row>
    <row r="372" spans="1:70" ht="13">
      <c r="A372" s="6" t="s">
        <v>781</v>
      </c>
      <c r="B372" s="6" t="s">
        <v>782</v>
      </c>
      <c r="C372" s="7">
        <v>29</v>
      </c>
      <c r="D372" s="7">
        <v>20</v>
      </c>
      <c r="E372" s="7">
        <v>7</v>
      </c>
      <c r="F372" s="7">
        <v>13</v>
      </c>
      <c r="G372" s="7">
        <v>18.600000000000001</v>
      </c>
      <c r="H372" s="8">
        <v>174</v>
      </c>
      <c r="I372" s="9">
        <v>64</v>
      </c>
      <c r="J372" s="9">
        <v>134</v>
      </c>
      <c r="K372" s="8">
        <v>47.8</v>
      </c>
      <c r="L372" s="9">
        <v>24</v>
      </c>
      <c r="M372" s="9">
        <v>54</v>
      </c>
      <c r="N372" s="8">
        <v>43.4</v>
      </c>
      <c r="O372" s="8">
        <v>24</v>
      </c>
      <c r="P372" s="8">
        <v>32</v>
      </c>
      <c r="Q372" s="8">
        <v>74.2</v>
      </c>
      <c r="R372" s="9">
        <v>4</v>
      </c>
      <c r="S372" s="9">
        <v>30</v>
      </c>
      <c r="T372" s="9">
        <v>34</v>
      </c>
      <c r="U372" s="9">
        <v>56</v>
      </c>
      <c r="V372" s="9">
        <v>22</v>
      </c>
      <c r="W372" s="9">
        <v>12</v>
      </c>
      <c r="X372" s="9">
        <v>4</v>
      </c>
      <c r="Y372" s="9">
        <v>34</v>
      </c>
      <c r="Z372" s="8">
        <v>320</v>
      </c>
      <c r="AA372" s="8">
        <v>0</v>
      </c>
      <c r="AB372" s="8">
        <v>0</v>
      </c>
      <c r="AC372" s="7">
        <v>-2.4</v>
      </c>
      <c r="AD372" s="7">
        <v>109.3</v>
      </c>
      <c r="AE372" s="7">
        <v>115.2</v>
      </c>
      <c r="AF372" s="7">
        <v>-6</v>
      </c>
      <c r="AG372" s="7">
        <v>22</v>
      </c>
      <c r="AH372" s="7">
        <v>2.5499999999999998</v>
      </c>
      <c r="AI372" s="7">
        <v>24.8</v>
      </c>
      <c r="AJ372" s="7">
        <v>1</v>
      </c>
      <c r="AK372" s="7">
        <v>7.4</v>
      </c>
      <c r="AL372" s="7">
        <v>4.2</v>
      </c>
      <c r="AM372" s="7">
        <v>9.6999999999999993</v>
      </c>
      <c r="AN372" s="7">
        <v>56.3</v>
      </c>
      <c r="AO372" s="7">
        <v>58.9</v>
      </c>
      <c r="AP372" s="7">
        <v>19.3</v>
      </c>
      <c r="AQ372" s="7">
        <v>101.4</v>
      </c>
      <c r="AR372" s="7">
        <v>8.3000000000000007</v>
      </c>
      <c r="AS372" s="7">
        <v>786</v>
      </c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1"/>
    </row>
    <row r="373" spans="1:70" ht="13">
      <c r="A373" s="6" t="s">
        <v>783</v>
      </c>
      <c r="B373" s="6" t="s">
        <v>784</v>
      </c>
      <c r="C373" s="7">
        <v>38</v>
      </c>
      <c r="D373" s="7">
        <v>32</v>
      </c>
      <c r="E373" s="7">
        <v>20</v>
      </c>
      <c r="F373" s="7">
        <v>12</v>
      </c>
      <c r="G373" s="7">
        <v>12.4</v>
      </c>
      <c r="H373" s="8">
        <v>173</v>
      </c>
      <c r="I373" s="9">
        <v>61</v>
      </c>
      <c r="J373" s="9">
        <v>122</v>
      </c>
      <c r="K373" s="8">
        <v>50.4</v>
      </c>
      <c r="L373" s="9">
        <v>29</v>
      </c>
      <c r="M373" s="9">
        <v>80</v>
      </c>
      <c r="N373" s="8">
        <v>36.700000000000003</v>
      </c>
      <c r="O373" s="8">
        <v>22</v>
      </c>
      <c r="P373" s="8">
        <v>26</v>
      </c>
      <c r="Q373" s="8">
        <v>80.8</v>
      </c>
      <c r="R373" s="9">
        <v>10</v>
      </c>
      <c r="S373" s="9">
        <v>48</v>
      </c>
      <c r="T373" s="9">
        <v>58</v>
      </c>
      <c r="U373" s="9">
        <v>19</v>
      </c>
      <c r="V373" s="9">
        <v>10</v>
      </c>
      <c r="W373" s="9">
        <v>6</v>
      </c>
      <c r="X373" s="9">
        <v>3</v>
      </c>
      <c r="Y373" s="9">
        <v>32</v>
      </c>
      <c r="Z373" s="8">
        <v>291</v>
      </c>
      <c r="AA373" s="8">
        <v>0</v>
      </c>
      <c r="AB373" s="8">
        <v>0</v>
      </c>
      <c r="AC373" s="7">
        <v>-1.2</v>
      </c>
      <c r="AD373" s="7">
        <v>112.2</v>
      </c>
      <c r="AE373" s="7">
        <v>116.1</v>
      </c>
      <c r="AF373" s="7">
        <v>-3.9</v>
      </c>
      <c r="AG373" s="7">
        <v>6.8</v>
      </c>
      <c r="AH373" s="7">
        <v>2.2200000000000002</v>
      </c>
      <c r="AI373" s="7">
        <v>12.4</v>
      </c>
      <c r="AJ373" s="7">
        <v>2.4</v>
      </c>
      <c r="AK373" s="7">
        <v>10.8</v>
      </c>
      <c r="AL373" s="7">
        <v>6.5</v>
      </c>
      <c r="AM373" s="7">
        <v>5.6</v>
      </c>
      <c r="AN373" s="7">
        <v>62.4</v>
      </c>
      <c r="AO373" s="7">
        <v>64.900000000000006</v>
      </c>
      <c r="AP373" s="7">
        <v>14.4</v>
      </c>
      <c r="AQ373" s="7">
        <v>100.43</v>
      </c>
      <c r="AR373" s="7">
        <v>8.5</v>
      </c>
      <c r="AS373" s="7">
        <v>827</v>
      </c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1"/>
    </row>
    <row r="374" spans="1:70" ht="13">
      <c r="A374" s="6" t="s">
        <v>785</v>
      </c>
      <c r="B374" s="6" t="s">
        <v>786</v>
      </c>
      <c r="C374" s="7">
        <v>22</v>
      </c>
      <c r="D374" s="7">
        <v>47</v>
      </c>
      <c r="E374" s="7">
        <v>37</v>
      </c>
      <c r="F374" s="7">
        <v>10</v>
      </c>
      <c r="G374" s="7">
        <v>9.6</v>
      </c>
      <c r="H374" s="8">
        <v>169</v>
      </c>
      <c r="I374" s="9">
        <v>66</v>
      </c>
      <c r="J374" s="9">
        <v>150</v>
      </c>
      <c r="K374" s="8">
        <v>43</v>
      </c>
      <c r="L374" s="9">
        <v>19</v>
      </c>
      <c r="M374" s="9">
        <v>56</v>
      </c>
      <c r="N374" s="8">
        <v>34.5</v>
      </c>
      <c r="O374" s="8">
        <v>19</v>
      </c>
      <c r="P374" s="8">
        <v>24</v>
      </c>
      <c r="Q374" s="8">
        <v>79.2</v>
      </c>
      <c r="R374" s="9">
        <v>38</v>
      </c>
      <c r="S374" s="9">
        <v>61</v>
      </c>
      <c r="T374" s="9">
        <v>94</v>
      </c>
      <c r="U374" s="9">
        <v>42</v>
      </c>
      <c r="V374" s="9">
        <v>28</v>
      </c>
      <c r="W374" s="9">
        <v>14</v>
      </c>
      <c r="X374" s="9">
        <v>5</v>
      </c>
      <c r="Y374" s="9">
        <v>52</v>
      </c>
      <c r="Z374" s="8">
        <v>371</v>
      </c>
      <c r="AA374" s="8">
        <v>1</v>
      </c>
      <c r="AB374" s="8">
        <v>0</v>
      </c>
      <c r="AC374" s="7">
        <v>0</v>
      </c>
      <c r="AD374" s="7">
        <v>108.4</v>
      </c>
      <c r="AE374" s="7">
        <v>108.8</v>
      </c>
      <c r="AF374" s="7">
        <v>-0.4</v>
      </c>
      <c r="AG374" s="7">
        <v>13.5</v>
      </c>
      <c r="AH374" s="7">
        <v>1.69</v>
      </c>
      <c r="AI374" s="7">
        <v>19.100000000000001</v>
      </c>
      <c r="AJ374" s="7">
        <v>7.6</v>
      </c>
      <c r="AK374" s="7">
        <v>11.7</v>
      </c>
      <c r="AL374" s="7">
        <v>9.6999999999999993</v>
      </c>
      <c r="AM374" s="7">
        <v>11.3</v>
      </c>
      <c r="AN374" s="7">
        <v>49.7</v>
      </c>
      <c r="AO374" s="7">
        <v>52.3</v>
      </c>
      <c r="AP374" s="7">
        <v>16.399999999999999</v>
      </c>
      <c r="AQ374" s="7">
        <v>101.31</v>
      </c>
      <c r="AR374" s="7">
        <v>7.5</v>
      </c>
      <c r="AS374" s="7">
        <v>957</v>
      </c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1"/>
    </row>
    <row r="375" spans="1:70" ht="13">
      <c r="A375" s="6" t="s">
        <v>787</v>
      </c>
      <c r="B375" s="6" t="s">
        <v>788</v>
      </c>
      <c r="C375" s="7">
        <v>24</v>
      </c>
      <c r="D375" s="7">
        <v>40</v>
      </c>
      <c r="E375" s="7">
        <v>17</v>
      </c>
      <c r="F375" s="7">
        <v>23</v>
      </c>
      <c r="G375" s="7">
        <v>15.2</v>
      </c>
      <c r="H375" s="8">
        <v>168</v>
      </c>
      <c r="I375" s="9">
        <v>68</v>
      </c>
      <c r="J375" s="9">
        <v>136</v>
      </c>
      <c r="K375" s="8">
        <v>49.6</v>
      </c>
      <c r="L375" s="9">
        <v>24</v>
      </c>
      <c r="M375" s="9">
        <v>56</v>
      </c>
      <c r="N375" s="8">
        <v>40.700000000000003</v>
      </c>
      <c r="O375" s="8">
        <v>12</v>
      </c>
      <c r="P375" s="8">
        <v>12</v>
      </c>
      <c r="Q375" s="8">
        <v>92.3</v>
      </c>
      <c r="R375" s="9">
        <v>24</v>
      </c>
      <c r="S375" s="9">
        <v>92</v>
      </c>
      <c r="T375" s="9">
        <v>116</v>
      </c>
      <c r="U375" s="9">
        <v>44</v>
      </c>
      <c r="V375" s="9">
        <v>16</v>
      </c>
      <c r="W375" s="9">
        <v>20</v>
      </c>
      <c r="X375" s="9">
        <v>20</v>
      </c>
      <c r="Y375" s="9">
        <v>64</v>
      </c>
      <c r="Z375" s="8">
        <v>472</v>
      </c>
      <c r="AA375" s="8">
        <v>1</v>
      </c>
      <c r="AB375" s="8">
        <v>0</v>
      </c>
      <c r="AC375" s="7">
        <v>-4</v>
      </c>
      <c r="AD375" s="7">
        <v>110</v>
      </c>
      <c r="AE375" s="7">
        <v>122.3</v>
      </c>
      <c r="AF375" s="7">
        <v>-12.3</v>
      </c>
      <c r="AG375" s="7">
        <v>9</v>
      </c>
      <c r="AH375" s="7">
        <v>2.63</v>
      </c>
      <c r="AI375" s="7">
        <v>21.1</v>
      </c>
      <c r="AJ375" s="7">
        <v>3.7</v>
      </c>
      <c r="AK375" s="7">
        <v>15.4</v>
      </c>
      <c r="AL375" s="7">
        <v>9.6</v>
      </c>
      <c r="AM375" s="7">
        <v>8</v>
      </c>
      <c r="AN375" s="7">
        <v>57.8</v>
      </c>
      <c r="AO375" s="7">
        <v>59.7</v>
      </c>
      <c r="AP375" s="7">
        <v>11</v>
      </c>
      <c r="AQ375" s="7">
        <v>102.71</v>
      </c>
      <c r="AR375" s="7">
        <v>6.7</v>
      </c>
      <c r="AS375" s="7">
        <v>1303</v>
      </c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1"/>
    </row>
    <row r="376" spans="1:70" ht="13">
      <c r="A376" s="6" t="s">
        <v>789</v>
      </c>
      <c r="B376" s="6" t="s">
        <v>790</v>
      </c>
      <c r="C376" s="7">
        <v>26</v>
      </c>
      <c r="D376" s="7">
        <v>31</v>
      </c>
      <c r="E376" s="7">
        <v>15</v>
      </c>
      <c r="F376" s="7">
        <v>16</v>
      </c>
      <c r="G376" s="7">
        <v>16.2</v>
      </c>
      <c r="H376" s="8">
        <v>167</v>
      </c>
      <c r="I376" s="9">
        <v>65</v>
      </c>
      <c r="J376" s="9">
        <v>161</v>
      </c>
      <c r="K376" s="8">
        <v>40.1</v>
      </c>
      <c r="L376" s="9">
        <v>28</v>
      </c>
      <c r="M376" s="9">
        <v>81</v>
      </c>
      <c r="N376" s="8">
        <v>32.9</v>
      </c>
      <c r="O376" s="8">
        <v>12</v>
      </c>
      <c r="P376" s="8">
        <v>12</v>
      </c>
      <c r="Q376" s="8">
        <v>100</v>
      </c>
      <c r="R376" s="9">
        <v>6</v>
      </c>
      <c r="S376" s="9">
        <v>43</v>
      </c>
      <c r="T376" s="9">
        <v>50</v>
      </c>
      <c r="U376" s="9">
        <v>81</v>
      </c>
      <c r="V376" s="9">
        <v>34</v>
      </c>
      <c r="W376" s="9">
        <v>28</v>
      </c>
      <c r="X376" s="9">
        <v>9</v>
      </c>
      <c r="Y376" s="9">
        <v>40</v>
      </c>
      <c r="Z376" s="8">
        <v>428</v>
      </c>
      <c r="AA376" s="8">
        <v>1</v>
      </c>
      <c r="AB376" s="8">
        <v>1</v>
      </c>
      <c r="AC376" s="7">
        <v>-0.6</v>
      </c>
      <c r="AD376" s="7">
        <v>106.2</v>
      </c>
      <c r="AE376" s="7">
        <v>108.4</v>
      </c>
      <c r="AF376" s="7">
        <v>-2.2000000000000002</v>
      </c>
      <c r="AG376" s="7">
        <v>22.4</v>
      </c>
      <c r="AH376" s="7">
        <v>2.4500000000000002</v>
      </c>
      <c r="AI376" s="7">
        <v>28.8</v>
      </c>
      <c r="AJ376" s="7">
        <v>1.3</v>
      </c>
      <c r="AK376" s="7">
        <v>8</v>
      </c>
      <c r="AL376" s="7">
        <v>4.7</v>
      </c>
      <c r="AM376" s="7">
        <v>11.7</v>
      </c>
      <c r="AN376" s="7">
        <v>48.5</v>
      </c>
      <c r="AO376" s="7">
        <v>50.3</v>
      </c>
      <c r="AP376" s="7">
        <v>16.399999999999999</v>
      </c>
      <c r="AQ376" s="7">
        <v>102.77</v>
      </c>
      <c r="AR376" s="7">
        <v>7.4</v>
      </c>
      <c r="AS376" s="7">
        <v>1075</v>
      </c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1"/>
    </row>
    <row r="377" spans="1:70" ht="13">
      <c r="A377" s="6" t="s">
        <v>791</v>
      </c>
      <c r="B377" s="6" t="s">
        <v>792</v>
      </c>
      <c r="C377" s="7">
        <v>26</v>
      </c>
      <c r="D377" s="7">
        <v>16</v>
      </c>
      <c r="E377" s="7">
        <v>6</v>
      </c>
      <c r="F377" s="7">
        <v>10</v>
      </c>
      <c r="G377" s="7">
        <v>29.9</v>
      </c>
      <c r="H377" s="8">
        <v>166</v>
      </c>
      <c r="I377" s="9">
        <v>54</v>
      </c>
      <c r="J377" s="9">
        <v>123</v>
      </c>
      <c r="K377" s="8">
        <v>43.9</v>
      </c>
      <c r="L377" s="9">
        <v>27</v>
      </c>
      <c r="M377" s="9">
        <v>74</v>
      </c>
      <c r="N377" s="8">
        <v>36.5</v>
      </c>
      <c r="O377" s="8">
        <v>30</v>
      </c>
      <c r="P377" s="8">
        <v>37</v>
      </c>
      <c r="Q377" s="8">
        <v>83.8</v>
      </c>
      <c r="R377" s="9">
        <v>18</v>
      </c>
      <c r="S377" s="9">
        <v>64</v>
      </c>
      <c r="T377" s="9">
        <v>82</v>
      </c>
      <c r="U377" s="9">
        <v>37</v>
      </c>
      <c r="V377" s="9">
        <v>29</v>
      </c>
      <c r="W377" s="9">
        <v>18</v>
      </c>
      <c r="X377" s="9">
        <v>13</v>
      </c>
      <c r="Y377" s="9">
        <v>46</v>
      </c>
      <c r="Z377" s="8">
        <v>386</v>
      </c>
      <c r="AA377" s="8">
        <v>0</v>
      </c>
      <c r="AB377" s="8">
        <v>0</v>
      </c>
      <c r="AC377" s="7">
        <v>0.6</v>
      </c>
      <c r="AD377" s="7">
        <v>114.9</v>
      </c>
      <c r="AE377" s="7">
        <v>113.3</v>
      </c>
      <c r="AF377" s="7">
        <v>1.6</v>
      </c>
      <c r="AG377" s="7">
        <v>10.7</v>
      </c>
      <c r="AH377" s="7">
        <v>1.32</v>
      </c>
      <c r="AI377" s="7">
        <v>18</v>
      </c>
      <c r="AJ377" s="7">
        <v>3.5</v>
      </c>
      <c r="AK377" s="7">
        <v>13.4</v>
      </c>
      <c r="AL377" s="7">
        <v>8.3000000000000007</v>
      </c>
      <c r="AM377" s="7">
        <v>13.6</v>
      </c>
      <c r="AN377" s="7">
        <v>54.9</v>
      </c>
      <c r="AO377" s="7">
        <v>59.6</v>
      </c>
      <c r="AP377" s="7">
        <v>14.6</v>
      </c>
      <c r="AQ377" s="7">
        <v>99.95</v>
      </c>
      <c r="AR377" s="7">
        <v>7.6</v>
      </c>
      <c r="AS377" s="7">
        <v>995</v>
      </c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1"/>
    </row>
    <row r="378" spans="1:70" ht="13">
      <c r="A378" s="6" t="s">
        <v>793</v>
      </c>
      <c r="B378" s="6" t="s">
        <v>794</v>
      </c>
      <c r="C378" s="7">
        <v>23</v>
      </c>
      <c r="D378" s="7">
        <v>40</v>
      </c>
      <c r="E378" s="7">
        <v>28</v>
      </c>
      <c r="F378" s="7">
        <v>12</v>
      </c>
      <c r="G378" s="7">
        <v>13</v>
      </c>
      <c r="H378" s="8">
        <v>164</v>
      </c>
      <c r="I378" s="9">
        <v>56</v>
      </c>
      <c r="J378" s="9">
        <v>120</v>
      </c>
      <c r="K378" s="8">
        <v>46.7</v>
      </c>
      <c r="L378" s="9">
        <v>24</v>
      </c>
      <c r="M378" s="9">
        <v>52</v>
      </c>
      <c r="N378" s="8">
        <v>43.1</v>
      </c>
      <c r="O378" s="8">
        <v>28</v>
      </c>
      <c r="P378" s="8">
        <v>36</v>
      </c>
      <c r="Q378" s="8">
        <v>78.400000000000006</v>
      </c>
      <c r="R378" s="9">
        <v>28</v>
      </c>
      <c r="S378" s="9">
        <v>28</v>
      </c>
      <c r="T378" s="9">
        <v>52</v>
      </c>
      <c r="U378" s="9">
        <v>28</v>
      </c>
      <c r="V378" s="9">
        <v>8</v>
      </c>
      <c r="W378" s="9">
        <v>36</v>
      </c>
      <c r="X378" s="9">
        <v>4</v>
      </c>
      <c r="Y378" s="9">
        <v>60</v>
      </c>
      <c r="Z378" s="8">
        <v>372</v>
      </c>
      <c r="AA378" s="8">
        <v>0</v>
      </c>
      <c r="AB378" s="8">
        <v>0</v>
      </c>
      <c r="AC378" s="7">
        <v>1.1000000000000001</v>
      </c>
      <c r="AD378" s="7">
        <v>115.2</v>
      </c>
      <c r="AE378" s="7">
        <v>109.6</v>
      </c>
      <c r="AF378" s="7">
        <v>5.6</v>
      </c>
      <c r="AG378" s="7">
        <v>6.7</v>
      </c>
      <c r="AH378" s="7">
        <v>3.25</v>
      </c>
      <c r="AI378" s="7">
        <v>15.1</v>
      </c>
      <c r="AJ378" s="7">
        <v>4.7</v>
      </c>
      <c r="AK378" s="7">
        <v>5.3</v>
      </c>
      <c r="AL378" s="7">
        <v>5</v>
      </c>
      <c r="AM378" s="7">
        <v>4.7</v>
      </c>
      <c r="AN378" s="7">
        <v>55.8</v>
      </c>
      <c r="AO378" s="7">
        <v>59.8</v>
      </c>
      <c r="AP378" s="7">
        <v>11.5</v>
      </c>
      <c r="AQ378" s="7">
        <v>101.98</v>
      </c>
      <c r="AR378" s="7">
        <v>5.7</v>
      </c>
      <c r="AS378" s="7">
        <v>1101</v>
      </c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1"/>
    </row>
    <row r="379" spans="1:70" ht="13">
      <c r="A379" s="6" t="s">
        <v>795</v>
      </c>
      <c r="B379" s="6" t="s">
        <v>796</v>
      </c>
      <c r="C379" s="7">
        <v>33</v>
      </c>
      <c r="D379" s="7">
        <v>38</v>
      </c>
      <c r="E379" s="7">
        <v>10</v>
      </c>
      <c r="F379" s="7">
        <v>28</v>
      </c>
      <c r="G379" s="7">
        <v>16.3</v>
      </c>
      <c r="H379" s="8">
        <v>163</v>
      </c>
      <c r="I379" s="9">
        <v>61</v>
      </c>
      <c r="J379" s="9">
        <v>129</v>
      </c>
      <c r="K379" s="8">
        <v>47.3</v>
      </c>
      <c r="L379" s="9">
        <v>8</v>
      </c>
      <c r="M379" s="9">
        <v>38</v>
      </c>
      <c r="N379" s="8">
        <v>24.3</v>
      </c>
      <c r="O379" s="8">
        <v>30</v>
      </c>
      <c r="P379" s="8">
        <v>38</v>
      </c>
      <c r="Q379" s="8">
        <v>83.8</v>
      </c>
      <c r="R379" s="9">
        <v>46</v>
      </c>
      <c r="S379" s="9">
        <v>122</v>
      </c>
      <c r="T379" s="9">
        <v>163</v>
      </c>
      <c r="U379" s="9">
        <v>61</v>
      </c>
      <c r="V379" s="9">
        <v>27</v>
      </c>
      <c r="W379" s="9">
        <v>19</v>
      </c>
      <c r="X379" s="9">
        <v>19</v>
      </c>
      <c r="Y379" s="9">
        <v>68</v>
      </c>
      <c r="Z379" s="8">
        <v>540</v>
      </c>
      <c r="AA379" s="8">
        <v>1</v>
      </c>
      <c r="AB379" s="8">
        <v>0</v>
      </c>
      <c r="AC379" s="7">
        <v>-1.6</v>
      </c>
      <c r="AD379" s="7">
        <v>109.3</v>
      </c>
      <c r="AE379" s="7">
        <v>115.2</v>
      </c>
      <c r="AF379" s="7">
        <v>-5.9</v>
      </c>
      <c r="AG379" s="7">
        <v>13.1</v>
      </c>
      <c r="AH379" s="7">
        <v>2.4</v>
      </c>
      <c r="AI379" s="7">
        <v>26</v>
      </c>
      <c r="AJ379" s="7">
        <v>6.2</v>
      </c>
      <c r="AK379" s="7">
        <v>19.2</v>
      </c>
      <c r="AL379" s="7">
        <v>12.2</v>
      </c>
      <c r="AM379" s="7">
        <v>10.8</v>
      </c>
      <c r="AN379" s="7">
        <v>50.8</v>
      </c>
      <c r="AO379" s="7">
        <v>55.8</v>
      </c>
      <c r="AP379" s="7">
        <v>11.1</v>
      </c>
      <c r="AQ379" s="7">
        <v>102.26</v>
      </c>
      <c r="AR379" s="7">
        <v>8.1</v>
      </c>
      <c r="AS379" s="7">
        <v>1331</v>
      </c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1"/>
    </row>
    <row r="380" spans="1:70" ht="13">
      <c r="A380" s="6" t="s">
        <v>797</v>
      </c>
      <c r="B380" s="6" t="s">
        <v>798</v>
      </c>
      <c r="C380" s="7">
        <v>27</v>
      </c>
      <c r="D380" s="7">
        <v>38</v>
      </c>
      <c r="E380" s="7">
        <v>10</v>
      </c>
      <c r="F380" s="7">
        <v>28</v>
      </c>
      <c r="G380" s="7">
        <v>18.600000000000001</v>
      </c>
      <c r="H380" s="8">
        <v>163</v>
      </c>
      <c r="I380" s="9">
        <v>57</v>
      </c>
      <c r="J380" s="9">
        <v>137</v>
      </c>
      <c r="K380" s="8">
        <v>42.2</v>
      </c>
      <c r="L380" s="9">
        <v>30</v>
      </c>
      <c r="M380" s="9">
        <v>99</v>
      </c>
      <c r="N380" s="8">
        <v>31.6</v>
      </c>
      <c r="O380" s="8">
        <v>15</v>
      </c>
      <c r="P380" s="8">
        <v>19</v>
      </c>
      <c r="Q380" s="8">
        <v>85</v>
      </c>
      <c r="R380" s="9">
        <v>42</v>
      </c>
      <c r="S380" s="9">
        <v>122</v>
      </c>
      <c r="T380" s="9">
        <v>163</v>
      </c>
      <c r="U380" s="9">
        <v>30</v>
      </c>
      <c r="V380" s="9">
        <v>30</v>
      </c>
      <c r="W380" s="9">
        <v>15</v>
      </c>
      <c r="X380" s="9">
        <v>15</v>
      </c>
      <c r="Y380" s="9">
        <v>49</v>
      </c>
      <c r="Z380" s="8">
        <v>460</v>
      </c>
      <c r="AA380" s="8">
        <v>0</v>
      </c>
      <c r="AB380" s="8">
        <v>0</v>
      </c>
      <c r="AC380" s="7">
        <v>-2.7</v>
      </c>
      <c r="AD380" s="7">
        <v>108.6</v>
      </c>
      <c r="AE380" s="7">
        <v>116.2</v>
      </c>
      <c r="AF380" s="7">
        <v>-7.6</v>
      </c>
      <c r="AG380" s="7">
        <v>5.8</v>
      </c>
      <c r="AH380" s="7">
        <v>1</v>
      </c>
      <c r="AI380" s="7">
        <v>15</v>
      </c>
      <c r="AJ380" s="7">
        <v>5.8</v>
      </c>
      <c r="AK380" s="7">
        <v>15.3</v>
      </c>
      <c r="AL380" s="7">
        <v>10.7</v>
      </c>
      <c r="AM380" s="7">
        <v>15</v>
      </c>
      <c r="AN380" s="7">
        <v>53.7</v>
      </c>
      <c r="AO380" s="7">
        <v>56.3</v>
      </c>
      <c r="AP380" s="7">
        <v>10.199999999999999</v>
      </c>
      <c r="AQ380" s="7">
        <v>101.29</v>
      </c>
      <c r="AR380" s="7">
        <v>6.3</v>
      </c>
      <c r="AS380" s="7">
        <v>1492</v>
      </c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1"/>
    </row>
    <row r="381" spans="1:70" ht="13">
      <c r="A381" s="6" t="s">
        <v>799</v>
      </c>
      <c r="B381" s="6" t="s">
        <v>800</v>
      </c>
      <c r="C381" s="7">
        <v>26</v>
      </c>
      <c r="D381" s="7">
        <v>28</v>
      </c>
      <c r="E381" s="7">
        <v>14</v>
      </c>
      <c r="F381" s="7">
        <v>14</v>
      </c>
      <c r="G381" s="7">
        <v>13.6</v>
      </c>
      <c r="H381" s="8">
        <v>162</v>
      </c>
      <c r="I381" s="9">
        <v>59</v>
      </c>
      <c r="J381" s="9">
        <v>123</v>
      </c>
      <c r="K381" s="8">
        <v>47.5</v>
      </c>
      <c r="L381" s="9">
        <v>14</v>
      </c>
      <c r="M381" s="9">
        <v>39</v>
      </c>
      <c r="N381" s="8">
        <v>37.5</v>
      </c>
      <c r="O381" s="8">
        <v>31</v>
      </c>
      <c r="P381" s="8">
        <v>39</v>
      </c>
      <c r="Q381" s="8">
        <v>77.5</v>
      </c>
      <c r="R381" s="9">
        <v>14</v>
      </c>
      <c r="S381" s="9">
        <v>31</v>
      </c>
      <c r="T381" s="9">
        <v>45</v>
      </c>
      <c r="U381" s="9">
        <v>53</v>
      </c>
      <c r="V381" s="9">
        <v>17</v>
      </c>
      <c r="W381" s="9">
        <v>22</v>
      </c>
      <c r="X381" s="9">
        <v>6</v>
      </c>
      <c r="Y381" s="9">
        <v>42</v>
      </c>
      <c r="Z381" s="8">
        <v>356</v>
      </c>
      <c r="AA381" s="8">
        <v>0</v>
      </c>
      <c r="AB381" s="8">
        <v>0</v>
      </c>
      <c r="AC381" s="7">
        <v>0</v>
      </c>
      <c r="AD381" s="7">
        <v>110.9</v>
      </c>
      <c r="AE381" s="7">
        <v>110.1</v>
      </c>
      <c r="AF381" s="7">
        <v>0.8</v>
      </c>
      <c r="AG381" s="7">
        <v>19.3</v>
      </c>
      <c r="AH381" s="7">
        <v>3.31</v>
      </c>
      <c r="AI381" s="7">
        <v>25.4</v>
      </c>
      <c r="AJ381" s="7">
        <v>3.5</v>
      </c>
      <c r="AK381" s="7">
        <v>7.9</v>
      </c>
      <c r="AL381" s="7">
        <v>5.7</v>
      </c>
      <c r="AM381" s="7">
        <v>7.7</v>
      </c>
      <c r="AN381" s="7">
        <v>53.7</v>
      </c>
      <c r="AO381" s="7">
        <v>58</v>
      </c>
      <c r="AP381" s="7">
        <v>16.7</v>
      </c>
      <c r="AQ381" s="7">
        <v>104.12</v>
      </c>
      <c r="AR381" s="7">
        <v>8.9</v>
      </c>
      <c r="AS381" s="7">
        <v>823</v>
      </c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1"/>
    </row>
    <row r="382" spans="1:70" ht="13">
      <c r="A382" s="6" t="s">
        <v>801</v>
      </c>
      <c r="B382" s="6" t="s">
        <v>802</v>
      </c>
      <c r="C382" s="7">
        <v>26</v>
      </c>
      <c r="D382" s="7">
        <v>29</v>
      </c>
      <c r="E382" s="7">
        <v>17</v>
      </c>
      <c r="F382" s="7">
        <v>12</v>
      </c>
      <c r="G382" s="7">
        <v>18.7</v>
      </c>
      <c r="H382" s="8">
        <v>162</v>
      </c>
      <c r="I382" s="9">
        <v>64</v>
      </c>
      <c r="J382" s="9">
        <v>145</v>
      </c>
      <c r="K382" s="8">
        <v>43.8</v>
      </c>
      <c r="L382" s="9">
        <v>26</v>
      </c>
      <c r="M382" s="9">
        <v>67</v>
      </c>
      <c r="N382" s="8">
        <v>38.200000000000003</v>
      </c>
      <c r="O382" s="8">
        <v>9</v>
      </c>
      <c r="P382" s="8">
        <v>12</v>
      </c>
      <c r="Q382" s="8">
        <v>81.8</v>
      </c>
      <c r="R382" s="9">
        <v>38</v>
      </c>
      <c r="S382" s="9">
        <v>75</v>
      </c>
      <c r="T382" s="9">
        <v>113</v>
      </c>
      <c r="U382" s="9">
        <v>41</v>
      </c>
      <c r="V382" s="9">
        <v>26</v>
      </c>
      <c r="W382" s="9">
        <v>29</v>
      </c>
      <c r="X382" s="9">
        <v>12</v>
      </c>
      <c r="Y382" s="9">
        <v>44</v>
      </c>
      <c r="Z382" s="8">
        <v>455</v>
      </c>
      <c r="AA382" s="8">
        <v>0</v>
      </c>
      <c r="AB382" s="8">
        <v>0</v>
      </c>
      <c r="AC382" s="7">
        <v>-0.4</v>
      </c>
      <c r="AD382" s="7">
        <v>111.2</v>
      </c>
      <c r="AE382" s="7">
        <v>112.4</v>
      </c>
      <c r="AF382" s="7">
        <v>-1.2</v>
      </c>
      <c r="AG382" s="7">
        <v>10.8</v>
      </c>
      <c r="AH382" s="7">
        <v>1.62</v>
      </c>
      <c r="AI382" s="7">
        <v>19.399999999999999</v>
      </c>
      <c r="AJ382" s="7">
        <v>6.8</v>
      </c>
      <c r="AK382" s="7">
        <v>13.5</v>
      </c>
      <c r="AL382" s="7">
        <v>10.1</v>
      </c>
      <c r="AM382" s="7">
        <v>12</v>
      </c>
      <c r="AN382" s="7">
        <v>52.8</v>
      </c>
      <c r="AO382" s="7">
        <v>54.1</v>
      </c>
      <c r="AP382" s="7">
        <v>13.4</v>
      </c>
      <c r="AQ382" s="7">
        <v>99.53</v>
      </c>
      <c r="AR382" s="7">
        <v>8</v>
      </c>
      <c r="AS382" s="7">
        <v>1126</v>
      </c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1"/>
    </row>
    <row r="383" spans="1:70" ht="13">
      <c r="A383" s="6" t="s">
        <v>803</v>
      </c>
      <c r="B383" s="6" t="s">
        <v>804</v>
      </c>
      <c r="C383" s="7">
        <v>24</v>
      </c>
      <c r="D383" s="7">
        <v>36</v>
      </c>
      <c r="E383" s="7">
        <v>14</v>
      </c>
      <c r="F383" s="7">
        <v>22</v>
      </c>
      <c r="G383" s="7">
        <v>10.4</v>
      </c>
      <c r="H383" s="8">
        <v>158</v>
      </c>
      <c r="I383" s="9">
        <v>68</v>
      </c>
      <c r="J383" s="9">
        <v>119</v>
      </c>
      <c r="K383" s="8">
        <v>58.1</v>
      </c>
      <c r="L383" s="8">
        <v>0</v>
      </c>
      <c r="M383" s="8">
        <v>0</v>
      </c>
      <c r="N383" s="8">
        <v>0</v>
      </c>
      <c r="O383" s="8">
        <v>22</v>
      </c>
      <c r="P383" s="8">
        <v>32</v>
      </c>
      <c r="Q383" s="8">
        <v>63.6</v>
      </c>
      <c r="R383" s="9">
        <v>58</v>
      </c>
      <c r="S383" s="9">
        <v>97</v>
      </c>
      <c r="T383" s="9">
        <v>151</v>
      </c>
      <c r="U383" s="9">
        <v>18</v>
      </c>
      <c r="V383" s="9">
        <v>22</v>
      </c>
      <c r="W383" s="9">
        <v>14</v>
      </c>
      <c r="X383" s="9">
        <v>29</v>
      </c>
      <c r="Y383" s="9">
        <v>50</v>
      </c>
      <c r="Z383" s="8">
        <v>475</v>
      </c>
      <c r="AA383" s="8">
        <v>2</v>
      </c>
      <c r="AB383" s="8">
        <v>0</v>
      </c>
      <c r="AC383" s="7">
        <v>-3.6</v>
      </c>
      <c r="AD383" s="7">
        <v>101.6</v>
      </c>
      <c r="AE383" s="7">
        <v>117.5</v>
      </c>
      <c r="AF383" s="7">
        <v>-15.9</v>
      </c>
      <c r="AG383" s="7">
        <v>7.2</v>
      </c>
      <c r="AH383" s="7">
        <v>0.74</v>
      </c>
      <c r="AI383" s="7">
        <v>9.9</v>
      </c>
      <c r="AJ383" s="7">
        <v>13.3</v>
      </c>
      <c r="AK383" s="7">
        <v>24</v>
      </c>
      <c r="AL383" s="7">
        <v>18.5</v>
      </c>
      <c r="AM383" s="7">
        <v>13.5</v>
      </c>
      <c r="AN383" s="7">
        <v>58.1</v>
      </c>
      <c r="AO383" s="7">
        <v>59.7</v>
      </c>
      <c r="AP383" s="7">
        <v>16.399999999999999</v>
      </c>
      <c r="AQ383" s="7">
        <v>105.46</v>
      </c>
      <c r="AR383" s="7">
        <v>11.3</v>
      </c>
      <c r="AS383" s="7">
        <v>826</v>
      </c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1"/>
    </row>
    <row r="384" spans="1:70" ht="13">
      <c r="A384" s="6" t="s">
        <v>805</v>
      </c>
      <c r="B384" s="6" t="s">
        <v>806</v>
      </c>
      <c r="C384" s="7">
        <v>21</v>
      </c>
      <c r="D384" s="7">
        <v>52</v>
      </c>
      <c r="E384" s="7">
        <v>23</v>
      </c>
      <c r="F384" s="7">
        <v>29</v>
      </c>
      <c r="G384" s="7">
        <v>8.8000000000000007</v>
      </c>
      <c r="H384" s="8">
        <v>156</v>
      </c>
      <c r="I384" s="9">
        <v>57</v>
      </c>
      <c r="J384" s="9">
        <v>140</v>
      </c>
      <c r="K384" s="8">
        <v>40.799999999999997</v>
      </c>
      <c r="L384" s="9">
        <v>16</v>
      </c>
      <c r="M384" s="9">
        <v>57</v>
      </c>
      <c r="N384" s="8">
        <v>27.1</v>
      </c>
      <c r="O384" s="8">
        <v>21</v>
      </c>
      <c r="P384" s="8">
        <v>31</v>
      </c>
      <c r="Q384" s="8">
        <v>76.7</v>
      </c>
      <c r="R384" s="9">
        <v>26</v>
      </c>
      <c r="S384" s="9">
        <v>42</v>
      </c>
      <c r="T384" s="9">
        <v>68</v>
      </c>
      <c r="U384" s="9">
        <v>26</v>
      </c>
      <c r="V384" s="9">
        <v>31</v>
      </c>
      <c r="W384" s="9">
        <v>16</v>
      </c>
      <c r="X384" s="9">
        <v>5</v>
      </c>
      <c r="Y384" s="9">
        <v>36</v>
      </c>
      <c r="Z384" s="8">
        <v>307</v>
      </c>
      <c r="AA384" s="8">
        <v>1</v>
      </c>
      <c r="AB384" s="8">
        <v>0</v>
      </c>
      <c r="AC384" s="7">
        <v>-1.7</v>
      </c>
      <c r="AD384" s="7">
        <v>100.6</v>
      </c>
      <c r="AE384" s="7">
        <v>109.8</v>
      </c>
      <c r="AF384" s="7">
        <v>-9.1999999999999993</v>
      </c>
      <c r="AG384" s="7">
        <v>8.3000000000000007</v>
      </c>
      <c r="AH384" s="7">
        <v>0.83</v>
      </c>
      <c r="AI384" s="7">
        <v>11.9</v>
      </c>
      <c r="AJ384" s="7">
        <v>4.9000000000000004</v>
      </c>
      <c r="AK384" s="7">
        <v>9.6999999999999993</v>
      </c>
      <c r="AL384" s="7">
        <v>7.1</v>
      </c>
      <c r="AM384" s="7">
        <v>14.3</v>
      </c>
      <c r="AN384" s="7">
        <v>46.5</v>
      </c>
      <c r="AO384" s="7">
        <v>49.9</v>
      </c>
      <c r="AP384" s="7">
        <v>15.6</v>
      </c>
      <c r="AQ384" s="7">
        <v>104.66</v>
      </c>
      <c r="AR384" s="7">
        <v>5.5</v>
      </c>
      <c r="AS384" s="7">
        <v>1005</v>
      </c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1"/>
    </row>
    <row r="385" spans="1:70" ht="13">
      <c r="A385" s="6" t="s">
        <v>807</v>
      </c>
      <c r="B385" s="6" t="s">
        <v>808</v>
      </c>
      <c r="C385" s="7">
        <v>23</v>
      </c>
      <c r="D385" s="7">
        <v>39</v>
      </c>
      <c r="E385" s="7">
        <v>12</v>
      </c>
      <c r="F385" s="7">
        <v>27</v>
      </c>
      <c r="G385" s="7">
        <v>13.2</v>
      </c>
      <c r="H385" s="8">
        <v>156</v>
      </c>
      <c r="I385" s="9">
        <v>59</v>
      </c>
      <c r="J385" s="9">
        <v>129</v>
      </c>
      <c r="K385" s="8">
        <v>45.7</v>
      </c>
      <c r="L385" s="9">
        <v>16</v>
      </c>
      <c r="M385" s="9">
        <v>51</v>
      </c>
      <c r="N385" s="8">
        <v>32.700000000000003</v>
      </c>
      <c r="O385" s="8">
        <v>23</v>
      </c>
      <c r="P385" s="8">
        <v>35</v>
      </c>
      <c r="Q385" s="8">
        <v>65.7</v>
      </c>
      <c r="R385" s="9">
        <v>20</v>
      </c>
      <c r="S385" s="9">
        <v>66</v>
      </c>
      <c r="T385" s="9">
        <v>86</v>
      </c>
      <c r="U385" s="9">
        <v>43</v>
      </c>
      <c r="V385" s="9">
        <v>23</v>
      </c>
      <c r="W385" s="9">
        <v>27</v>
      </c>
      <c r="X385" s="9">
        <v>12</v>
      </c>
      <c r="Y385" s="9">
        <v>35</v>
      </c>
      <c r="Z385" s="8">
        <v>421</v>
      </c>
      <c r="AA385" s="8">
        <v>1</v>
      </c>
      <c r="AB385" s="8">
        <v>0</v>
      </c>
      <c r="AC385" s="7">
        <v>-2.9</v>
      </c>
      <c r="AD385" s="7">
        <v>104.4</v>
      </c>
      <c r="AE385" s="7">
        <v>114.8</v>
      </c>
      <c r="AF385" s="7">
        <v>-10.4</v>
      </c>
      <c r="AG385" s="7">
        <v>12.3</v>
      </c>
      <c r="AH385" s="7">
        <v>1.91</v>
      </c>
      <c r="AI385" s="7">
        <v>20.8</v>
      </c>
      <c r="AJ385" s="7">
        <v>3.8</v>
      </c>
      <c r="AK385" s="7">
        <v>12.3</v>
      </c>
      <c r="AL385" s="7">
        <v>8</v>
      </c>
      <c r="AM385" s="7">
        <v>10.8</v>
      </c>
      <c r="AN385" s="7">
        <v>51.9</v>
      </c>
      <c r="AO385" s="7">
        <v>54.4</v>
      </c>
      <c r="AP385" s="7">
        <v>13.8</v>
      </c>
      <c r="AQ385" s="7">
        <v>99.47</v>
      </c>
      <c r="AR385" s="7">
        <v>7.8</v>
      </c>
      <c r="AS385" s="7">
        <v>1066</v>
      </c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1"/>
    </row>
    <row r="386" spans="1:70" ht="13">
      <c r="A386" s="6" t="s">
        <v>809</v>
      </c>
      <c r="B386" s="6" t="s">
        <v>810</v>
      </c>
      <c r="C386" s="7">
        <v>29</v>
      </c>
      <c r="D386" s="7">
        <v>36</v>
      </c>
      <c r="E386" s="7">
        <v>13</v>
      </c>
      <c r="F386" s="7">
        <v>23</v>
      </c>
      <c r="G386" s="7">
        <v>8.9</v>
      </c>
      <c r="H386" s="8">
        <v>155</v>
      </c>
      <c r="I386" s="9">
        <v>54</v>
      </c>
      <c r="J386" s="9">
        <v>148</v>
      </c>
      <c r="K386" s="8">
        <v>37.700000000000003</v>
      </c>
      <c r="L386" s="9">
        <v>36</v>
      </c>
      <c r="M386" s="9">
        <v>104</v>
      </c>
      <c r="N386" s="8">
        <v>33.299999999999997</v>
      </c>
      <c r="O386" s="8">
        <v>7</v>
      </c>
      <c r="P386" s="8">
        <v>11</v>
      </c>
      <c r="Q386" s="8">
        <v>80</v>
      </c>
      <c r="R386" s="9">
        <v>4</v>
      </c>
      <c r="S386" s="9">
        <v>36</v>
      </c>
      <c r="T386" s="9">
        <v>40</v>
      </c>
      <c r="U386" s="9">
        <v>40</v>
      </c>
      <c r="V386" s="9">
        <v>11</v>
      </c>
      <c r="W386" s="9">
        <v>14</v>
      </c>
      <c r="X386" s="9">
        <v>4</v>
      </c>
      <c r="Y386" s="9">
        <v>14</v>
      </c>
      <c r="Z386" s="8">
        <v>295</v>
      </c>
      <c r="AA386" s="8">
        <v>0</v>
      </c>
      <c r="AB386" s="8">
        <v>0</v>
      </c>
      <c r="AC386" s="7">
        <v>1</v>
      </c>
      <c r="AD386" s="7">
        <v>114.8</v>
      </c>
      <c r="AE386" s="7">
        <v>111.5</v>
      </c>
      <c r="AF386" s="7">
        <v>3.3</v>
      </c>
      <c r="AG386" s="7">
        <v>16.600000000000001</v>
      </c>
      <c r="AH386" s="7">
        <v>3.64</v>
      </c>
      <c r="AI386" s="7">
        <v>19.899999999999999</v>
      </c>
      <c r="AJ386" s="7">
        <v>1.2</v>
      </c>
      <c r="AK386" s="7">
        <v>9.4</v>
      </c>
      <c r="AL386" s="7">
        <v>5.4</v>
      </c>
      <c r="AM386" s="7">
        <v>5.5</v>
      </c>
      <c r="AN386" s="7">
        <v>49.7</v>
      </c>
      <c r="AO386" s="7">
        <v>50.9</v>
      </c>
      <c r="AP386" s="7">
        <v>20</v>
      </c>
      <c r="AQ386" s="7">
        <v>106.46</v>
      </c>
      <c r="AR386" s="7">
        <v>8.1999999999999993</v>
      </c>
      <c r="AS386" s="7">
        <v>717</v>
      </c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1"/>
    </row>
    <row r="387" spans="1:70" ht="13">
      <c r="A387" s="6" t="s">
        <v>811</v>
      </c>
      <c r="B387" s="6" t="s">
        <v>812</v>
      </c>
      <c r="C387" s="7">
        <v>24</v>
      </c>
      <c r="D387" s="7">
        <v>33</v>
      </c>
      <c r="E387" s="7">
        <v>9</v>
      </c>
      <c r="F387" s="7">
        <v>24</v>
      </c>
      <c r="G387" s="7">
        <v>12.4</v>
      </c>
      <c r="H387" s="8">
        <v>152</v>
      </c>
      <c r="I387" s="9">
        <v>56</v>
      </c>
      <c r="J387" s="9">
        <v>125</v>
      </c>
      <c r="K387" s="8">
        <v>45.6</v>
      </c>
      <c r="L387" s="9">
        <v>20</v>
      </c>
      <c r="M387" s="9">
        <v>59</v>
      </c>
      <c r="N387" s="8">
        <v>31.1</v>
      </c>
      <c r="O387" s="8">
        <v>20</v>
      </c>
      <c r="P387" s="8">
        <v>26</v>
      </c>
      <c r="Q387" s="8">
        <v>76.900000000000006</v>
      </c>
      <c r="R387" s="9">
        <v>13</v>
      </c>
      <c r="S387" s="9">
        <v>73</v>
      </c>
      <c r="T387" s="9">
        <v>83</v>
      </c>
      <c r="U387" s="9">
        <v>36</v>
      </c>
      <c r="V387" s="9">
        <v>23</v>
      </c>
      <c r="W387" s="9">
        <v>13</v>
      </c>
      <c r="X387" s="9">
        <v>10</v>
      </c>
      <c r="Y387" s="9">
        <v>20</v>
      </c>
      <c r="Z387" s="8">
        <v>353</v>
      </c>
      <c r="AA387" s="8">
        <v>0</v>
      </c>
      <c r="AB387" s="8">
        <v>0</v>
      </c>
      <c r="AC387" s="7">
        <v>-2.2999999999999998</v>
      </c>
      <c r="AD387" s="7">
        <v>106.4</v>
      </c>
      <c r="AE387" s="7">
        <v>114.6</v>
      </c>
      <c r="AF387" s="7">
        <v>-8.1999999999999993</v>
      </c>
      <c r="AG387" s="7">
        <v>12.1</v>
      </c>
      <c r="AH387" s="7">
        <v>1.59</v>
      </c>
      <c r="AI387" s="7">
        <v>18</v>
      </c>
      <c r="AJ387" s="7">
        <v>3</v>
      </c>
      <c r="AK387" s="7">
        <v>17.7</v>
      </c>
      <c r="AL387" s="7">
        <v>10.1</v>
      </c>
      <c r="AM387" s="7">
        <v>11.3</v>
      </c>
      <c r="AN387" s="7">
        <v>53.2</v>
      </c>
      <c r="AO387" s="7">
        <v>56.1</v>
      </c>
      <c r="AP387" s="7">
        <v>15.9</v>
      </c>
      <c r="AQ387" s="7">
        <v>104.43</v>
      </c>
      <c r="AR387" s="7">
        <v>8.9</v>
      </c>
      <c r="AS387" s="7">
        <v>890</v>
      </c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1"/>
    </row>
    <row r="388" spans="1:70" ht="13">
      <c r="A388" s="6" t="s">
        <v>813</v>
      </c>
      <c r="B388" s="6" t="s">
        <v>814</v>
      </c>
      <c r="C388" s="7">
        <v>25</v>
      </c>
      <c r="D388" s="7">
        <v>37</v>
      </c>
      <c r="E388" s="7">
        <v>21</v>
      </c>
      <c r="F388" s="7">
        <v>16</v>
      </c>
      <c r="G388" s="7">
        <v>11.4</v>
      </c>
      <c r="H388" s="8">
        <v>152</v>
      </c>
      <c r="I388" s="9">
        <v>59</v>
      </c>
      <c r="J388" s="9">
        <v>133</v>
      </c>
      <c r="K388" s="8">
        <v>43.3</v>
      </c>
      <c r="L388" s="9">
        <v>7</v>
      </c>
      <c r="M388" s="9">
        <v>37</v>
      </c>
      <c r="N388" s="8">
        <v>21.1</v>
      </c>
      <c r="O388" s="8">
        <v>30</v>
      </c>
      <c r="P388" s="8">
        <v>33</v>
      </c>
      <c r="Q388" s="8">
        <v>80</v>
      </c>
      <c r="R388" s="9">
        <v>22</v>
      </c>
      <c r="S388" s="9">
        <v>33</v>
      </c>
      <c r="T388" s="9">
        <v>59</v>
      </c>
      <c r="U388" s="9">
        <v>33</v>
      </c>
      <c r="V388" s="9">
        <v>26</v>
      </c>
      <c r="W388" s="9">
        <v>19</v>
      </c>
      <c r="X388" s="9">
        <v>4</v>
      </c>
      <c r="Y388" s="9">
        <v>26</v>
      </c>
      <c r="Z388" s="8">
        <v>311</v>
      </c>
      <c r="AA388" s="8">
        <v>0</v>
      </c>
      <c r="AB388" s="8">
        <v>0</v>
      </c>
      <c r="AC388" s="7">
        <v>-1.7</v>
      </c>
      <c r="AD388" s="7">
        <v>103.8</v>
      </c>
      <c r="AE388" s="7">
        <v>109.8</v>
      </c>
      <c r="AF388" s="7">
        <v>-6</v>
      </c>
      <c r="AG388" s="7">
        <v>12.4</v>
      </c>
      <c r="AH388" s="7">
        <v>1.31</v>
      </c>
      <c r="AI388" s="7">
        <v>16.2</v>
      </c>
      <c r="AJ388" s="7">
        <v>5.3</v>
      </c>
      <c r="AK388" s="7">
        <v>8.4</v>
      </c>
      <c r="AL388" s="7">
        <v>6.8</v>
      </c>
      <c r="AM388" s="7">
        <v>12.4</v>
      </c>
      <c r="AN388" s="7">
        <v>46.3</v>
      </c>
      <c r="AO388" s="7">
        <v>50.9</v>
      </c>
      <c r="AP388" s="7">
        <v>17.5</v>
      </c>
      <c r="AQ388" s="7">
        <v>100.15</v>
      </c>
      <c r="AR388" s="7">
        <v>7</v>
      </c>
      <c r="AS388" s="7">
        <v>872</v>
      </c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1"/>
    </row>
    <row r="389" spans="1:70" ht="13">
      <c r="A389" s="6" t="s">
        <v>815</v>
      </c>
      <c r="B389" s="6" t="s">
        <v>816</v>
      </c>
      <c r="C389" s="7">
        <v>28</v>
      </c>
      <c r="D389" s="7">
        <v>31</v>
      </c>
      <c r="E389" s="7">
        <v>15</v>
      </c>
      <c r="F389" s="7">
        <v>16</v>
      </c>
      <c r="G389" s="7">
        <v>13.9</v>
      </c>
      <c r="H389" s="8">
        <v>152</v>
      </c>
      <c r="I389" s="9">
        <v>56</v>
      </c>
      <c r="J389" s="9">
        <v>146</v>
      </c>
      <c r="K389" s="8">
        <v>38.1</v>
      </c>
      <c r="L389" s="9">
        <v>22</v>
      </c>
      <c r="M389" s="9">
        <v>78</v>
      </c>
      <c r="N389" s="8">
        <v>28.6</v>
      </c>
      <c r="O389" s="8">
        <v>19</v>
      </c>
      <c r="P389" s="8">
        <v>22</v>
      </c>
      <c r="Q389" s="8">
        <v>85.7</v>
      </c>
      <c r="R389" s="9">
        <v>25</v>
      </c>
      <c r="S389" s="9">
        <v>28</v>
      </c>
      <c r="T389" s="9">
        <v>53</v>
      </c>
      <c r="U389" s="9">
        <v>37</v>
      </c>
      <c r="V389" s="9">
        <v>22</v>
      </c>
      <c r="W389" s="9">
        <v>31</v>
      </c>
      <c r="X389" s="9">
        <v>9</v>
      </c>
      <c r="Y389" s="9">
        <v>37</v>
      </c>
      <c r="Z389" s="8">
        <v>375</v>
      </c>
      <c r="AA389" s="8">
        <v>0</v>
      </c>
      <c r="AB389" s="8">
        <v>0</v>
      </c>
      <c r="AC389" s="7">
        <v>-2.8</v>
      </c>
      <c r="AD389" s="7">
        <v>101.9</v>
      </c>
      <c r="AE389" s="7">
        <v>111.1</v>
      </c>
      <c r="AF389" s="7">
        <v>-9.1999999999999993</v>
      </c>
      <c r="AG389" s="7">
        <v>14.1</v>
      </c>
      <c r="AH389" s="7">
        <v>1.73</v>
      </c>
      <c r="AI389" s="7">
        <v>17.5</v>
      </c>
      <c r="AJ389" s="7">
        <v>5.6</v>
      </c>
      <c r="AK389" s="7">
        <v>7.1</v>
      </c>
      <c r="AL389" s="7">
        <v>6.3</v>
      </c>
      <c r="AM389" s="7">
        <v>10.1</v>
      </c>
      <c r="AN389" s="7">
        <v>45.6</v>
      </c>
      <c r="AO389" s="7">
        <v>48.6</v>
      </c>
      <c r="AP389" s="7">
        <v>17.600000000000001</v>
      </c>
      <c r="AQ389" s="7">
        <v>98.95</v>
      </c>
      <c r="AR389" s="7">
        <v>7.1</v>
      </c>
      <c r="AS389" s="7">
        <v>885</v>
      </c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1"/>
    </row>
    <row r="390" spans="1:70" ht="13">
      <c r="A390" s="13" t="s">
        <v>817</v>
      </c>
      <c r="B390" s="6" t="s">
        <v>818</v>
      </c>
      <c r="C390" s="7">
        <v>23</v>
      </c>
      <c r="D390" s="7">
        <v>36</v>
      </c>
      <c r="E390" s="7">
        <v>11</v>
      </c>
      <c r="F390" s="7">
        <v>25</v>
      </c>
      <c r="G390" s="7">
        <v>13.9</v>
      </c>
      <c r="H390" s="8">
        <v>151</v>
      </c>
      <c r="I390" s="9">
        <v>58</v>
      </c>
      <c r="J390" s="9">
        <v>126</v>
      </c>
      <c r="K390" s="8">
        <v>46.8</v>
      </c>
      <c r="L390" s="9">
        <v>14</v>
      </c>
      <c r="M390" s="9">
        <v>40</v>
      </c>
      <c r="N390" s="8">
        <v>34.1</v>
      </c>
      <c r="O390" s="8">
        <v>18</v>
      </c>
      <c r="P390" s="8">
        <v>22</v>
      </c>
      <c r="Q390" s="8">
        <v>81.8</v>
      </c>
      <c r="R390" s="9">
        <v>29</v>
      </c>
      <c r="S390" s="9">
        <v>65</v>
      </c>
      <c r="T390" s="9">
        <v>94</v>
      </c>
      <c r="U390" s="9">
        <v>43</v>
      </c>
      <c r="V390" s="9">
        <v>29</v>
      </c>
      <c r="W390" s="9">
        <v>22</v>
      </c>
      <c r="X390" s="9">
        <v>4</v>
      </c>
      <c r="Y390" s="9">
        <v>32</v>
      </c>
      <c r="Z390" s="8">
        <v>374</v>
      </c>
      <c r="AA390" s="8">
        <v>1</v>
      </c>
      <c r="AB390" s="8">
        <v>0</v>
      </c>
      <c r="AC390" s="7">
        <v>-3.7</v>
      </c>
      <c r="AD390" s="7">
        <v>99.6</v>
      </c>
      <c r="AE390" s="7">
        <v>112</v>
      </c>
      <c r="AF390" s="7">
        <v>-12.4</v>
      </c>
      <c r="AG390" s="7">
        <v>13</v>
      </c>
      <c r="AH390" s="7">
        <v>1.56</v>
      </c>
      <c r="AI390" s="7">
        <v>20.6</v>
      </c>
      <c r="AJ390" s="7">
        <v>5.3</v>
      </c>
      <c r="AK390" s="7">
        <v>13.2</v>
      </c>
      <c r="AL390" s="7">
        <v>9</v>
      </c>
      <c r="AM390" s="7">
        <v>13.2</v>
      </c>
      <c r="AN390" s="7">
        <v>52.4</v>
      </c>
      <c r="AO390" s="7">
        <v>55.3</v>
      </c>
      <c r="AP390" s="7">
        <v>13.3</v>
      </c>
      <c r="AQ390" s="7">
        <v>100.73</v>
      </c>
      <c r="AR390" s="7">
        <v>8.3000000000000007</v>
      </c>
      <c r="AS390" s="7">
        <v>1045</v>
      </c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1"/>
    </row>
    <row r="391" spans="1:70" ht="13">
      <c r="A391" s="6" t="s">
        <v>819</v>
      </c>
      <c r="B391" s="6" t="s">
        <v>820</v>
      </c>
      <c r="C391" s="7">
        <v>24</v>
      </c>
      <c r="D391" s="7">
        <v>24</v>
      </c>
      <c r="E391" s="7">
        <v>11</v>
      </c>
      <c r="F391" s="7">
        <v>13</v>
      </c>
      <c r="G391" s="7">
        <v>9.9</v>
      </c>
      <c r="H391" s="8">
        <v>149</v>
      </c>
      <c r="I391" s="9">
        <v>48</v>
      </c>
      <c r="J391" s="9">
        <v>118</v>
      </c>
      <c r="K391" s="8">
        <v>39.799999999999997</v>
      </c>
      <c r="L391" s="9">
        <v>31</v>
      </c>
      <c r="M391" s="9">
        <v>82</v>
      </c>
      <c r="N391" s="8">
        <v>39</v>
      </c>
      <c r="O391" s="8">
        <v>24</v>
      </c>
      <c r="P391" s="8">
        <v>26</v>
      </c>
      <c r="Q391" s="8">
        <v>88.5</v>
      </c>
      <c r="R391" s="9">
        <v>5</v>
      </c>
      <c r="S391" s="9">
        <v>19</v>
      </c>
      <c r="T391" s="9">
        <v>24</v>
      </c>
      <c r="U391" s="9">
        <v>31</v>
      </c>
      <c r="V391" s="9">
        <v>24</v>
      </c>
      <c r="W391" s="9">
        <v>19</v>
      </c>
      <c r="X391" s="9">
        <v>5</v>
      </c>
      <c r="Y391" s="9">
        <v>29</v>
      </c>
      <c r="Z391" s="8">
        <v>269</v>
      </c>
      <c r="AA391" s="8">
        <v>0</v>
      </c>
      <c r="AB391" s="8">
        <v>0</v>
      </c>
      <c r="AC391" s="7">
        <v>-1.3</v>
      </c>
      <c r="AD391" s="7">
        <v>102</v>
      </c>
      <c r="AE391" s="7">
        <v>108.1</v>
      </c>
      <c r="AF391" s="7">
        <v>-6.1</v>
      </c>
      <c r="AG391" s="7">
        <v>24.6</v>
      </c>
      <c r="AH391" s="7">
        <v>1.28</v>
      </c>
      <c r="AI391" s="7">
        <v>17.3</v>
      </c>
      <c r="AJ391" s="7">
        <v>2</v>
      </c>
      <c r="AK391" s="7">
        <v>8.3000000000000007</v>
      </c>
      <c r="AL391" s="7">
        <v>5.0999999999999996</v>
      </c>
      <c r="AM391" s="7">
        <v>13.5</v>
      </c>
      <c r="AN391" s="7">
        <v>53.4</v>
      </c>
      <c r="AO391" s="7">
        <v>57.6</v>
      </c>
      <c r="AP391" s="7">
        <v>27.4</v>
      </c>
      <c r="AQ391" s="7">
        <v>98.61</v>
      </c>
      <c r="AR391" s="7">
        <v>10.8</v>
      </c>
      <c r="AS391" s="7">
        <v>490</v>
      </c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1"/>
    </row>
    <row r="392" spans="1:70" ht="13">
      <c r="A392" s="6" t="s">
        <v>821</v>
      </c>
      <c r="B392" s="6" t="s">
        <v>822</v>
      </c>
      <c r="C392" s="7">
        <v>26</v>
      </c>
      <c r="D392" s="7">
        <v>36</v>
      </c>
      <c r="E392" s="7">
        <v>25</v>
      </c>
      <c r="F392" s="7">
        <v>11</v>
      </c>
      <c r="G392" s="7">
        <v>16.100000000000001</v>
      </c>
      <c r="H392" s="8">
        <v>148</v>
      </c>
      <c r="I392" s="9">
        <v>58</v>
      </c>
      <c r="J392" s="9">
        <v>122</v>
      </c>
      <c r="K392" s="8">
        <v>48.8</v>
      </c>
      <c r="L392" s="9">
        <v>11</v>
      </c>
      <c r="M392" s="9">
        <v>32</v>
      </c>
      <c r="N392" s="8">
        <v>28.1</v>
      </c>
      <c r="O392" s="8">
        <v>22</v>
      </c>
      <c r="P392" s="8">
        <v>36</v>
      </c>
      <c r="Q392" s="8">
        <v>55.6</v>
      </c>
      <c r="R392" s="9">
        <v>68</v>
      </c>
      <c r="S392" s="9">
        <v>115</v>
      </c>
      <c r="T392" s="9">
        <v>184</v>
      </c>
      <c r="U392" s="9">
        <v>40</v>
      </c>
      <c r="V392" s="9">
        <v>29</v>
      </c>
      <c r="W392" s="9">
        <v>36</v>
      </c>
      <c r="X392" s="9">
        <v>11</v>
      </c>
      <c r="Y392" s="9">
        <v>68</v>
      </c>
      <c r="Z392" s="8">
        <v>533</v>
      </c>
      <c r="AA392" s="8">
        <v>0</v>
      </c>
      <c r="AB392" s="8">
        <v>0</v>
      </c>
      <c r="AC392" s="7">
        <v>1</v>
      </c>
      <c r="AD392" s="7">
        <v>115.6</v>
      </c>
      <c r="AE392" s="7">
        <v>112.2</v>
      </c>
      <c r="AF392" s="7">
        <v>3.3</v>
      </c>
      <c r="AG392" s="7">
        <v>9.4</v>
      </c>
      <c r="AH392" s="7">
        <v>1.41</v>
      </c>
      <c r="AI392" s="7">
        <v>19.899999999999999</v>
      </c>
      <c r="AJ392" s="7">
        <v>11.4</v>
      </c>
      <c r="AK392" s="7">
        <v>19.399999999999999</v>
      </c>
      <c r="AL392" s="7">
        <v>15.4</v>
      </c>
      <c r="AM392" s="7">
        <v>14.1</v>
      </c>
      <c r="AN392" s="7">
        <v>52.5</v>
      </c>
      <c r="AO392" s="7">
        <v>53.7</v>
      </c>
      <c r="AP392" s="7">
        <v>11.6</v>
      </c>
      <c r="AQ392" s="7">
        <v>100.61</v>
      </c>
      <c r="AR392" s="7">
        <v>8.1999999999999993</v>
      </c>
      <c r="AS392" s="7">
        <v>1215</v>
      </c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1"/>
    </row>
    <row r="393" spans="1:70" ht="13">
      <c r="A393" s="6" t="s">
        <v>823</v>
      </c>
      <c r="B393" s="6" t="s">
        <v>824</v>
      </c>
      <c r="C393" s="7">
        <v>22</v>
      </c>
      <c r="D393" s="7">
        <v>35</v>
      </c>
      <c r="E393" s="7">
        <v>13</v>
      </c>
      <c r="F393" s="7">
        <v>22</v>
      </c>
      <c r="G393" s="7">
        <v>10.7</v>
      </c>
      <c r="H393" s="8">
        <v>147</v>
      </c>
      <c r="I393" s="9">
        <v>60</v>
      </c>
      <c r="J393" s="9">
        <v>112</v>
      </c>
      <c r="K393" s="8">
        <v>53.1</v>
      </c>
      <c r="L393" s="9">
        <v>7</v>
      </c>
      <c r="M393" s="9">
        <v>28</v>
      </c>
      <c r="N393" s="8">
        <v>25.9</v>
      </c>
      <c r="O393" s="8">
        <v>21</v>
      </c>
      <c r="P393" s="8">
        <v>32</v>
      </c>
      <c r="Q393" s="8">
        <v>63.6</v>
      </c>
      <c r="R393" s="9">
        <v>35</v>
      </c>
      <c r="S393" s="9">
        <v>49</v>
      </c>
      <c r="T393" s="9">
        <v>84</v>
      </c>
      <c r="U393" s="9">
        <v>18</v>
      </c>
      <c r="V393" s="9">
        <v>4</v>
      </c>
      <c r="W393" s="9">
        <v>11</v>
      </c>
      <c r="X393" s="9">
        <v>18</v>
      </c>
      <c r="Y393" s="9">
        <v>46</v>
      </c>
      <c r="Z393" s="8">
        <v>350</v>
      </c>
      <c r="AA393" s="8">
        <v>1</v>
      </c>
      <c r="AB393" s="8">
        <v>0</v>
      </c>
      <c r="AC393" s="7">
        <v>-0.1</v>
      </c>
      <c r="AD393" s="7">
        <v>110.2</v>
      </c>
      <c r="AE393" s="7">
        <v>111.8</v>
      </c>
      <c r="AF393" s="7">
        <v>-1.6</v>
      </c>
      <c r="AG393" s="7">
        <v>7</v>
      </c>
      <c r="AH393" s="7">
        <v>3.8</v>
      </c>
      <c r="AI393" s="7">
        <v>12.7</v>
      </c>
      <c r="AJ393" s="7">
        <v>9.1</v>
      </c>
      <c r="AK393" s="7">
        <v>13.9</v>
      </c>
      <c r="AL393" s="7">
        <v>11.4</v>
      </c>
      <c r="AM393" s="7">
        <v>3.3</v>
      </c>
      <c r="AN393" s="7">
        <v>56.2</v>
      </c>
      <c r="AO393" s="7">
        <v>58</v>
      </c>
      <c r="AP393" s="7">
        <v>14.1</v>
      </c>
      <c r="AQ393" s="7">
        <v>104.7</v>
      </c>
      <c r="AR393" s="7">
        <v>8.1999999999999993</v>
      </c>
      <c r="AS393" s="7">
        <v>823</v>
      </c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1"/>
    </row>
    <row r="394" spans="1:70" ht="13">
      <c r="A394" s="6" t="s">
        <v>825</v>
      </c>
      <c r="B394" s="6" t="s">
        <v>826</v>
      </c>
      <c r="C394" s="7">
        <v>33</v>
      </c>
      <c r="D394" s="7">
        <v>42</v>
      </c>
      <c r="E394" s="7">
        <v>21</v>
      </c>
      <c r="F394" s="7">
        <v>21</v>
      </c>
      <c r="G394" s="7">
        <v>8.1</v>
      </c>
      <c r="H394" s="8">
        <v>147</v>
      </c>
      <c r="I394" s="9">
        <v>50</v>
      </c>
      <c r="J394" s="9">
        <v>118</v>
      </c>
      <c r="K394" s="8">
        <v>42.7</v>
      </c>
      <c r="L394" s="9">
        <v>42</v>
      </c>
      <c r="M394" s="9">
        <v>101</v>
      </c>
      <c r="N394" s="8">
        <v>43.6</v>
      </c>
      <c r="O394" s="8">
        <v>4</v>
      </c>
      <c r="P394" s="8">
        <v>4</v>
      </c>
      <c r="Q394" s="8">
        <v>60</v>
      </c>
      <c r="R394" s="9">
        <v>4</v>
      </c>
      <c r="S394" s="9">
        <v>21</v>
      </c>
      <c r="T394" s="9">
        <v>21</v>
      </c>
      <c r="U394" s="9">
        <v>8</v>
      </c>
      <c r="V394" s="9">
        <v>4</v>
      </c>
      <c r="W394" s="9">
        <v>4</v>
      </c>
      <c r="X394" s="8">
        <v>0</v>
      </c>
      <c r="Y394" s="9">
        <v>29</v>
      </c>
      <c r="Z394" s="8">
        <v>197</v>
      </c>
      <c r="AA394" s="8">
        <v>0</v>
      </c>
      <c r="AB394" s="8">
        <v>0</v>
      </c>
      <c r="AC394" s="7">
        <v>0.6</v>
      </c>
      <c r="AD394" s="7">
        <v>111.5</v>
      </c>
      <c r="AE394" s="7">
        <v>109.9</v>
      </c>
      <c r="AF394" s="7">
        <v>1.6</v>
      </c>
      <c r="AG394" s="7">
        <v>2.8</v>
      </c>
      <c r="AH394" s="7">
        <v>1.17</v>
      </c>
      <c r="AI394" s="7">
        <v>5.3</v>
      </c>
      <c r="AJ394" s="7">
        <v>0.9</v>
      </c>
      <c r="AK394" s="7">
        <v>5.4</v>
      </c>
      <c r="AL394" s="7">
        <v>3.1</v>
      </c>
      <c r="AM394" s="7">
        <v>4.5</v>
      </c>
      <c r="AN394" s="7">
        <v>61.5</v>
      </c>
      <c r="AO394" s="7">
        <v>61.7</v>
      </c>
      <c r="AP394" s="7">
        <v>15</v>
      </c>
      <c r="AQ394" s="7">
        <v>101.3</v>
      </c>
      <c r="AR394" s="7">
        <v>5.0999999999999996</v>
      </c>
      <c r="AS394" s="7">
        <v>728</v>
      </c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1"/>
    </row>
    <row r="395" spans="1:70" ht="13">
      <c r="A395" s="6" t="s">
        <v>827</v>
      </c>
      <c r="B395" s="6" t="s">
        <v>828</v>
      </c>
      <c r="C395" s="7">
        <v>30</v>
      </c>
      <c r="D395" s="7">
        <v>48</v>
      </c>
      <c r="E395" s="7">
        <v>28</v>
      </c>
      <c r="F395" s="7">
        <v>20</v>
      </c>
      <c r="G395" s="7">
        <v>14.8</v>
      </c>
      <c r="H395" s="8">
        <v>144</v>
      </c>
      <c r="I395" s="9">
        <v>53</v>
      </c>
      <c r="J395" s="9">
        <v>134</v>
      </c>
      <c r="K395" s="8">
        <v>38.299999999999997</v>
      </c>
      <c r="L395" s="9">
        <v>38</v>
      </c>
      <c r="M395" s="9">
        <v>101</v>
      </c>
      <c r="N395" s="8">
        <v>35.6</v>
      </c>
      <c r="O395" s="8">
        <v>5</v>
      </c>
      <c r="P395" s="8">
        <v>14</v>
      </c>
      <c r="Q395" s="8">
        <v>58.3</v>
      </c>
      <c r="R395" s="9">
        <v>19</v>
      </c>
      <c r="S395" s="9">
        <v>43</v>
      </c>
      <c r="T395" s="9">
        <v>62</v>
      </c>
      <c r="U395" s="9">
        <v>29</v>
      </c>
      <c r="V395" s="9">
        <v>19</v>
      </c>
      <c r="W395" s="9">
        <v>24</v>
      </c>
      <c r="X395" s="9">
        <v>14</v>
      </c>
      <c r="Y395" s="9">
        <v>43</v>
      </c>
      <c r="Z395" s="8">
        <v>365</v>
      </c>
      <c r="AA395" s="8">
        <v>0</v>
      </c>
      <c r="AB395" s="8">
        <v>0</v>
      </c>
      <c r="AC395" s="7">
        <v>1.8</v>
      </c>
      <c r="AD395" s="7">
        <v>110.4</v>
      </c>
      <c r="AE395" s="7">
        <v>103.2</v>
      </c>
      <c r="AF395" s="7">
        <v>7.2</v>
      </c>
      <c r="AG395" s="7">
        <v>5.8</v>
      </c>
      <c r="AH395" s="7">
        <v>1.76</v>
      </c>
      <c r="AI395" s="7">
        <v>16.3</v>
      </c>
      <c r="AJ395" s="7">
        <v>2.6</v>
      </c>
      <c r="AK395" s="7">
        <v>6.3</v>
      </c>
      <c r="AL395" s="7">
        <v>4.4000000000000004</v>
      </c>
      <c r="AM395" s="7">
        <v>9.1999999999999993</v>
      </c>
      <c r="AN395" s="7">
        <v>51.9</v>
      </c>
      <c r="AO395" s="7">
        <v>52.4</v>
      </c>
      <c r="AP395" s="7">
        <v>9</v>
      </c>
      <c r="AQ395" s="7">
        <v>99.58</v>
      </c>
      <c r="AR395" s="7">
        <v>4.3</v>
      </c>
      <c r="AS395" s="7">
        <v>1465</v>
      </c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1"/>
    </row>
    <row r="396" spans="1:70" ht="13">
      <c r="A396" s="6" t="s">
        <v>829</v>
      </c>
      <c r="B396" s="6" t="s">
        <v>830</v>
      </c>
      <c r="C396" s="7">
        <v>32</v>
      </c>
      <c r="D396" s="7">
        <v>28</v>
      </c>
      <c r="E396" s="7">
        <v>10</v>
      </c>
      <c r="F396" s="7">
        <v>18</v>
      </c>
      <c r="G396" s="7">
        <v>18.8</v>
      </c>
      <c r="H396" s="8">
        <v>143</v>
      </c>
      <c r="I396" s="9">
        <v>67</v>
      </c>
      <c r="J396" s="9">
        <v>115</v>
      </c>
      <c r="K396" s="8">
        <v>58.8</v>
      </c>
      <c r="L396" s="8">
        <v>0</v>
      </c>
      <c r="M396" s="8">
        <v>0</v>
      </c>
      <c r="N396" s="8">
        <v>0</v>
      </c>
      <c r="O396" s="8">
        <v>11</v>
      </c>
      <c r="P396" s="8">
        <v>25</v>
      </c>
      <c r="Q396" s="8">
        <v>40</v>
      </c>
      <c r="R396" s="9">
        <v>42</v>
      </c>
      <c r="S396" s="9">
        <v>115</v>
      </c>
      <c r="T396" s="9">
        <v>157</v>
      </c>
      <c r="U396" s="9">
        <v>31</v>
      </c>
      <c r="V396" s="9">
        <v>28</v>
      </c>
      <c r="W396" s="9">
        <v>17</v>
      </c>
      <c r="X396" s="9">
        <v>22</v>
      </c>
      <c r="Y396" s="9">
        <v>53</v>
      </c>
      <c r="Z396" s="8">
        <v>470</v>
      </c>
      <c r="AA396" s="8">
        <v>3</v>
      </c>
      <c r="AB396" s="8">
        <v>0</v>
      </c>
      <c r="AC396" s="7">
        <v>-3.6</v>
      </c>
      <c r="AD396" s="7">
        <v>108.7</v>
      </c>
      <c r="AE396" s="7">
        <v>117.9</v>
      </c>
      <c r="AF396" s="7">
        <v>-9.1999999999999993</v>
      </c>
      <c r="AG396" s="7">
        <v>7.9</v>
      </c>
      <c r="AH396" s="7">
        <v>1.1499999999999999</v>
      </c>
      <c r="AI396" s="7">
        <v>16.899999999999999</v>
      </c>
      <c r="AJ396" s="7">
        <v>8</v>
      </c>
      <c r="AK396" s="7">
        <v>20.7</v>
      </c>
      <c r="AL396" s="7">
        <v>14.4</v>
      </c>
      <c r="AM396" s="7">
        <v>14.8</v>
      </c>
      <c r="AN396" s="7">
        <v>58.8</v>
      </c>
      <c r="AO396" s="7">
        <v>57.6</v>
      </c>
      <c r="AP396" s="7">
        <v>12.4</v>
      </c>
      <c r="AQ396" s="7">
        <v>100.23</v>
      </c>
      <c r="AR396" s="7">
        <v>8</v>
      </c>
      <c r="AS396" s="7">
        <v>1102</v>
      </c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1"/>
    </row>
    <row r="397" spans="1:70" ht="13">
      <c r="A397" s="13" t="s">
        <v>831</v>
      </c>
      <c r="B397" s="6" t="s">
        <v>832</v>
      </c>
      <c r="C397" s="7">
        <v>24</v>
      </c>
      <c r="D397" s="7">
        <v>14</v>
      </c>
      <c r="E397" s="7">
        <v>2</v>
      </c>
      <c r="F397" s="7">
        <v>12</v>
      </c>
      <c r="G397" s="7">
        <v>23.7</v>
      </c>
      <c r="H397" s="8">
        <v>141</v>
      </c>
      <c r="I397" s="9">
        <v>53</v>
      </c>
      <c r="J397" s="9">
        <v>109</v>
      </c>
      <c r="K397" s="8">
        <v>48.6</v>
      </c>
      <c r="L397" s="9">
        <v>14</v>
      </c>
      <c r="M397" s="9">
        <v>43</v>
      </c>
      <c r="N397" s="8">
        <v>32.6</v>
      </c>
      <c r="O397" s="8">
        <v>22</v>
      </c>
      <c r="P397" s="8">
        <v>29</v>
      </c>
      <c r="Q397" s="8">
        <v>73.3</v>
      </c>
      <c r="R397" s="9">
        <v>13</v>
      </c>
      <c r="S397" s="9">
        <v>46</v>
      </c>
      <c r="T397" s="9">
        <v>57</v>
      </c>
      <c r="U397" s="9">
        <v>13</v>
      </c>
      <c r="V397" s="9">
        <v>13</v>
      </c>
      <c r="W397" s="9">
        <v>10</v>
      </c>
      <c r="X397" s="9">
        <v>10</v>
      </c>
      <c r="Y397" s="9">
        <v>29</v>
      </c>
      <c r="Z397" s="8">
        <v>279</v>
      </c>
      <c r="AA397" s="8">
        <v>1</v>
      </c>
      <c r="AB397" s="8">
        <v>0</v>
      </c>
      <c r="AC397" s="7">
        <v>-10.4</v>
      </c>
      <c r="AD397" s="7">
        <v>100.7</v>
      </c>
      <c r="AE397" s="7">
        <v>121.2</v>
      </c>
      <c r="AF397" s="7">
        <v>-20.5</v>
      </c>
      <c r="AG397" s="7">
        <v>6.2</v>
      </c>
      <c r="AH397" s="7">
        <v>1.08</v>
      </c>
      <c r="AI397" s="7">
        <v>8.8000000000000007</v>
      </c>
      <c r="AJ397" s="7">
        <v>3.4</v>
      </c>
      <c r="AK397" s="7">
        <v>13.6</v>
      </c>
      <c r="AL397" s="7">
        <v>8.4</v>
      </c>
      <c r="AM397" s="7">
        <v>8.1999999999999993</v>
      </c>
      <c r="AN397" s="7">
        <v>55</v>
      </c>
      <c r="AO397" s="7">
        <v>58.1</v>
      </c>
      <c r="AP397" s="7">
        <v>16.899999999999999</v>
      </c>
      <c r="AQ397" s="7">
        <v>101.63</v>
      </c>
      <c r="AR397" s="7">
        <v>7.9</v>
      </c>
      <c r="AS397" s="7">
        <v>702</v>
      </c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1"/>
    </row>
    <row r="398" spans="1:70" ht="13">
      <c r="A398" s="6" t="s">
        <v>833</v>
      </c>
      <c r="B398" s="6" t="s">
        <v>834</v>
      </c>
      <c r="C398" s="7">
        <v>22</v>
      </c>
      <c r="D398" s="7">
        <v>37</v>
      </c>
      <c r="E398" s="7">
        <v>30</v>
      </c>
      <c r="F398" s="7">
        <v>7</v>
      </c>
      <c r="G398" s="7">
        <v>10.9</v>
      </c>
      <c r="H398" s="8">
        <v>141</v>
      </c>
      <c r="I398" s="9">
        <v>56</v>
      </c>
      <c r="J398" s="9">
        <v>126</v>
      </c>
      <c r="K398" s="8">
        <v>43.2</v>
      </c>
      <c r="L398" s="9">
        <v>22</v>
      </c>
      <c r="M398" s="9">
        <v>70</v>
      </c>
      <c r="N398" s="8">
        <v>32.4</v>
      </c>
      <c r="O398" s="8">
        <v>11</v>
      </c>
      <c r="P398" s="8">
        <v>15</v>
      </c>
      <c r="Q398" s="8">
        <v>68.8</v>
      </c>
      <c r="R398" s="9">
        <v>19</v>
      </c>
      <c r="S398" s="9">
        <v>63</v>
      </c>
      <c r="T398" s="9">
        <v>81</v>
      </c>
      <c r="U398" s="9">
        <v>30</v>
      </c>
      <c r="V398" s="9">
        <v>19</v>
      </c>
      <c r="W398" s="9">
        <v>19</v>
      </c>
      <c r="X398" s="9">
        <v>7</v>
      </c>
      <c r="Y398" s="9">
        <v>33</v>
      </c>
      <c r="Z398" s="8">
        <v>340</v>
      </c>
      <c r="AA398" s="8">
        <v>0</v>
      </c>
      <c r="AB398" s="8">
        <v>0</v>
      </c>
      <c r="AC398" s="7">
        <v>1.2</v>
      </c>
      <c r="AD398" s="7">
        <v>104.3</v>
      </c>
      <c r="AE398" s="7">
        <v>99.2</v>
      </c>
      <c r="AF398" s="7">
        <v>5.0999999999999996</v>
      </c>
      <c r="AG398" s="7">
        <v>10.7</v>
      </c>
      <c r="AH398" s="7">
        <v>1.72</v>
      </c>
      <c r="AI398" s="7">
        <v>17.100000000000001</v>
      </c>
      <c r="AJ398" s="7">
        <v>4</v>
      </c>
      <c r="AK398" s="7">
        <v>14.2</v>
      </c>
      <c r="AL398" s="7">
        <v>9.1</v>
      </c>
      <c r="AM398" s="7">
        <v>9.9</v>
      </c>
      <c r="AN398" s="7">
        <v>52.4</v>
      </c>
      <c r="AO398" s="7">
        <v>53.8</v>
      </c>
      <c r="AP398" s="7">
        <v>15.2</v>
      </c>
      <c r="AQ398" s="7">
        <v>102.86</v>
      </c>
      <c r="AR398" s="7">
        <v>8.8000000000000007</v>
      </c>
      <c r="AS398" s="7">
        <v>868</v>
      </c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1"/>
    </row>
    <row r="399" spans="1:70" ht="13">
      <c r="A399" s="13" t="s">
        <v>835</v>
      </c>
      <c r="B399" s="6" t="s">
        <v>836</v>
      </c>
      <c r="C399" s="7">
        <v>24</v>
      </c>
      <c r="D399" s="7">
        <v>32</v>
      </c>
      <c r="E399" s="7">
        <v>21</v>
      </c>
      <c r="F399" s="7">
        <v>11</v>
      </c>
      <c r="G399" s="7">
        <v>10.6</v>
      </c>
      <c r="H399" s="8">
        <v>138</v>
      </c>
      <c r="I399" s="9">
        <v>54</v>
      </c>
      <c r="J399" s="9">
        <v>115</v>
      </c>
      <c r="K399" s="8">
        <v>48.2</v>
      </c>
      <c r="L399" s="9">
        <v>10</v>
      </c>
      <c r="M399" s="9">
        <v>32</v>
      </c>
      <c r="N399" s="8">
        <v>35.5</v>
      </c>
      <c r="O399" s="8">
        <v>16</v>
      </c>
      <c r="P399" s="8">
        <v>22</v>
      </c>
      <c r="Q399" s="8">
        <v>81</v>
      </c>
      <c r="R399" s="9">
        <v>10</v>
      </c>
      <c r="S399" s="9">
        <v>38</v>
      </c>
      <c r="T399" s="9">
        <v>48</v>
      </c>
      <c r="U399" s="9">
        <v>32</v>
      </c>
      <c r="V399" s="9">
        <v>16</v>
      </c>
      <c r="W399" s="9">
        <v>6</v>
      </c>
      <c r="X399" s="9">
        <v>6</v>
      </c>
      <c r="Y399" s="9">
        <v>26</v>
      </c>
      <c r="Z399" s="8">
        <v>262</v>
      </c>
      <c r="AA399" s="8">
        <v>1</v>
      </c>
      <c r="AB399" s="8">
        <v>0</v>
      </c>
      <c r="AC399" s="7">
        <v>0.3</v>
      </c>
      <c r="AD399" s="7">
        <v>107.8</v>
      </c>
      <c r="AE399" s="7">
        <v>107</v>
      </c>
      <c r="AF399" s="7">
        <v>0.8</v>
      </c>
      <c r="AG399" s="7">
        <v>13.9</v>
      </c>
      <c r="AH399" s="7">
        <v>2.13</v>
      </c>
      <c r="AI399" s="7">
        <v>18.8</v>
      </c>
      <c r="AJ399" s="7">
        <v>2.9</v>
      </c>
      <c r="AK399" s="7">
        <v>10</v>
      </c>
      <c r="AL399" s="7">
        <v>6.5</v>
      </c>
      <c r="AM399" s="7">
        <v>8.8000000000000007</v>
      </c>
      <c r="AN399" s="7">
        <v>53.1</v>
      </c>
      <c r="AO399" s="7">
        <v>56</v>
      </c>
      <c r="AP399" s="7">
        <v>16.600000000000001</v>
      </c>
      <c r="AQ399" s="7">
        <v>103.77</v>
      </c>
      <c r="AR399" s="7">
        <v>8.1999999999999993</v>
      </c>
      <c r="AS399" s="7">
        <v>735</v>
      </c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1"/>
    </row>
    <row r="400" spans="1:70" ht="13">
      <c r="A400" s="6" t="s">
        <v>837</v>
      </c>
      <c r="B400" s="6" t="s">
        <v>838</v>
      </c>
      <c r="C400" s="7">
        <v>27</v>
      </c>
      <c r="D400" s="7">
        <v>32</v>
      </c>
      <c r="E400" s="7">
        <v>19</v>
      </c>
      <c r="F400" s="7">
        <v>13</v>
      </c>
      <c r="G400" s="7">
        <v>12.9</v>
      </c>
      <c r="H400" s="8">
        <v>138</v>
      </c>
      <c r="I400" s="9">
        <v>51</v>
      </c>
      <c r="J400" s="9">
        <v>112</v>
      </c>
      <c r="K400" s="8">
        <v>46.4</v>
      </c>
      <c r="L400" s="9">
        <v>16</v>
      </c>
      <c r="M400" s="9">
        <v>54</v>
      </c>
      <c r="N400" s="8">
        <v>27.8</v>
      </c>
      <c r="O400" s="8">
        <v>19</v>
      </c>
      <c r="P400" s="8">
        <v>26</v>
      </c>
      <c r="Q400" s="8">
        <v>70.400000000000006</v>
      </c>
      <c r="R400" s="9">
        <v>32</v>
      </c>
      <c r="S400" s="9">
        <v>112</v>
      </c>
      <c r="T400" s="9">
        <v>144</v>
      </c>
      <c r="U400" s="9">
        <v>19</v>
      </c>
      <c r="V400" s="9">
        <v>19</v>
      </c>
      <c r="W400" s="9">
        <v>10</v>
      </c>
      <c r="X400" s="9">
        <v>32</v>
      </c>
      <c r="Y400" s="9">
        <v>58</v>
      </c>
      <c r="Z400" s="8">
        <v>438</v>
      </c>
      <c r="AA400" s="8">
        <v>0</v>
      </c>
      <c r="AB400" s="8">
        <v>0</v>
      </c>
      <c r="AC400" s="7">
        <v>-2.2999999999999998</v>
      </c>
      <c r="AD400" s="7">
        <v>103.5</v>
      </c>
      <c r="AE400" s="7">
        <v>112.5</v>
      </c>
      <c r="AF400" s="7">
        <v>-9</v>
      </c>
      <c r="AG400" s="7">
        <v>6.8</v>
      </c>
      <c r="AH400" s="7">
        <v>0.9</v>
      </c>
      <c r="AI400" s="7">
        <v>11.1</v>
      </c>
      <c r="AJ400" s="7">
        <v>7.9</v>
      </c>
      <c r="AK400" s="7">
        <v>26.8</v>
      </c>
      <c r="AL400" s="7">
        <v>17.5</v>
      </c>
      <c r="AM400" s="7">
        <v>12.3</v>
      </c>
      <c r="AN400" s="7">
        <v>53.1</v>
      </c>
      <c r="AO400" s="7">
        <v>55.7</v>
      </c>
      <c r="AP400" s="7">
        <v>15</v>
      </c>
      <c r="AQ400" s="7">
        <v>98.15</v>
      </c>
      <c r="AR400" s="7">
        <v>10</v>
      </c>
      <c r="AS400" s="7">
        <v>846</v>
      </c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1"/>
    </row>
    <row r="401" spans="1:70" ht="13">
      <c r="A401" s="6" t="s">
        <v>839</v>
      </c>
      <c r="B401" s="6" t="s">
        <v>840</v>
      </c>
      <c r="C401" s="7">
        <v>26</v>
      </c>
      <c r="D401" s="7">
        <v>39</v>
      </c>
      <c r="E401" s="7">
        <v>28</v>
      </c>
      <c r="F401" s="7">
        <v>11</v>
      </c>
      <c r="G401" s="7">
        <v>5.6</v>
      </c>
      <c r="H401" s="8">
        <v>137</v>
      </c>
      <c r="I401" s="9">
        <v>51</v>
      </c>
      <c r="J401" s="9">
        <v>105</v>
      </c>
      <c r="K401" s="8">
        <v>49.5</v>
      </c>
      <c r="L401" s="9">
        <v>12</v>
      </c>
      <c r="M401" s="9">
        <v>35</v>
      </c>
      <c r="N401" s="8">
        <v>27.8</v>
      </c>
      <c r="O401" s="8">
        <v>23</v>
      </c>
      <c r="P401" s="8">
        <v>35</v>
      </c>
      <c r="Q401" s="8">
        <v>68.599999999999994</v>
      </c>
      <c r="R401" s="9">
        <v>31</v>
      </c>
      <c r="S401" s="9">
        <v>23</v>
      </c>
      <c r="T401" s="9">
        <v>55</v>
      </c>
      <c r="U401" s="9">
        <v>12</v>
      </c>
      <c r="V401" s="9">
        <v>12</v>
      </c>
      <c r="W401" s="9">
        <v>8</v>
      </c>
      <c r="X401" s="9">
        <v>4</v>
      </c>
      <c r="Y401" s="9">
        <v>27</v>
      </c>
      <c r="Z401" s="8">
        <v>234</v>
      </c>
      <c r="AA401" s="8">
        <v>0</v>
      </c>
      <c r="AB401" s="8">
        <v>0</v>
      </c>
      <c r="AC401" s="7">
        <v>0</v>
      </c>
      <c r="AD401" s="7">
        <v>107.9</v>
      </c>
      <c r="AE401" s="7">
        <v>107.5</v>
      </c>
      <c r="AF401" s="7">
        <v>0.4</v>
      </c>
      <c r="AG401" s="7">
        <v>8.1999999999999993</v>
      </c>
      <c r="AH401" s="7">
        <v>0.92</v>
      </c>
      <c r="AI401" s="7">
        <v>7.6</v>
      </c>
      <c r="AJ401" s="7">
        <v>13.8</v>
      </c>
      <c r="AK401" s="7">
        <v>10.3</v>
      </c>
      <c r="AL401" s="7">
        <v>12.1</v>
      </c>
      <c r="AM401" s="7">
        <v>8.3000000000000007</v>
      </c>
      <c r="AN401" s="7">
        <v>54.3</v>
      </c>
      <c r="AO401" s="7">
        <v>57.3</v>
      </c>
      <c r="AP401" s="7">
        <v>24.1</v>
      </c>
      <c r="AQ401" s="7">
        <v>105.17</v>
      </c>
      <c r="AR401" s="7">
        <v>10.1</v>
      </c>
      <c r="AS401" s="7">
        <v>480</v>
      </c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1"/>
    </row>
    <row r="402" spans="1:70" ht="13">
      <c r="A402" s="6" t="s">
        <v>841</v>
      </c>
      <c r="B402" s="6" t="s">
        <v>842</v>
      </c>
      <c r="C402" s="7">
        <v>39</v>
      </c>
      <c r="D402" s="7">
        <v>35</v>
      </c>
      <c r="E402" s="7">
        <v>14</v>
      </c>
      <c r="F402" s="7">
        <v>21</v>
      </c>
      <c r="G402" s="7">
        <v>18.8</v>
      </c>
      <c r="H402" s="8">
        <v>137</v>
      </c>
      <c r="I402" s="9">
        <v>42</v>
      </c>
      <c r="J402" s="9">
        <v>116</v>
      </c>
      <c r="K402" s="8">
        <v>35</v>
      </c>
      <c r="L402" s="9">
        <v>28</v>
      </c>
      <c r="M402" s="9">
        <v>88</v>
      </c>
      <c r="N402" s="8">
        <v>33</v>
      </c>
      <c r="O402" s="8">
        <v>28</v>
      </c>
      <c r="P402" s="8">
        <v>32</v>
      </c>
      <c r="Q402" s="8">
        <v>81.8</v>
      </c>
      <c r="R402" s="9">
        <v>11</v>
      </c>
      <c r="S402" s="9">
        <v>56</v>
      </c>
      <c r="T402" s="9">
        <v>67</v>
      </c>
      <c r="U402" s="9">
        <v>95</v>
      </c>
      <c r="V402" s="9">
        <v>21</v>
      </c>
      <c r="W402" s="9">
        <v>32</v>
      </c>
      <c r="X402" s="9">
        <v>11</v>
      </c>
      <c r="Y402" s="9">
        <v>63</v>
      </c>
      <c r="Z402" s="8">
        <v>473</v>
      </c>
      <c r="AA402" s="8">
        <v>0</v>
      </c>
      <c r="AB402" s="8">
        <v>0</v>
      </c>
      <c r="AC402" s="7">
        <v>-2</v>
      </c>
      <c r="AD402" s="7">
        <v>103.8</v>
      </c>
      <c r="AE402" s="7">
        <v>109.6</v>
      </c>
      <c r="AF402" s="7">
        <v>-5.8</v>
      </c>
      <c r="AG402" s="7">
        <v>20.6</v>
      </c>
      <c r="AH402" s="7">
        <v>4.57</v>
      </c>
      <c r="AI402" s="7">
        <v>38.4</v>
      </c>
      <c r="AJ402" s="7">
        <v>1.6</v>
      </c>
      <c r="AK402" s="7">
        <v>8.6</v>
      </c>
      <c r="AL402" s="7">
        <v>5</v>
      </c>
      <c r="AM402" s="7">
        <v>8.4</v>
      </c>
      <c r="AN402" s="7">
        <v>47.4</v>
      </c>
      <c r="AO402" s="7">
        <v>52.5</v>
      </c>
      <c r="AP402" s="7">
        <v>10</v>
      </c>
      <c r="AQ402" s="7">
        <v>99.28</v>
      </c>
      <c r="AR402" s="7">
        <v>6.7</v>
      </c>
      <c r="AS402" s="7">
        <v>1368</v>
      </c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1"/>
    </row>
    <row r="403" spans="1:70" ht="13">
      <c r="A403" s="6" t="s">
        <v>843</v>
      </c>
      <c r="B403" s="6" t="s">
        <v>844</v>
      </c>
      <c r="C403" s="7">
        <v>23</v>
      </c>
      <c r="D403" s="7">
        <v>36</v>
      </c>
      <c r="E403" s="7">
        <v>18</v>
      </c>
      <c r="F403" s="7">
        <v>18</v>
      </c>
      <c r="G403" s="7">
        <v>11</v>
      </c>
      <c r="H403" s="8">
        <v>137</v>
      </c>
      <c r="I403" s="9">
        <v>47</v>
      </c>
      <c r="J403" s="9">
        <v>126</v>
      </c>
      <c r="K403" s="8">
        <v>37</v>
      </c>
      <c r="L403" s="9">
        <v>18</v>
      </c>
      <c r="M403" s="9">
        <v>61</v>
      </c>
      <c r="N403" s="8">
        <v>29.5</v>
      </c>
      <c r="O403" s="8">
        <v>25</v>
      </c>
      <c r="P403" s="8">
        <v>43</v>
      </c>
      <c r="Q403" s="8">
        <v>59.1</v>
      </c>
      <c r="R403" s="9">
        <v>18</v>
      </c>
      <c r="S403" s="9">
        <v>58</v>
      </c>
      <c r="T403" s="9">
        <v>76</v>
      </c>
      <c r="U403" s="9">
        <v>40</v>
      </c>
      <c r="V403" s="9">
        <v>18</v>
      </c>
      <c r="W403" s="9">
        <v>22</v>
      </c>
      <c r="X403" s="9">
        <v>4</v>
      </c>
      <c r="Y403" s="9">
        <v>40</v>
      </c>
      <c r="Z403" s="8">
        <v>349</v>
      </c>
      <c r="AA403" s="8">
        <v>0</v>
      </c>
      <c r="AB403" s="8">
        <v>0</v>
      </c>
      <c r="AC403" s="7">
        <v>1.2</v>
      </c>
      <c r="AD403" s="7">
        <v>113.1</v>
      </c>
      <c r="AE403" s="7">
        <v>109.3</v>
      </c>
      <c r="AF403" s="7">
        <v>3.9</v>
      </c>
      <c r="AG403" s="7">
        <v>13.9</v>
      </c>
      <c r="AH403" s="7">
        <v>2.2799999999999998</v>
      </c>
      <c r="AI403" s="7">
        <v>19.899999999999999</v>
      </c>
      <c r="AJ403" s="7">
        <v>4.4000000000000004</v>
      </c>
      <c r="AK403" s="7">
        <v>14.7</v>
      </c>
      <c r="AL403" s="7">
        <v>9.3000000000000007</v>
      </c>
      <c r="AM403" s="7">
        <v>8.6999999999999993</v>
      </c>
      <c r="AN403" s="7">
        <v>44.1</v>
      </c>
      <c r="AO403" s="7">
        <v>47.1</v>
      </c>
      <c r="AP403" s="7">
        <v>16.899999999999999</v>
      </c>
      <c r="AQ403" s="7">
        <v>100.14</v>
      </c>
      <c r="AR403" s="7">
        <v>7</v>
      </c>
      <c r="AS403" s="7">
        <v>831</v>
      </c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1"/>
    </row>
    <row r="404" spans="1:70" ht="13">
      <c r="A404" s="6" t="s">
        <v>845</v>
      </c>
      <c r="B404" s="6" t="s">
        <v>846</v>
      </c>
      <c r="C404" s="7">
        <v>26</v>
      </c>
      <c r="D404" s="7">
        <v>31</v>
      </c>
      <c r="E404" s="7">
        <v>7</v>
      </c>
      <c r="F404" s="7">
        <v>24</v>
      </c>
      <c r="G404" s="7">
        <v>8.6</v>
      </c>
      <c r="H404" s="8">
        <v>136</v>
      </c>
      <c r="I404" s="9">
        <v>56</v>
      </c>
      <c r="J404" s="9">
        <v>105</v>
      </c>
      <c r="K404" s="8">
        <v>51.9</v>
      </c>
      <c r="L404" s="9">
        <v>3</v>
      </c>
      <c r="M404" s="9">
        <v>19</v>
      </c>
      <c r="N404" s="8">
        <v>15.8</v>
      </c>
      <c r="O404" s="8">
        <v>22</v>
      </c>
      <c r="P404" s="8">
        <v>34</v>
      </c>
      <c r="Q404" s="8">
        <v>65.7</v>
      </c>
      <c r="R404" s="9">
        <v>37</v>
      </c>
      <c r="S404" s="9">
        <v>47</v>
      </c>
      <c r="T404" s="9">
        <v>84</v>
      </c>
      <c r="U404" s="9">
        <v>12</v>
      </c>
      <c r="V404" s="9">
        <v>12</v>
      </c>
      <c r="W404" s="9">
        <v>9</v>
      </c>
      <c r="X404" s="9">
        <v>9</v>
      </c>
      <c r="Y404" s="9">
        <v>19</v>
      </c>
      <c r="Z404" s="8">
        <v>291</v>
      </c>
      <c r="AA404" s="8">
        <v>1</v>
      </c>
      <c r="AB404" s="8">
        <v>0</v>
      </c>
      <c r="AC404" s="7">
        <v>-0.3</v>
      </c>
      <c r="AD404" s="7">
        <v>108.2</v>
      </c>
      <c r="AE404" s="7">
        <v>108.8</v>
      </c>
      <c r="AF404" s="7">
        <v>-0.6</v>
      </c>
      <c r="AG404" s="7">
        <v>6.3</v>
      </c>
      <c r="AH404" s="7">
        <v>0.92</v>
      </c>
      <c r="AI404" s="7">
        <v>7.6</v>
      </c>
      <c r="AJ404" s="7">
        <v>12.8</v>
      </c>
      <c r="AK404" s="7">
        <v>15.9</v>
      </c>
      <c r="AL404" s="7">
        <v>14.3</v>
      </c>
      <c r="AM404" s="7">
        <v>8.3000000000000007</v>
      </c>
      <c r="AN404" s="7">
        <v>53.3</v>
      </c>
      <c r="AO404" s="7">
        <v>56</v>
      </c>
      <c r="AP404" s="7">
        <v>20</v>
      </c>
      <c r="AQ404" s="7">
        <v>103.88</v>
      </c>
      <c r="AR404" s="7">
        <v>12.3</v>
      </c>
      <c r="AS404" s="7">
        <v>571</v>
      </c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1"/>
    </row>
    <row r="405" spans="1:70" ht="13">
      <c r="A405" s="6" t="s">
        <v>847</v>
      </c>
      <c r="B405" s="6" t="s">
        <v>848</v>
      </c>
      <c r="C405" s="7">
        <v>35</v>
      </c>
      <c r="D405" s="7">
        <v>31</v>
      </c>
      <c r="E405" s="7">
        <v>11</v>
      </c>
      <c r="F405" s="7">
        <v>20</v>
      </c>
      <c r="G405" s="7">
        <v>12.4</v>
      </c>
      <c r="H405" s="8">
        <v>136</v>
      </c>
      <c r="I405" s="9">
        <v>53</v>
      </c>
      <c r="J405" s="9">
        <v>133</v>
      </c>
      <c r="K405" s="8">
        <v>39.1</v>
      </c>
      <c r="L405" s="9">
        <v>25</v>
      </c>
      <c r="M405" s="9">
        <v>74</v>
      </c>
      <c r="N405" s="8">
        <v>33.799999999999997</v>
      </c>
      <c r="O405" s="8">
        <v>6</v>
      </c>
      <c r="P405" s="8">
        <v>9</v>
      </c>
      <c r="Q405" s="8">
        <v>77.8</v>
      </c>
      <c r="R405" s="9">
        <v>9</v>
      </c>
      <c r="S405" s="9">
        <v>34</v>
      </c>
      <c r="T405" s="9">
        <v>43</v>
      </c>
      <c r="U405" s="9">
        <v>47</v>
      </c>
      <c r="V405" s="9">
        <v>16</v>
      </c>
      <c r="W405" s="9">
        <v>16</v>
      </c>
      <c r="X405" s="9">
        <v>3</v>
      </c>
      <c r="Y405" s="9">
        <v>34</v>
      </c>
      <c r="Z405" s="8">
        <v>295</v>
      </c>
      <c r="AA405" s="8">
        <v>0</v>
      </c>
      <c r="AB405" s="8">
        <v>0</v>
      </c>
      <c r="AC405" s="7">
        <v>-0.6</v>
      </c>
      <c r="AD405" s="7">
        <v>108.3</v>
      </c>
      <c r="AE405" s="7">
        <v>111.8</v>
      </c>
      <c r="AF405" s="7">
        <v>-3.5</v>
      </c>
      <c r="AG405" s="7">
        <v>17.2</v>
      </c>
      <c r="AH405" s="7">
        <v>2.65</v>
      </c>
      <c r="AI405" s="7">
        <v>22.6</v>
      </c>
      <c r="AJ405" s="7">
        <v>2</v>
      </c>
      <c r="AK405" s="7">
        <v>9.3000000000000007</v>
      </c>
      <c r="AL405" s="7">
        <v>5.5</v>
      </c>
      <c r="AM405" s="7">
        <v>8.5</v>
      </c>
      <c r="AN405" s="7">
        <v>48.5</v>
      </c>
      <c r="AO405" s="7">
        <v>49.6</v>
      </c>
      <c r="AP405" s="7">
        <v>17</v>
      </c>
      <c r="AQ405" s="7">
        <v>98.88</v>
      </c>
      <c r="AR405" s="7">
        <v>6.7</v>
      </c>
      <c r="AS405" s="7">
        <v>795</v>
      </c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1"/>
    </row>
    <row r="406" spans="1:70" ht="13">
      <c r="A406" s="6" t="s">
        <v>849</v>
      </c>
      <c r="B406" s="6" t="s">
        <v>850</v>
      </c>
      <c r="C406" s="7">
        <v>24</v>
      </c>
      <c r="D406" s="7">
        <v>40</v>
      </c>
      <c r="E406" s="7">
        <v>19</v>
      </c>
      <c r="F406" s="7">
        <v>21</v>
      </c>
      <c r="G406" s="7">
        <v>7.6</v>
      </c>
      <c r="H406" s="8">
        <v>136</v>
      </c>
      <c r="I406" s="9">
        <v>56</v>
      </c>
      <c r="J406" s="9">
        <v>84</v>
      </c>
      <c r="K406" s="8">
        <v>65.099999999999994</v>
      </c>
      <c r="L406" s="9">
        <v>4</v>
      </c>
      <c r="M406" s="9">
        <v>8</v>
      </c>
      <c r="N406" s="8">
        <v>37.5</v>
      </c>
      <c r="O406" s="8">
        <v>24</v>
      </c>
      <c r="P406" s="8">
        <v>36</v>
      </c>
      <c r="Q406" s="8">
        <v>63.9</v>
      </c>
      <c r="R406" s="9">
        <v>24</v>
      </c>
      <c r="S406" s="9">
        <v>36</v>
      </c>
      <c r="T406" s="9">
        <v>56</v>
      </c>
      <c r="U406" s="9">
        <v>12</v>
      </c>
      <c r="V406" s="9">
        <v>16</v>
      </c>
      <c r="W406" s="9">
        <v>4</v>
      </c>
      <c r="X406" s="9">
        <v>12</v>
      </c>
      <c r="Y406" s="9">
        <v>32</v>
      </c>
      <c r="Z406" s="8">
        <v>248</v>
      </c>
      <c r="AA406" s="8">
        <v>0</v>
      </c>
      <c r="AB406" s="8">
        <v>0</v>
      </c>
      <c r="AC406" s="7">
        <v>-1.6</v>
      </c>
      <c r="AD406" s="7">
        <v>104.6</v>
      </c>
      <c r="AE406" s="7">
        <v>115.1</v>
      </c>
      <c r="AF406" s="7">
        <v>-10.5</v>
      </c>
      <c r="AG406" s="7">
        <v>5.7</v>
      </c>
      <c r="AH406" s="7">
        <v>0.75</v>
      </c>
      <c r="AI406" s="7">
        <v>9.5</v>
      </c>
      <c r="AJ406" s="7">
        <v>7.1</v>
      </c>
      <c r="AK406" s="7">
        <v>12</v>
      </c>
      <c r="AL406" s="7">
        <v>9.5</v>
      </c>
      <c r="AM406" s="7">
        <v>12.7</v>
      </c>
      <c r="AN406" s="7">
        <v>66.900000000000006</v>
      </c>
      <c r="AO406" s="7">
        <v>67.8</v>
      </c>
      <c r="AP406" s="7">
        <v>15.2</v>
      </c>
      <c r="AQ406" s="7">
        <v>102.68</v>
      </c>
      <c r="AR406" s="7">
        <v>8.6999999999999993</v>
      </c>
      <c r="AS406" s="7">
        <v>652</v>
      </c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1"/>
    </row>
    <row r="407" spans="1:70" ht="13">
      <c r="A407" s="6" t="s">
        <v>851</v>
      </c>
      <c r="B407" s="6" t="s">
        <v>852</v>
      </c>
      <c r="C407" s="7">
        <v>23</v>
      </c>
      <c r="D407" s="7">
        <v>54</v>
      </c>
      <c r="E407" s="7">
        <v>45</v>
      </c>
      <c r="F407" s="7">
        <v>9</v>
      </c>
      <c r="G407" s="7">
        <v>10.199999999999999</v>
      </c>
      <c r="H407" s="8">
        <v>135</v>
      </c>
      <c r="I407" s="9">
        <v>49</v>
      </c>
      <c r="J407" s="9">
        <v>135</v>
      </c>
      <c r="K407" s="8">
        <v>38.299999999999997</v>
      </c>
      <c r="L407" s="9">
        <v>16</v>
      </c>
      <c r="M407" s="9">
        <v>65</v>
      </c>
      <c r="N407" s="8">
        <v>25.4</v>
      </c>
      <c r="O407" s="8">
        <v>16</v>
      </c>
      <c r="P407" s="8">
        <v>27</v>
      </c>
      <c r="Q407" s="8">
        <v>60.7</v>
      </c>
      <c r="R407" s="9">
        <v>32</v>
      </c>
      <c r="S407" s="9">
        <v>92</v>
      </c>
      <c r="T407" s="9">
        <v>119</v>
      </c>
      <c r="U407" s="9">
        <v>59</v>
      </c>
      <c r="V407" s="9">
        <v>27</v>
      </c>
      <c r="W407" s="9">
        <v>16</v>
      </c>
      <c r="X407" s="9">
        <v>5</v>
      </c>
      <c r="Y407" s="9">
        <v>54</v>
      </c>
      <c r="Z407" s="8">
        <v>400</v>
      </c>
      <c r="AA407" s="8">
        <v>1</v>
      </c>
      <c r="AB407" s="8">
        <v>0</v>
      </c>
      <c r="AC407" s="7">
        <v>1.4</v>
      </c>
      <c r="AD407" s="7">
        <v>108.9</v>
      </c>
      <c r="AE407" s="7">
        <v>102.9</v>
      </c>
      <c r="AF407" s="7">
        <v>6</v>
      </c>
      <c r="AG407" s="7">
        <v>14.3</v>
      </c>
      <c r="AH407" s="7">
        <v>2.0699999999999998</v>
      </c>
      <c r="AI407" s="7">
        <v>25</v>
      </c>
      <c r="AJ407" s="7">
        <v>5</v>
      </c>
      <c r="AK407" s="7">
        <v>15.3</v>
      </c>
      <c r="AL407" s="7">
        <v>10.199999999999999</v>
      </c>
      <c r="AM407" s="7">
        <v>12.1</v>
      </c>
      <c r="AN407" s="7">
        <v>44.4</v>
      </c>
      <c r="AO407" s="7">
        <v>46.4</v>
      </c>
      <c r="AP407" s="7">
        <v>13.1</v>
      </c>
      <c r="AQ407" s="7">
        <v>101.09</v>
      </c>
      <c r="AR407" s="7">
        <v>6.6</v>
      </c>
      <c r="AS407" s="7">
        <v>1164</v>
      </c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1"/>
    </row>
    <row r="408" spans="1:70" ht="13">
      <c r="A408" s="6" t="s">
        <v>853</v>
      </c>
      <c r="B408" s="6" t="s">
        <v>854</v>
      </c>
      <c r="C408" s="7">
        <v>24</v>
      </c>
      <c r="D408" s="7">
        <v>51</v>
      </c>
      <c r="E408" s="7">
        <v>30</v>
      </c>
      <c r="F408" s="7">
        <v>21</v>
      </c>
      <c r="G408" s="7">
        <v>7.8</v>
      </c>
      <c r="H408" s="8">
        <v>133</v>
      </c>
      <c r="I408" s="9">
        <v>46</v>
      </c>
      <c r="J408" s="9">
        <v>122</v>
      </c>
      <c r="K408" s="8">
        <v>37.5</v>
      </c>
      <c r="L408" s="9">
        <v>26</v>
      </c>
      <c r="M408" s="9">
        <v>77</v>
      </c>
      <c r="N408" s="8">
        <v>31.1</v>
      </c>
      <c r="O408" s="8">
        <v>20</v>
      </c>
      <c r="P408" s="8">
        <v>26</v>
      </c>
      <c r="Q408" s="8">
        <v>75</v>
      </c>
      <c r="R408" s="9">
        <v>26</v>
      </c>
      <c r="S408" s="9">
        <v>51</v>
      </c>
      <c r="T408" s="9">
        <v>77</v>
      </c>
      <c r="U408" s="9">
        <v>20</v>
      </c>
      <c r="V408" s="9">
        <v>15</v>
      </c>
      <c r="W408" s="9">
        <v>10</v>
      </c>
      <c r="X408" s="9">
        <v>5</v>
      </c>
      <c r="Y408" s="9">
        <v>46</v>
      </c>
      <c r="Z408" s="8">
        <v>291</v>
      </c>
      <c r="AA408" s="8">
        <v>0</v>
      </c>
      <c r="AB408" s="8">
        <v>0</v>
      </c>
      <c r="AC408" s="7">
        <v>-1.9</v>
      </c>
      <c r="AD408" s="7">
        <v>98.5</v>
      </c>
      <c r="AE408" s="7">
        <v>108.7</v>
      </c>
      <c r="AF408" s="7">
        <v>-10.199999999999999</v>
      </c>
      <c r="AG408" s="7">
        <v>7.4</v>
      </c>
      <c r="AH408" s="7">
        <v>1.43</v>
      </c>
      <c r="AI408" s="7">
        <v>12</v>
      </c>
      <c r="AJ408" s="7">
        <v>5.5</v>
      </c>
      <c r="AK408" s="7">
        <v>12.4</v>
      </c>
      <c r="AL408" s="7">
        <v>8.8000000000000007</v>
      </c>
      <c r="AM408" s="7">
        <v>8.4</v>
      </c>
      <c r="AN408" s="7">
        <v>47.1</v>
      </c>
      <c r="AO408" s="7">
        <v>50.6</v>
      </c>
      <c r="AP408" s="7">
        <v>14.6</v>
      </c>
      <c r="AQ408" s="7">
        <v>104.6</v>
      </c>
      <c r="AR408" s="7">
        <v>5.7</v>
      </c>
      <c r="AS408" s="7">
        <v>867</v>
      </c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1"/>
    </row>
    <row r="409" spans="1:70" ht="13">
      <c r="A409" s="6" t="s">
        <v>855</v>
      </c>
      <c r="B409" s="6" t="s">
        <v>856</v>
      </c>
      <c r="C409" s="7">
        <v>32</v>
      </c>
      <c r="D409" s="7">
        <v>51</v>
      </c>
      <c r="E409" s="7">
        <v>7</v>
      </c>
      <c r="F409" s="7">
        <v>44</v>
      </c>
      <c r="G409" s="7">
        <v>7.8</v>
      </c>
      <c r="H409" s="8">
        <v>128</v>
      </c>
      <c r="I409" s="9">
        <v>41</v>
      </c>
      <c r="J409" s="9">
        <v>87</v>
      </c>
      <c r="K409" s="8">
        <v>48.9</v>
      </c>
      <c r="L409" s="9">
        <v>10</v>
      </c>
      <c r="M409" s="9">
        <v>31</v>
      </c>
      <c r="N409" s="8">
        <v>32.299999999999997</v>
      </c>
      <c r="O409" s="8">
        <v>31</v>
      </c>
      <c r="P409" s="8">
        <v>51</v>
      </c>
      <c r="Q409" s="8">
        <v>66</v>
      </c>
      <c r="R409" s="9">
        <v>20</v>
      </c>
      <c r="S409" s="9">
        <v>46</v>
      </c>
      <c r="T409" s="9">
        <v>66</v>
      </c>
      <c r="U409" s="9">
        <v>15</v>
      </c>
      <c r="V409" s="9">
        <v>10</v>
      </c>
      <c r="W409" s="9">
        <v>10</v>
      </c>
      <c r="X409" s="8">
        <v>0</v>
      </c>
      <c r="Y409" s="9">
        <v>31</v>
      </c>
      <c r="Z409" s="8">
        <v>255</v>
      </c>
      <c r="AA409" s="8">
        <v>0</v>
      </c>
      <c r="AB409" s="8">
        <v>0</v>
      </c>
      <c r="AC409" s="7">
        <v>-1.4</v>
      </c>
      <c r="AD409" s="7">
        <v>101.9</v>
      </c>
      <c r="AE409" s="7">
        <v>109.7</v>
      </c>
      <c r="AF409" s="7">
        <v>-7.8</v>
      </c>
      <c r="AG409" s="7">
        <v>5.9</v>
      </c>
      <c r="AH409" s="7">
        <v>1.6</v>
      </c>
      <c r="AI409" s="7">
        <v>11.9</v>
      </c>
      <c r="AJ409" s="7">
        <v>4.2</v>
      </c>
      <c r="AK409" s="7">
        <v>11.1</v>
      </c>
      <c r="AL409" s="7">
        <v>7.7</v>
      </c>
      <c r="AM409" s="7">
        <v>7.4</v>
      </c>
      <c r="AN409" s="7">
        <v>54.5</v>
      </c>
      <c r="AO409" s="7">
        <v>58.6</v>
      </c>
      <c r="AP409" s="7">
        <v>12.4</v>
      </c>
      <c r="AQ409" s="7">
        <v>101.23</v>
      </c>
      <c r="AR409" s="7">
        <v>7.1</v>
      </c>
      <c r="AS409" s="7">
        <v>835</v>
      </c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1"/>
    </row>
    <row r="410" spans="1:70" ht="13">
      <c r="A410" s="6" t="s">
        <v>857</v>
      </c>
      <c r="B410" s="6" t="s">
        <v>858</v>
      </c>
      <c r="C410" s="7">
        <v>33</v>
      </c>
      <c r="D410" s="7">
        <v>40</v>
      </c>
      <c r="E410" s="7">
        <v>22</v>
      </c>
      <c r="F410" s="7">
        <v>18</v>
      </c>
      <c r="G410" s="7">
        <v>15.9</v>
      </c>
      <c r="H410" s="8">
        <v>124</v>
      </c>
      <c r="I410" s="9">
        <v>44</v>
      </c>
      <c r="J410" s="9">
        <v>132</v>
      </c>
      <c r="K410" s="8">
        <v>34.4</v>
      </c>
      <c r="L410" s="9">
        <v>20</v>
      </c>
      <c r="M410" s="9">
        <v>72</v>
      </c>
      <c r="N410" s="8">
        <v>27.4</v>
      </c>
      <c r="O410" s="8">
        <v>16</v>
      </c>
      <c r="P410" s="8">
        <v>24</v>
      </c>
      <c r="Q410" s="8">
        <v>60</v>
      </c>
      <c r="R410" s="9">
        <v>28</v>
      </c>
      <c r="S410" s="9">
        <v>40</v>
      </c>
      <c r="T410" s="9">
        <v>68</v>
      </c>
      <c r="U410" s="9">
        <v>76</v>
      </c>
      <c r="V410" s="9">
        <v>24</v>
      </c>
      <c r="W410" s="9">
        <v>36</v>
      </c>
      <c r="X410" s="9">
        <v>12</v>
      </c>
      <c r="Y410" s="9">
        <v>24</v>
      </c>
      <c r="Z410" s="8">
        <v>440</v>
      </c>
      <c r="AA410" s="8">
        <v>0</v>
      </c>
      <c r="AB410" s="8">
        <v>0</v>
      </c>
      <c r="AC410" s="7">
        <v>0</v>
      </c>
      <c r="AD410" s="7">
        <v>106.1</v>
      </c>
      <c r="AE410" s="7">
        <v>106.3</v>
      </c>
      <c r="AF410" s="7">
        <v>-0.2</v>
      </c>
      <c r="AG410" s="7">
        <v>16.2</v>
      </c>
      <c r="AH410" s="7">
        <v>3.5</v>
      </c>
      <c r="AI410" s="7">
        <v>31.8</v>
      </c>
      <c r="AJ410" s="7">
        <v>4.2</v>
      </c>
      <c r="AK410" s="7">
        <v>6.1</v>
      </c>
      <c r="AL410" s="7">
        <v>5.0999999999999996</v>
      </c>
      <c r="AM410" s="7">
        <v>9.1</v>
      </c>
      <c r="AN410" s="7">
        <v>42</v>
      </c>
      <c r="AO410" s="7">
        <v>44</v>
      </c>
      <c r="AP410" s="7">
        <v>11.1</v>
      </c>
      <c r="AQ410" s="7">
        <v>98.84</v>
      </c>
      <c r="AR410" s="7">
        <v>6.1</v>
      </c>
      <c r="AS410" s="7">
        <v>1308</v>
      </c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1"/>
    </row>
    <row r="411" spans="1:70" ht="13">
      <c r="A411" s="6" t="s">
        <v>859</v>
      </c>
      <c r="B411" s="6" t="s">
        <v>860</v>
      </c>
      <c r="C411" s="7">
        <v>36</v>
      </c>
      <c r="D411" s="7">
        <v>23</v>
      </c>
      <c r="E411" s="7">
        <v>13</v>
      </c>
      <c r="F411" s="7">
        <v>10</v>
      </c>
      <c r="G411" s="7">
        <v>10.9</v>
      </c>
      <c r="H411" s="8">
        <v>122</v>
      </c>
      <c r="I411" s="9">
        <v>41</v>
      </c>
      <c r="J411" s="9">
        <v>115</v>
      </c>
      <c r="K411" s="8">
        <v>35.700000000000003</v>
      </c>
      <c r="L411" s="9">
        <v>23</v>
      </c>
      <c r="M411" s="9">
        <v>67</v>
      </c>
      <c r="N411" s="8">
        <v>35.799999999999997</v>
      </c>
      <c r="O411" s="8">
        <v>16</v>
      </c>
      <c r="P411" s="8">
        <v>23</v>
      </c>
      <c r="Q411" s="8">
        <v>69.599999999999994</v>
      </c>
      <c r="R411" s="9">
        <v>23</v>
      </c>
      <c r="S411" s="9">
        <v>71</v>
      </c>
      <c r="T411" s="9">
        <v>94</v>
      </c>
      <c r="U411" s="9">
        <v>23</v>
      </c>
      <c r="V411" s="9">
        <v>14</v>
      </c>
      <c r="W411" s="9">
        <v>16</v>
      </c>
      <c r="X411" s="9">
        <v>5</v>
      </c>
      <c r="Y411" s="9">
        <v>21</v>
      </c>
      <c r="Z411" s="8">
        <v>311</v>
      </c>
      <c r="AA411" s="8">
        <v>0</v>
      </c>
      <c r="AB411" s="8">
        <v>0</v>
      </c>
      <c r="AC411" s="7">
        <v>-1.1000000000000001</v>
      </c>
      <c r="AD411" s="7">
        <v>108.7</v>
      </c>
      <c r="AE411" s="7">
        <v>112.3</v>
      </c>
      <c r="AF411" s="7">
        <v>-3.6</v>
      </c>
      <c r="AG411" s="7">
        <v>13.4</v>
      </c>
      <c r="AH411" s="7">
        <v>1.57</v>
      </c>
      <c r="AI411" s="7">
        <v>13.6</v>
      </c>
      <c r="AJ411" s="7">
        <v>8</v>
      </c>
      <c r="AK411" s="7">
        <v>28.2</v>
      </c>
      <c r="AL411" s="7">
        <v>17.7</v>
      </c>
      <c r="AM411" s="7">
        <v>8.6</v>
      </c>
      <c r="AN411" s="7">
        <v>46.1</v>
      </c>
      <c r="AO411" s="7">
        <v>48.8</v>
      </c>
      <c r="AP411" s="7">
        <v>23</v>
      </c>
      <c r="AQ411" s="7">
        <v>103.56</v>
      </c>
      <c r="AR411" s="7">
        <v>10.9</v>
      </c>
      <c r="AS411" s="7">
        <v>540</v>
      </c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1"/>
    </row>
    <row r="412" spans="1:70" ht="13">
      <c r="A412" s="6" t="s">
        <v>861</v>
      </c>
      <c r="B412" s="6" t="s">
        <v>862</v>
      </c>
      <c r="C412" s="7">
        <v>25</v>
      </c>
      <c r="D412" s="7">
        <v>32</v>
      </c>
      <c r="E412" s="7">
        <v>29</v>
      </c>
      <c r="F412" s="7">
        <v>3</v>
      </c>
      <c r="G412" s="7">
        <v>7.7</v>
      </c>
      <c r="H412" s="8">
        <v>122</v>
      </c>
      <c r="I412" s="9">
        <v>42</v>
      </c>
      <c r="J412" s="9">
        <v>96</v>
      </c>
      <c r="K412" s="8">
        <v>44.3</v>
      </c>
      <c r="L412" s="9">
        <v>22</v>
      </c>
      <c r="M412" s="9">
        <v>67</v>
      </c>
      <c r="N412" s="8">
        <v>33.299999999999997</v>
      </c>
      <c r="O412" s="8">
        <v>13</v>
      </c>
      <c r="P412" s="8">
        <v>19</v>
      </c>
      <c r="Q412" s="8">
        <v>77.8</v>
      </c>
      <c r="R412" s="9">
        <v>16</v>
      </c>
      <c r="S412" s="9">
        <v>38</v>
      </c>
      <c r="T412" s="9">
        <v>54</v>
      </c>
      <c r="U412" s="9">
        <v>13</v>
      </c>
      <c r="V412" s="9">
        <v>6</v>
      </c>
      <c r="W412" s="9">
        <v>6</v>
      </c>
      <c r="X412" s="9">
        <v>22</v>
      </c>
      <c r="Y412" s="9">
        <v>22</v>
      </c>
      <c r="Z412" s="8">
        <v>278</v>
      </c>
      <c r="AA412" s="8">
        <v>1</v>
      </c>
      <c r="AB412" s="8">
        <v>0</v>
      </c>
      <c r="AC412" s="7">
        <v>1.3</v>
      </c>
      <c r="AD412" s="7">
        <v>115.1</v>
      </c>
      <c r="AE412" s="7">
        <v>105.8</v>
      </c>
      <c r="AF412" s="7">
        <v>9.4</v>
      </c>
      <c r="AG412" s="7">
        <v>7.7</v>
      </c>
      <c r="AH412" s="7">
        <v>2</v>
      </c>
      <c r="AI412" s="7">
        <v>11.1</v>
      </c>
      <c r="AJ412" s="7">
        <v>6.4</v>
      </c>
      <c r="AK412" s="7">
        <v>13.1</v>
      </c>
      <c r="AL412" s="7">
        <v>9.9</v>
      </c>
      <c r="AM412" s="7">
        <v>5.6</v>
      </c>
      <c r="AN412" s="7">
        <v>55.7</v>
      </c>
      <c r="AO412" s="7">
        <v>58.1</v>
      </c>
      <c r="AP412" s="7">
        <v>18.5</v>
      </c>
      <c r="AQ412" s="7">
        <v>103.83</v>
      </c>
      <c r="AR412" s="7">
        <v>10.1</v>
      </c>
      <c r="AS412" s="7">
        <v>529</v>
      </c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1"/>
    </row>
    <row r="413" spans="1:70" ht="13">
      <c r="A413" s="6" t="s">
        <v>863</v>
      </c>
      <c r="B413" s="6" t="s">
        <v>864</v>
      </c>
      <c r="C413" s="7">
        <v>25</v>
      </c>
      <c r="D413" s="7">
        <v>26</v>
      </c>
      <c r="E413" s="7">
        <v>15</v>
      </c>
      <c r="F413" s="7">
        <v>11</v>
      </c>
      <c r="G413" s="7">
        <v>16.600000000000001</v>
      </c>
      <c r="H413" s="8">
        <v>122</v>
      </c>
      <c r="I413" s="9">
        <v>47</v>
      </c>
      <c r="J413" s="9">
        <v>99</v>
      </c>
      <c r="K413" s="8">
        <v>46.9</v>
      </c>
      <c r="L413" s="9">
        <v>3</v>
      </c>
      <c r="M413" s="9">
        <v>16</v>
      </c>
      <c r="N413" s="8">
        <v>12.5</v>
      </c>
      <c r="O413" s="8">
        <v>29</v>
      </c>
      <c r="P413" s="8">
        <v>39</v>
      </c>
      <c r="Q413" s="8">
        <v>76.3</v>
      </c>
      <c r="R413" s="9">
        <v>52</v>
      </c>
      <c r="S413" s="9">
        <v>70</v>
      </c>
      <c r="T413" s="9">
        <v>122</v>
      </c>
      <c r="U413" s="9">
        <v>29</v>
      </c>
      <c r="V413" s="9">
        <v>23</v>
      </c>
      <c r="W413" s="9">
        <v>8</v>
      </c>
      <c r="X413" s="9">
        <v>10</v>
      </c>
      <c r="Y413" s="9">
        <v>52</v>
      </c>
      <c r="Z413" s="8">
        <v>343</v>
      </c>
      <c r="AA413" s="8">
        <v>0</v>
      </c>
      <c r="AB413" s="8">
        <v>0</v>
      </c>
      <c r="AC413" s="7">
        <v>-1.2</v>
      </c>
      <c r="AD413" s="7">
        <v>106.1</v>
      </c>
      <c r="AE413" s="7">
        <v>108.2</v>
      </c>
      <c r="AF413" s="7">
        <v>-2.1</v>
      </c>
      <c r="AG413" s="7">
        <v>9.1999999999999993</v>
      </c>
      <c r="AH413" s="7">
        <v>1.22</v>
      </c>
      <c r="AI413" s="7">
        <v>16.899999999999999</v>
      </c>
      <c r="AJ413" s="7">
        <v>10.4</v>
      </c>
      <c r="AK413" s="7">
        <v>14.3</v>
      </c>
      <c r="AL413" s="7">
        <v>12.3</v>
      </c>
      <c r="AM413" s="7">
        <v>13.9</v>
      </c>
      <c r="AN413" s="7">
        <v>48</v>
      </c>
      <c r="AO413" s="7">
        <v>53.6</v>
      </c>
      <c r="AP413" s="7">
        <v>12.5</v>
      </c>
      <c r="AQ413" s="7">
        <v>102.22</v>
      </c>
      <c r="AR413" s="7">
        <v>7.4</v>
      </c>
      <c r="AS413" s="7">
        <v>915</v>
      </c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1"/>
    </row>
    <row r="414" spans="1:70" ht="13">
      <c r="A414" s="6" t="s">
        <v>865</v>
      </c>
      <c r="B414" s="6" t="s">
        <v>866</v>
      </c>
      <c r="C414" s="7">
        <v>24</v>
      </c>
      <c r="D414" s="7">
        <v>20</v>
      </c>
      <c r="E414" s="7">
        <v>2</v>
      </c>
      <c r="F414" s="7">
        <v>18</v>
      </c>
      <c r="G414" s="7">
        <v>13.3</v>
      </c>
      <c r="H414" s="8">
        <v>120</v>
      </c>
      <c r="I414" s="9">
        <v>42</v>
      </c>
      <c r="J414" s="9">
        <v>106</v>
      </c>
      <c r="K414" s="8">
        <v>39</v>
      </c>
      <c r="L414" s="9">
        <v>14</v>
      </c>
      <c r="M414" s="9">
        <v>34</v>
      </c>
      <c r="N414" s="8">
        <v>39.4</v>
      </c>
      <c r="O414" s="8">
        <v>26</v>
      </c>
      <c r="P414" s="8">
        <v>34</v>
      </c>
      <c r="Q414" s="8">
        <v>73.5</v>
      </c>
      <c r="R414" s="9">
        <v>14</v>
      </c>
      <c r="S414" s="9">
        <v>18</v>
      </c>
      <c r="T414" s="9">
        <v>32</v>
      </c>
      <c r="U414" s="9">
        <v>28</v>
      </c>
      <c r="V414" s="9">
        <v>18</v>
      </c>
      <c r="W414" s="9">
        <v>12</v>
      </c>
      <c r="X414" s="8">
        <v>0</v>
      </c>
      <c r="Y414" s="9">
        <v>22</v>
      </c>
      <c r="Z414" s="8">
        <v>216</v>
      </c>
      <c r="AA414" s="8">
        <v>0</v>
      </c>
      <c r="AB414" s="8">
        <v>0</v>
      </c>
      <c r="AC414" s="7">
        <v>-0.3</v>
      </c>
      <c r="AD414" s="7">
        <v>100</v>
      </c>
      <c r="AE414" s="7">
        <v>102.6</v>
      </c>
      <c r="AF414" s="7">
        <v>-2.6</v>
      </c>
      <c r="AG414" s="7">
        <v>18.7</v>
      </c>
      <c r="AH414" s="7">
        <v>1.56</v>
      </c>
      <c r="AI414" s="7">
        <v>16.8</v>
      </c>
      <c r="AJ414" s="7">
        <v>5.0999999999999996</v>
      </c>
      <c r="AK414" s="7">
        <v>7.1</v>
      </c>
      <c r="AL414" s="7">
        <v>6</v>
      </c>
      <c r="AM414" s="7">
        <v>10.8</v>
      </c>
      <c r="AN414" s="7">
        <v>45.2</v>
      </c>
      <c r="AO414" s="7">
        <v>50</v>
      </c>
      <c r="AP414" s="7">
        <v>22</v>
      </c>
      <c r="AQ414" s="7">
        <v>98.35</v>
      </c>
      <c r="AR414" s="7">
        <v>7.7</v>
      </c>
      <c r="AS414" s="7">
        <v>548</v>
      </c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1"/>
    </row>
    <row r="415" spans="1:70" ht="13">
      <c r="A415" s="6" t="s">
        <v>867</v>
      </c>
      <c r="B415" s="6" t="s">
        <v>868</v>
      </c>
      <c r="C415" s="7">
        <v>22</v>
      </c>
      <c r="D415" s="7">
        <v>46</v>
      </c>
      <c r="E415" s="7">
        <v>32</v>
      </c>
      <c r="F415" s="7">
        <v>14</v>
      </c>
      <c r="G415" s="7">
        <v>6</v>
      </c>
      <c r="H415" s="8">
        <v>120</v>
      </c>
      <c r="I415" s="9">
        <v>46</v>
      </c>
      <c r="J415" s="9">
        <v>92</v>
      </c>
      <c r="K415" s="8">
        <v>48.9</v>
      </c>
      <c r="L415" s="9">
        <v>14</v>
      </c>
      <c r="M415" s="9">
        <v>41</v>
      </c>
      <c r="N415" s="8">
        <v>32.6</v>
      </c>
      <c r="O415" s="8">
        <v>18</v>
      </c>
      <c r="P415" s="8">
        <v>18</v>
      </c>
      <c r="Q415" s="8">
        <v>89.5</v>
      </c>
      <c r="R415" s="9">
        <v>14</v>
      </c>
      <c r="S415" s="9">
        <v>37</v>
      </c>
      <c r="T415" s="9">
        <v>46</v>
      </c>
      <c r="U415" s="9">
        <v>18</v>
      </c>
      <c r="V415" s="9">
        <v>9</v>
      </c>
      <c r="W415" s="9">
        <v>14</v>
      </c>
      <c r="X415" s="9">
        <v>14</v>
      </c>
      <c r="Y415" s="9">
        <v>32</v>
      </c>
      <c r="Z415" s="8">
        <v>271</v>
      </c>
      <c r="AA415" s="8">
        <v>0</v>
      </c>
      <c r="AB415" s="8">
        <v>0</v>
      </c>
      <c r="AC415" s="7">
        <v>-0.3</v>
      </c>
      <c r="AD415" s="7">
        <v>104</v>
      </c>
      <c r="AE415" s="7">
        <v>107</v>
      </c>
      <c r="AF415" s="7">
        <v>-3</v>
      </c>
      <c r="AG415" s="7">
        <v>9.6</v>
      </c>
      <c r="AH415" s="7">
        <v>1.64</v>
      </c>
      <c r="AI415" s="7">
        <v>14.2</v>
      </c>
      <c r="AJ415" s="7">
        <v>4.4000000000000004</v>
      </c>
      <c r="AK415" s="7">
        <v>11.5</v>
      </c>
      <c r="AL415" s="7">
        <v>8.1</v>
      </c>
      <c r="AM415" s="7">
        <v>8.6999999999999993</v>
      </c>
      <c r="AN415" s="7">
        <v>56.7</v>
      </c>
      <c r="AO415" s="7">
        <v>60.5</v>
      </c>
      <c r="AP415" s="7">
        <v>16</v>
      </c>
      <c r="AQ415" s="7">
        <v>104.77</v>
      </c>
      <c r="AR415" s="7">
        <v>9.5</v>
      </c>
      <c r="AS415" s="7">
        <v>604</v>
      </c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1"/>
    </row>
    <row r="416" spans="1:70" ht="13">
      <c r="A416" s="6" t="s">
        <v>869</v>
      </c>
      <c r="B416" s="6" t="s">
        <v>870</v>
      </c>
      <c r="C416" s="7">
        <v>25</v>
      </c>
      <c r="D416" s="7">
        <v>14</v>
      </c>
      <c r="E416" s="7">
        <v>8</v>
      </c>
      <c r="F416" s="7">
        <v>6</v>
      </c>
      <c r="G416" s="7">
        <v>16.2</v>
      </c>
      <c r="H416" s="8">
        <v>118</v>
      </c>
      <c r="I416" s="9">
        <v>42</v>
      </c>
      <c r="J416" s="9">
        <v>87</v>
      </c>
      <c r="K416" s="8">
        <v>48.3</v>
      </c>
      <c r="L416" s="9">
        <v>13</v>
      </c>
      <c r="M416" s="9">
        <v>39</v>
      </c>
      <c r="N416" s="8">
        <v>30.8</v>
      </c>
      <c r="O416" s="8">
        <v>22</v>
      </c>
      <c r="P416" s="8">
        <v>25</v>
      </c>
      <c r="Q416" s="8">
        <v>88</v>
      </c>
      <c r="R416" s="9">
        <v>14</v>
      </c>
      <c r="S416" s="9">
        <v>28</v>
      </c>
      <c r="T416" s="9">
        <v>42</v>
      </c>
      <c r="U416" s="9">
        <v>15</v>
      </c>
      <c r="V416" s="9">
        <v>8</v>
      </c>
      <c r="W416" s="9">
        <v>10</v>
      </c>
      <c r="X416" s="9">
        <v>1</v>
      </c>
      <c r="Y416" s="9">
        <v>20</v>
      </c>
      <c r="Z416" s="8">
        <v>220</v>
      </c>
      <c r="AA416" s="8">
        <v>1</v>
      </c>
      <c r="AB416" s="8">
        <v>0</v>
      </c>
      <c r="AC416" s="7">
        <v>4.5999999999999996</v>
      </c>
      <c r="AD416" s="7">
        <v>118.1</v>
      </c>
      <c r="AE416" s="7">
        <v>103.4</v>
      </c>
      <c r="AF416" s="7">
        <v>14.7</v>
      </c>
      <c r="AG416" s="7">
        <v>9.8000000000000007</v>
      </c>
      <c r="AH416" s="7">
        <v>1.78</v>
      </c>
      <c r="AI416" s="7">
        <v>12.9</v>
      </c>
      <c r="AJ416" s="7">
        <v>5.2</v>
      </c>
      <c r="AK416" s="7">
        <v>11.3</v>
      </c>
      <c r="AL416" s="7">
        <v>8.1999999999999993</v>
      </c>
      <c r="AM416" s="7">
        <v>7.3</v>
      </c>
      <c r="AN416" s="7">
        <v>55.2</v>
      </c>
      <c r="AO416" s="7">
        <v>60.2</v>
      </c>
      <c r="AP416" s="7">
        <v>18.3</v>
      </c>
      <c r="AQ416" s="7">
        <v>103.89</v>
      </c>
      <c r="AR416" s="7">
        <v>10.6</v>
      </c>
      <c r="AS416" s="7">
        <v>486</v>
      </c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1"/>
    </row>
    <row r="417" spans="1:70" ht="13">
      <c r="A417" s="6" t="s">
        <v>871</v>
      </c>
      <c r="B417" s="6" t="s">
        <v>872</v>
      </c>
      <c r="C417" s="7">
        <v>33</v>
      </c>
      <c r="D417" s="7">
        <v>55</v>
      </c>
      <c r="E417" s="7">
        <v>25</v>
      </c>
      <c r="F417" s="7">
        <v>30</v>
      </c>
      <c r="G417" s="7">
        <v>10</v>
      </c>
      <c r="H417" s="8">
        <v>116</v>
      </c>
      <c r="I417" s="9">
        <v>44</v>
      </c>
      <c r="J417" s="9">
        <v>61</v>
      </c>
      <c r="K417" s="8">
        <v>68.900000000000006</v>
      </c>
      <c r="L417" s="8">
        <v>0</v>
      </c>
      <c r="M417" s="9">
        <v>6</v>
      </c>
      <c r="N417" s="8">
        <v>40</v>
      </c>
      <c r="O417" s="8">
        <v>28</v>
      </c>
      <c r="P417" s="8">
        <v>44</v>
      </c>
      <c r="Q417" s="8">
        <v>65.099999999999994</v>
      </c>
      <c r="R417" s="9">
        <v>50</v>
      </c>
      <c r="S417" s="9">
        <v>72</v>
      </c>
      <c r="T417" s="9">
        <v>116</v>
      </c>
      <c r="U417" s="9">
        <v>55</v>
      </c>
      <c r="V417" s="9">
        <v>17</v>
      </c>
      <c r="W417" s="9">
        <v>17</v>
      </c>
      <c r="X417" s="9">
        <v>22</v>
      </c>
      <c r="Y417" s="9">
        <v>77</v>
      </c>
      <c r="Z417" s="8">
        <v>435</v>
      </c>
      <c r="AA417" s="8">
        <v>0</v>
      </c>
      <c r="AB417" s="8">
        <v>0</v>
      </c>
      <c r="AC417" s="7">
        <v>-0.3</v>
      </c>
      <c r="AD417" s="7">
        <v>108.6</v>
      </c>
      <c r="AE417" s="7">
        <v>109.7</v>
      </c>
      <c r="AF417" s="7">
        <v>-1.1000000000000001</v>
      </c>
      <c r="AG417" s="7">
        <v>13</v>
      </c>
      <c r="AH417" s="7">
        <v>3.06</v>
      </c>
      <c r="AI417" s="7">
        <v>36.200000000000003</v>
      </c>
      <c r="AJ417" s="7">
        <v>8.4</v>
      </c>
      <c r="AK417" s="7">
        <v>13.1</v>
      </c>
      <c r="AL417" s="7">
        <v>10.7</v>
      </c>
      <c r="AM417" s="7">
        <v>11.8</v>
      </c>
      <c r="AN417" s="7">
        <v>70.5</v>
      </c>
      <c r="AO417" s="7">
        <v>71.3</v>
      </c>
      <c r="AP417" s="7">
        <v>7.3</v>
      </c>
      <c r="AQ417" s="7">
        <v>102.17</v>
      </c>
      <c r="AR417" s="7">
        <v>7.3</v>
      </c>
      <c r="AS417" s="7">
        <v>1172</v>
      </c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1"/>
    </row>
    <row r="418" spans="1:70" ht="13">
      <c r="A418" s="6" t="s">
        <v>873</v>
      </c>
      <c r="B418" s="6" t="s">
        <v>874</v>
      </c>
      <c r="C418" s="7">
        <v>27</v>
      </c>
      <c r="D418" s="7">
        <v>20</v>
      </c>
      <c r="E418" s="7">
        <v>7</v>
      </c>
      <c r="F418" s="7">
        <v>13</v>
      </c>
      <c r="G418" s="7">
        <v>17.600000000000001</v>
      </c>
      <c r="H418" s="8">
        <v>116</v>
      </c>
      <c r="I418" s="9">
        <v>50</v>
      </c>
      <c r="J418" s="9">
        <v>78</v>
      </c>
      <c r="K418" s="8">
        <v>64.099999999999994</v>
      </c>
      <c r="L418" s="9">
        <v>2</v>
      </c>
      <c r="M418" s="9">
        <v>4</v>
      </c>
      <c r="N418" s="8">
        <v>33.299999999999997</v>
      </c>
      <c r="O418" s="8">
        <v>16</v>
      </c>
      <c r="P418" s="8">
        <v>18</v>
      </c>
      <c r="Q418" s="8">
        <v>88.2</v>
      </c>
      <c r="R418" s="9">
        <v>36</v>
      </c>
      <c r="S418" s="9">
        <v>84</v>
      </c>
      <c r="T418" s="9">
        <v>118</v>
      </c>
      <c r="U418" s="9">
        <v>22</v>
      </c>
      <c r="V418" s="9">
        <v>18</v>
      </c>
      <c r="W418" s="9">
        <v>14</v>
      </c>
      <c r="X418" s="9">
        <v>34</v>
      </c>
      <c r="Y418" s="9">
        <v>32</v>
      </c>
      <c r="Z418" s="8">
        <v>410</v>
      </c>
      <c r="AA418" s="8">
        <v>0</v>
      </c>
      <c r="AB418" s="8">
        <v>0</v>
      </c>
      <c r="AC418" s="7">
        <v>-0.9</v>
      </c>
      <c r="AD418" s="7">
        <v>106.3</v>
      </c>
      <c r="AE418" s="7">
        <v>108.3</v>
      </c>
      <c r="AF418" s="7">
        <v>-2</v>
      </c>
      <c r="AG418" s="7">
        <v>9</v>
      </c>
      <c r="AH418" s="7">
        <v>1.24</v>
      </c>
      <c r="AI418" s="7">
        <v>17.100000000000001</v>
      </c>
      <c r="AJ418" s="7">
        <v>9.6999999999999993</v>
      </c>
      <c r="AK418" s="7">
        <v>21.7</v>
      </c>
      <c r="AL418" s="7">
        <v>15.9</v>
      </c>
      <c r="AM418" s="7">
        <v>13.8</v>
      </c>
      <c r="AN418" s="7">
        <v>64.7</v>
      </c>
      <c r="AO418" s="7">
        <v>67.900000000000006</v>
      </c>
      <c r="AP418" s="7">
        <v>12</v>
      </c>
      <c r="AQ418" s="7">
        <v>100.69</v>
      </c>
      <c r="AR418" s="7">
        <v>13.7</v>
      </c>
      <c r="AS418" s="7">
        <v>736</v>
      </c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1"/>
    </row>
    <row r="419" spans="1:70" ht="13">
      <c r="A419" s="6" t="s">
        <v>875</v>
      </c>
      <c r="B419" s="6" t="s">
        <v>876</v>
      </c>
      <c r="C419" s="7">
        <v>22</v>
      </c>
      <c r="D419" s="7">
        <v>28</v>
      </c>
      <c r="E419" s="7">
        <v>9</v>
      </c>
      <c r="F419" s="7">
        <v>19</v>
      </c>
      <c r="G419" s="7">
        <v>11.7</v>
      </c>
      <c r="H419" s="8">
        <v>115</v>
      </c>
      <c r="I419" s="9">
        <v>45</v>
      </c>
      <c r="J419" s="9">
        <v>109</v>
      </c>
      <c r="K419" s="8">
        <v>41.7</v>
      </c>
      <c r="L419" s="9">
        <v>20</v>
      </c>
      <c r="M419" s="9">
        <v>50</v>
      </c>
      <c r="N419" s="8">
        <v>38</v>
      </c>
      <c r="O419" s="8">
        <v>8</v>
      </c>
      <c r="P419" s="8">
        <v>11</v>
      </c>
      <c r="Q419" s="8">
        <v>70</v>
      </c>
      <c r="R419" s="9">
        <v>17</v>
      </c>
      <c r="S419" s="9">
        <v>36</v>
      </c>
      <c r="T419" s="9">
        <v>56</v>
      </c>
      <c r="U419" s="9">
        <v>20</v>
      </c>
      <c r="V419" s="9">
        <v>14</v>
      </c>
      <c r="W419" s="9">
        <v>8</v>
      </c>
      <c r="X419" s="9">
        <v>8</v>
      </c>
      <c r="Y419" s="9">
        <v>28</v>
      </c>
      <c r="Z419" s="8">
        <v>244</v>
      </c>
      <c r="AA419" s="8">
        <v>0</v>
      </c>
      <c r="AB419" s="8">
        <v>0</v>
      </c>
      <c r="AC419" s="7">
        <v>-2.4</v>
      </c>
      <c r="AD419" s="7">
        <v>101.2</v>
      </c>
      <c r="AE419" s="7">
        <v>110.7</v>
      </c>
      <c r="AF419" s="7">
        <v>-9.6</v>
      </c>
      <c r="AG419" s="7">
        <v>9.1</v>
      </c>
      <c r="AH419" s="7">
        <v>1.36</v>
      </c>
      <c r="AI419" s="7">
        <v>13</v>
      </c>
      <c r="AJ419" s="7">
        <v>5.0999999999999996</v>
      </c>
      <c r="AK419" s="7">
        <v>11.8</v>
      </c>
      <c r="AL419" s="7">
        <v>8.1999999999999993</v>
      </c>
      <c r="AM419" s="7">
        <v>9.6</v>
      </c>
      <c r="AN419" s="7">
        <v>50.5</v>
      </c>
      <c r="AO419" s="7">
        <v>51.6</v>
      </c>
      <c r="AP419" s="7">
        <v>16.399999999999999</v>
      </c>
      <c r="AQ419" s="7">
        <v>99.39</v>
      </c>
      <c r="AR419" s="7">
        <v>6.6</v>
      </c>
      <c r="AS419" s="7">
        <v>677</v>
      </c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1"/>
    </row>
    <row r="420" spans="1:70" ht="13">
      <c r="A420" s="6" t="s">
        <v>877</v>
      </c>
      <c r="B420" s="6" t="s">
        <v>878</v>
      </c>
      <c r="C420" s="7">
        <v>20</v>
      </c>
      <c r="D420" s="7">
        <v>20</v>
      </c>
      <c r="E420" s="7">
        <v>6</v>
      </c>
      <c r="F420" s="7">
        <v>14</v>
      </c>
      <c r="G420" s="7">
        <v>12.3</v>
      </c>
      <c r="H420" s="8">
        <v>114</v>
      </c>
      <c r="I420" s="9">
        <v>40</v>
      </c>
      <c r="J420" s="9">
        <v>96</v>
      </c>
      <c r="K420" s="8">
        <v>40.6</v>
      </c>
      <c r="L420" s="9">
        <v>34</v>
      </c>
      <c r="M420" s="9">
        <v>74</v>
      </c>
      <c r="N420" s="8">
        <v>44.6</v>
      </c>
      <c r="O420" s="8">
        <v>4</v>
      </c>
      <c r="P420" s="8">
        <v>6</v>
      </c>
      <c r="Q420" s="8">
        <v>60</v>
      </c>
      <c r="R420" s="9">
        <v>4</v>
      </c>
      <c r="S420" s="9">
        <v>26</v>
      </c>
      <c r="T420" s="9">
        <v>30</v>
      </c>
      <c r="U420" s="9">
        <v>12</v>
      </c>
      <c r="V420" s="9">
        <v>16</v>
      </c>
      <c r="W420" s="9">
        <v>6</v>
      </c>
      <c r="X420" s="9">
        <v>2</v>
      </c>
      <c r="Y420" s="9">
        <v>22</v>
      </c>
      <c r="Z420" s="8">
        <v>172</v>
      </c>
      <c r="AA420" s="8">
        <v>0</v>
      </c>
      <c r="AB420" s="8">
        <v>0</v>
      </c>
      <c r="AC420" s="7">
        <v>-3.2</v>
      </c>
      <c r="AD420" s="7">
        <v>98.7</v>
      </c>
      <c r="AE420" s="7">
        <v>109.7</v>
      </c>
      <c r="AF420" s="7">
        <v>-11.1</v>
      </c>
      <c r="AG420" s="7">
        <v>7.8</v>
      </c>
      <c r="AH420" s="7">
        <v>0.8</v>
      </c>
      <c r="AI420" s="7">
        <v>9.6</v>
      </c>
      <c r="AJ420" s="7">
        <v>1.5</v>
      </c>
      <c r="AK420" s="7">
        <v>10.5</v>
      </c>
      <c r="AL420" s="7">
        <v>5.6</v>
      </c>
      <c r="AM420" s="7">
        <v>12</v>
      </c>
      <c r="AN420" s="7">
        <v>57.8</v>
      </c>
      <c r="AO420" s="7">
        <v>58</v>
      </c>
      <c r="AP420" s="7">
        <v>18.899999999999999</v>
      </c>
      <c r="AQ420" s="7">
        <v>103.67</v>
      </c>
      <c r="AR420" s="7">
        <v>6.5</v>
      </c>
      <c r="AS420" s="7">
        <v>529</v>
      </c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1"/>
    </row>
    <row r="421" spans="1:70" ht="13">
      <c r="A421" s="6" t="s">
        <v>879</v>
      </c>
      <c r="B421" s="6" t="s">
        <v>880</v>
      </c>
      <c r="C421" s="7">
        <v>28</v>
      </c>
      <c r="D421" s="7">
        <v>15</v>
      </c>
      <c r="E421" s="7">
        <v>8</v>
      </c>
      <c r="F421" s="7">
        <v>7</v>
      </c>
      <c r="G421" s="7">
        <v>20.8</v>
      </c>
      <c r="H421" s="8">
        <v>113</v>
      </c>
      <c r="I421" s="9">
        <v>42</v>
      </c>
      <c r="J421" s="9">
        <v>89</v>
      </c>
      <c r="K421" s="8">
        <v>47.7</v>
      </c>
      <c r="L421" s="9">
        <v>21</v>
      </c>
      <c r="M421" s="9">
        <v>48</v>
      </c>
      <c r="N421" s="8">
        <v>43.8</v>
      </c>
      <c r="O421" s="8">
        <v>8</v>
      </c>
      <c r="P421" s="8">
        <v>15</v>
      </c>
      <c r="Q421" s="8">
        <v>46.7</v>
      </c>
      <c r="R421" s="9">
        <v>14</v>
      </c>
      <c r="S421" s="9">
        <v>38</v>
      </c>
      <c r="T421" s="9">
        <v>53</v>
      </c>
      <c r="U421" s="9">
        <v>29</v>
      </c>
      <c r="V421" s="9">
        <v>14</v>
      </c>
      <c r="W421" s="9">
        <v>33</v>
      </c>
      <c r="X421" s="9">
        <v>9</v>
      </c>
      <c r="Y421" s="9">
        <v>14</v>
      </c>
      <c r="Z421" s="8">
        <v>330</v>
      </c>
      <c r="AA421" s="8">
        <v>0</v>
      </c>
      <c r="AB421" s="8">
        <v>0</v>
      </c>
      <c r="AC421" s="7">
        <v>0.1</v>
      </c>
      <c r="AD421" s="7">
        <v>105.3</v>
      </c>
      <c r="AE421" s="7">
        <v>105.1</v>
      </c>
      <c r="AF421" s="7">
        <v>0.2</v>
      </c>
      <c r="AG421" s="7">
        <v>12.6</v>
      </c>
      <c r="AH421" s="7">
        <v>2.15</v>
      </c>
      <c r="AI421" s="7">
        <v>20.7</v>
      </c>
      <c r="AJ421" s="7">
        <v>3.8</v>
      </c>
      <c r="AK421" s="7">
        <v>12.2</v>
      </c>
      <c r="AL421" s="7">
        <v>7.6</v>
      </c>
      <c r="AM421" s="7">
        <v>9.6</v>
      </c>
      <c r="AN421" s="7">
        <v>59.7</v>
      </c>
      <c r="AO421" s="7">
        <v>59.2</v>
      </c>
      <c r="AP421" s="7">
        <v>13.5</v>
      </c>
      <c r="AQ421" s="7">
        <v>102.37</v>
      </c>
      <c r="AR421" s="7">
        <v>11.4</v>
      </c>
      <c r="AS421" s="7">
        <v>666</v>
      </c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1"/>
    </row>
    <row r="422" spans="1:70" ht="13">
      <c r="A422" s="6" t="s">
        <v>881</v>
      </c>
      <c r="B422" s="6" t="s">
        <v>882</v>
      </c>
      <c r="C422" s="7">
        <v>24</v>
      </c>
      <c r="D422" s="7">
        <v>31</v>
      </c>
      <c r="E422" s="7">
        <v>27</v>
      </c>
      <c r="F422" s="7">
        <v>4</v>
      </c>
      <c r="G422" s="7">
        <v>12.4</v>
      </c>
      <c r="H422" s="8">
        <v>112</v>
      </c>
      <c r="I422" s="9">
        <v>40</v>
      </c>
      <c r="J422" s="9">
        <v>109</v>
      </c>
      <c r="K422" s="8">
        <v>35.5</v>
      </c>
      <c r="L422" s="9">
        <v>25</v>
      </c>
      <c r="M422" s="9">
        <v>81</v>
      </c>
      <c r="N422" s="8">
        <v>31.7</v>
      </c>
      <c r="O422" s="8">
        <v>9</v>
      </c>
      <c r="P422" s="8">
        <v>12</v>
      </c>
      <c r="Q422" s="8">
        <v>75</v>
      </c>
      <c r="R422" s="9">
        <v>19</v>
      </c>
      <c r="S422" s="9">
        <v>47</v>
      </c>
      <c r="T422" s="9">
        <v>65</v>
      </c>
      <c r="U422" s="9">
        <v>34</v>
      </c>
      <c r="V422" s="9">
        <v>12</v>
      </c>
      <c r="W422" s="9">
        <v>16</v>
      </c>
      <c r="X422" s="9">
        <v>3</v>
      </c>
      <c r="Y422" s="9">
        <v>22</v>
      </c>
      <c r="Z422" s="8">
        <v>285</v>
      </c>
      <c r="AA422" s="8">
        <v>0</v>
      </c>
      <c r="AB422" s="8">
        <v>0</v>
      </c>
      <c r="AC422" s="7">
        <v>0.9</v>
      </c>
      <c r="AD422" s="7">
        <v>109.9</v>
      </c>
      <c r="AE422" s="7">
        <v>105.8</v>
      </c>
      <c r="AF422" s="7">
        <v>4.0999999999999996</v>
      </c>
      <c r="AG422" s="7">
        <v>12</v>
      </c>
      <c r="AH422" s="7">
        <v>2.75</v>
      </c>
      <c r="AI422" s="7">
        <v>20.5</v>
      </c>
      <c r="AJ422" s="7">
        <v>4.8</v>
      </c>
      <c r="AK422" s="7">
        <v>11.7</v>
      </c>
      <c r="AL422" s="7">
        <v>8.3000000000000007</v>
      </c>
      <c r="AM422" s="7">
        <v>7.5</v>
      </c>
      <c r="AN422" s="7">
        <v>47.3</v>
      </c>
      <c r="AO422" s="7">
        <v>49</v>
      </c>
      <c r="AP422" s="7">
        <v>14.3</v>
      </c>
      <c r="AQ422" s="7">
        <v>95.28</v>
      </c>
      <c r="AR422" s="7">
        <v>7.4</v>
      </c>
      <c r="AS422" s="7">
        <v>761</v>
      </c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1"/>
    </row>
    <row r="423" spans="1:70" ht="13">
      <c r="A423" s="6" t="s">
        <v>883</v>
      </c>
      <c r="B423" s="6" t="s">
        <v>884</v>
      </c>
      <c r="C423" s="7">
        <v>24</v>
      </c>
      <c r="D423" s="7">
        <v>15</v>
      </c>
      <c r="E423" s="7">
        <v>1</v>
      </c>
      <c r="F423" s="7">
        <v>14</v>
      </c>
      <c r="G423" s="7">
        <v>24.7</v>
      </c>
      <c r="H423" s="8">
        <v>110</v>
      </c>
      <c r="I423" s="9">
        <v>42</v>
      </c>
      <c r="J423" s="9">
        <v>131</v>
      </c>
      <c r="K423" s="8">
        <v>32.299999999999997</v>
      </c>
      <c r="L423" s="9">
        <v>12</v>
      </c>
      <c r="M423" s="9">
        <v>56</v>
      </c>
      <c r="N423" s="8">
        <v>21.4</v>
      </c>
      <c r="O423" s="8">
        <v>14</v>
      </c>
      <c r="P423" s="8">
        <v>15</v>
      </c>
      <c r="Q423" s="8">
        <v>86.7</v>
      </c>
      <c r="R423" s="9">
        <v>14</v>
      </c>
      <c r="S423" s="9">
        <v>36</v>
      </c>
      <c r="T423" s="9">
        <v>50</v>
      </c>
      <c r="U423" s="9">
        <v>56</v>
      </c>
      <c r="V423" s="9">
        <v>32</v>
      </c>
      <c r="W423" s="9">
        <v>15</v>
      </c>
      <c r="X423" s="9">
        <v>2</v>
      </c>
      <c r="Y423" s="9">
        <v>23</v>
      </c>
      <c r="Z423" s="8">
        <v>273</v>
      </c>
      <c r="AA423" s="8">
        <v>0</v>
      </c>
      <c r="AB423" s="8">
        <v>0</v>
      </c>
      <c r="AC423" s="7">
        <v>-11.3</v>
      </c>
      <c r="AD423" s="7">
        <v>99.5</v>
      </c>
      <c r="AE423" s="7">
        <v>121.8</v>
      </c>
      <c r="AF423" s="7">
        <v>-22.3</v>
      </c>
      <c r="AG423" s="7">
        <v>23.5</v>
      </c>
      <c r="AH423" s="7">
        <v>1.81</v>
      </c>
      <c r="AI423" s="7">
        <v>25</v>
      </c>
      <c r="AJ423" s="7">
        <v>3.3</v>
      </c>
      <c r="AK423" s="7">
        <v>9.8000000000000007</v>
      </c>
      <c r="AL423" s="7">
        <v>6.4</v>
      </c>
      <c r="AM423" s="7">
        <v>13.8</v>
      </c>
      <c r="AN423" s="7">
        <v>36.9</v>
      </c>
      <c r="AO423" s="7">
        <v>39.9</v>
      </c>
      <c r="AP423" s="7">
        <v>18.600000000000001</v>
      </c>
      <c r="AQ423" s="7">
        <v>99.5</v>
      </c>
      <c r="AR423" s="7">
        <v>5.0999999999999996</v>
      </c>
      <c r="AS423" s="7">
        <v>769</v>
      </c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1"/>
    </row>
    <row r="424" spans="1:70" ht="13">
      <c r="A424" s="6" t="s">
        <v>885</v>
      </c>
      <c r="B424" s="6" t="s">
        <v>886</v>
      </c>
      <c r="C424" s="7">
        <v>36</v>
      </c>
      <c r="D424" s="7">
        <v>29</v>
      </c>
      <c r="E424" s="7">
        <v>12</v>
      </c>
      <c r="F424" s="7">
        <v>17</v>
      </c>
      <c r="G424" s="7">
        <v>11.1</v>
      </c>
      <c r="H424" s="8">
        <v>110</v>
      </c>
      <c r="I424" s="9">
        <v>35</v>
      </c>
      <c r="J424" s="9">
        <v>96</v>
      </c>
      <c r="K424" s="8">
        <v>37.5</v>
      </c>
      <c r="L424" s="9">
        <v>26</v>
      </c>
      <c r="M424" s="9">
        <v>75</v>
      </c>
      <c r="N424" s="8">
        <v>34.700000000000003</v>
      </c>
      <c r="O424" s="8">
        <v>12</v>
      </c>
      <c r="P424" s="8">
        <v>15</v>
      </c>
      <c r="Q424" s="8">
        <v>92.9</v>
      </c>
      <c r="R424" s="9">
        <v>3</v>
      </c>
      <c r="S424" s="9">
        <v>17</v>
      </c>
      <c r="T424" s="9">
        <v>23</v>
      </c>
      <c r="U424" s="9">
        <v>26</v>
      </c>
      <c r="V424" s="9">
        <v>17</v>
      </c>
      <c r="W424" s="9">
        <v>12</v>
      </c>
      <c r="X424" s="9">
        <v>3</v>
      </c>
      <c r="Y424" s="9">
        <v>23</v>
      </c>
      <c r="Z424" s="8">
        <v>209</v>
      </c>
      <c r="AA424" s="8">
        <v>0</v>
      </c>
      <c r="AB424" s="8">
        <v>0</v>
      </c>
      <c r="AC424" s="7">
        <v>-0.5</v>
      </c>
      <c r="AD424" s="7">
        <v>104.6</v>
      </c>
      <c r="AE424" s="7">
        <v>108</v>
      </c>
      <c r="AF424" s="7">
        <v>-3.4</v>
      </c>
      <c r="AG424" s="7">
        <v>12.3</v>
      </c>
      <c r="AH424" s="7">
        <v>1.53</v>
      </c>
      <c r="AI424" s="7">
        <v>18.100000000000001</v>
      </c>
      <c r="AJ424" s="7">
        <v>1.2</v>
      </c>
      <c r="AK424" s="7">
        <v>5.0999999999999996</v>
      </c>
      <c r="AL424" s="7">
        <v>3.2</v>
      </c>
      <c r="AM424" s="7">
        <v>11.8</v>
      </c>
      <c r="AN424" s="7">
        <v>51</v>
      </c>
      <c r="AO424" s="7">
        <v>54.3</v>
      </c>
      <c r="AP424" s="7">
        <v>15</v>
      </c>
      <c r="AQ424" s="7">
        <v>103.29</v>
      </c>
      <c r="AR424" s="7">
        <v>5.5</v>
      </c>
      <c r="AS424" s="7">
        <v>694</v>
      </c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1"/>
    </row>
    <row r="425" spans="1:70" ht="13">
      <c r="A425" s="6" t="s">
        <v>887</v>
      </c>
      <c r="B425" s="6" t="s">
        <v>888</v>
      </c>
      <c r="C425" s="7">
        <v>29</v>
      </c>
      <c r="D425" s="7">
        <v>46</v>
      </c>
      <c r="E425" s="7">
        <v>26</v>
      </c>
      <c r="F425" s="7">
        <v>20</v>
      </c>
      <c r="G425" s="7">
        <v>12.1</v>
      </c>
      <c r="H425" s="8">
        <v>110</v>
      </c>
      <c r="I425" s="9">
        <v>41</v>
      </c>
      <c r="J425" s="9">
        <v>92</v>
      </c>
      <c r="K425" s="8">
        <v>45.1</v>
      </c>
      <c r="L425" s="9">
        <v>23</v>
      </c>
      <c r="M425" s="9">
        <v>60</v>
      </c>
      <c r="N425" s="8">
        <v>37.1</v>
      </c>
      <c r="O425" s="8">
        <v>9</v>
      </c>
      <c r="P425" s="8">
        <v>9</v>
      </c>
      <c r="Q425" s="8">
        <v>87.5</v>
      </c>
      <c r="R425" s="9">
        <v>37</v>
      </c>
      <c r="S425" s="9">
        <v>115</v>
      </c>
      <c r="T425" s="9">
        <v>152</v>
      </c>
      <c r="U425" s="9">
        <v>41</v>
      </c>
      <c r="V425" s="9">
        <v>14</v>
      </c>
      <c r="W425" s="9">
        <v>32</v>
      </c>
      <c r="X425" s="9">
        <v>14</v>
      </c>
      <c r="Y425" s="9">
        <v>32</v>
      </c>
      <c r="Z425" s="8">
        <v>474</v>
      </c>
      <c r="AA425" s="8">
        <v>0</v>
      </c>
      <c r="AB425" s="8">
        <v>0</v>
      </c>
      <c r="AC425" s="7">
        <v>1.3</v>
      </c>
      <c r="AD425" s="7">
        <v>113.2</v>
      </c>
      <c r="AE425" s="7">
        <v>107.8</v>
      </c>
      <c r="AF425" s="7">
        <v>5.4</v>
      </c>
      <c r="AG425" s="7">
        <v>9.5</v>
      </c>
      <c r="AH425" s="7">
        <v>2.63</v>
      </c>
      <c r="AI425" s="7">
        <v>27.6</v>
      </c>
      <c r="AJ425" s="7">
        <v>6</v>
      </c>
      <c r="AK425" s="7">
        <v>18.7</v>
      </c>
      <c r="AL425" s="7">
        <v>12.3</v>
      </c>
      <c r="AM425" s="7">
        <v>10.5</v>
      </c>
      <c r="AN425" s="7">
        <v>57.7</v>
      </c>
      <c r="AO425" s="7">
        <v>59.2</v>
      </c>
      <c r="AP425" s="7">
        <v>7.7</v>
      </c>
      <c r="AQ425" s="7">
        <v>105.46</v>
      </c>
      <c r="AR425" s="7">
        <v>9.4</v>
      </c>
      <c r="AS425" s="7">
        <v>1223</v>
      </c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1"/>
    </row>
    <row r="426" spans="1:70" ht="13">
      <c r="A426" s="6" t="s">
        <v>889</v>
      </c>
      <c r="B426" s="6" t="s">
        <v>890</v>
      </c>
      <c r="C426" s="7">
        <v>24</v>
      </c>
      <c r="D426" s="7">
        <v>9</v>
      </c>
      <c r="E426" s="7">
        <v>3</v>
      </c>
      <c r="F426" s="7">
        <v>6</v>
      </c>
      <c r="G426" s="7">
        <v>28.2</v>
      </c>
      <c r="H426" s="8">
        <v>109</v>
      </c>
      <c r="I426" s="9">
        <v>45</v>
      </c>
      <c r="J426" s="9">
        <v>102</v>
      </c>
      <c r="K426" s="8">
        <v>44.1</v>
      </c>
      <c r="L426" s="9">
        <v>9</v>
      </c>
      <c r="M426" s="9">
        <v>35</v>
      </c>
      <c r="N426" s="8">
        <v>25.7</v>
      </c>
      <c r="O426" s="8">
        <v>10</v>
      </c>
      <c r="P426" s="8">
        <v>16</v>
      </c>
      <c r="Q426" s="8">
        <v>62.5</v>
      </c>
      <c r="R426" s="9">
        <v>17</v>
      </c>
      <c r="S426" s="9">
        <v>48</v>
      </c>
      <c r="T426" s="9">
        <v>65</v>
      </c>
      <c r="U426" s="9">
        <v>20</v>
      </c>
      <c r="V426" s="9">
        <v>15</v>
      </c>
      <c r="W426" s="9">
        <v>4</v>
      </c>
      <c r="X426" s="9">
        <v>1</v>
      </c>
      <c r="Y426" s="9">
        <v>21</v>
      </c>
      <c r="Z426" s="8">
        <v>217</v>
      </c>
      <c r="AA426" s="8">
        <v>3</v>
      </c>
      <c r="AB426" s="8">
        <v>0</v>
      </c>
      <c r="AC426" s="7">
        <v>-7.3</v>
      </c>
      <c r="AD426" s="7">
        <v>102.8</v>
      </c>
      <c r="AE426" s="7">
        <v>115.5</v>
      </c>
      <c r="AF426" s="7">
        <v>-12.6</v>
      </c>
      <c r="AG426" s="7">
        <v>13.7</v>
      </c>
      <c r="AH426" s="7">
        <v>1.33</v>
      </c>
      <c r="AI426" s="7">
        <v>14</v>
      </c>
      <c r="AJ426" s="7">
        <v>6</v>
      </c>
      <c r="AK426" s="7">
        <v>19.399999999999999</v>
      </c>
      <c r="AL426" s="7">
        <v>12.3</v>
      </c>
      <c r="AM426" s="7">
        <v>10.5</v>
      </c>
      <c r="AN426" s="7">
        <v>48.5</v>
      </c>
      <c r="AO426" s="7">
        <v>50</v>
      </c>
      <c r="AP426" s="7">
        <v>20.5</v>
      </c>
      <c r="AQ426" s="7">
        <v>100.3</v>
      </c>
      <c r="AR426" s="7">
        <v>8.6</v>
      </c>
      <c r="AS426" s="7">
        <v>531</v>
      </c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1"/>
    </row>
    <row r="427" spans="1:70" ht="13">
      <c r="A427" s="6" t="s">
        <v>891</v>
      </c>
      <c r="B427" s="6" t="s">
        <v>892</v>
      </c>
      <c r="C427" s="7">
        <v>34</v>
      </c>
      <c r="D427" s="7">
        <v>26</v>
      </c>
      <c r="E427" s="7">
        <v>16</v>
      </c>
      <c r="F427" s="7">
        <v>10</v>
      </c>
      <c r="G427" s="7">
        <v>12.1</v>
      </c>
      <c r="H427" s="8">
        <v>109</v>
      </c>
      <c r="I427" s="9">
        <v>39</v>
      </c>
      <c r="J427" s="9">
        <v>91</v>
      </c>
      <c r="K427" s="8">
        <v>42.2</v>
      </c>
      <c r="L427" s="9">
        <v>23</v>
      </c>
      <c r="M427" s="9">
        <v>65</v>
      </c>
      <c r="N427" s="8">
        <v>36.4</v>
      </c>
      <c r="O427" s="8">
        <v>8</v>
      </c>
      <c r="P427" s="8">
        <v>13</v>
      </c>
      <c r="Q427" s="8">
        <v>66.7</v>
      </c>
      <c r="R427" s="9">
        <v>26</v>
      </c>
      <c r="S427" s="9">
        <v>47</v>
      </c>
      <c r="T427" s="9">
        <v>73</v>
      </c>
      <c r="U427" s="9">
        <v>18</v>
      </c>
      <c r="V427" s="9">
        <v>8</v>
      </c>
      <c r="W427" s="9">
        <v>8</v>
      </c>
      <c r="X427" s="9">
        <v>13</v>
      </c>
      <c r="Y427" s="9">
        <v>34</v>
      </c>
      <c r="Z427" s="8">
        <v>273</v>
      </c>
      <c r="AA427" s="8">
        <v>0</v>
      </c>
      <c r="AB427" s="8">
        <v>0</v>
      </c>
      <c r="AC427" s="7">
        <v>-1.9</v>
      </c>
      <c r="AD427" s="7">
        <v>104.9</v>
      </c>
      <c r="AE427" s="7">
        <v>109.8</v>
      </c>
      <c r="AF427" s="7">
        <v>-5</v>
      </c>
      <c r="AG427" s="7">
        <v>7.8</v>
      </c>
      <c r="AH427" s="7">
        <v>2.13</v>
      </c>
      <c r="AI427" s="7">
        <v>14</v>
      </c>
      <c r="AJ427" s="7">
        <v>7.6</v>
      </c>
      <c r="AK427" s="7">
        <v>13.8</v>
      </c>
      <c r="AL427" s="7">
        <v>10.6</v>
      </c>
      <c r="AM427" s="7">
        <v>6.6</v>
      </c>
      <c r="AN427" s="7">
        <v>55.6</v>
      </c>
      <c r="AO427" s="7">
        <v>56.7</v>
      </c>
      <c r="AP427" s="7">
        <v>13.9</v>
      </c>
      <c r="AQ427" s="7">
        <v>98.16</v>
      </c>
      <c r="AR427" s="7">
        <v>8</v>
      </c>
      <c r="AS427" s="7">
        <v>634</v>
      </c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1"/>
    </row>
    <row r="428" spans="1:70" ht="13">
      <c r="A428" s="6" t="s">
        <v>893</v>
      </c>
      <c r="B428" s="6" t="s">
        <v>894</v>
      </c>
      <c r="C428" s="7">
        <v>22</v>
      </c>
      <c r="D428" s="7">
        <v>43</v>
      </c>
      <c r="E428" s="7">
        <v>22</v>
      </c>
      <c r="F428" s="7">
        <v>21</v>
      </c>
      <c r="G428" s="7">
        <v>8.5</v>
      </c>
      <c r="H428" s="8">
        <v>108</v>
      </c>
      <c r="I428" s="9">
        <v>34</v>
      </c>
      <c r="J428" s="9">
        <v>90</v>
      </c>
      <c r="K428" s="8">
        <v>38.9</v>
      </c>
      <c r="L428" s="9">
        <v>13</v>
      </c>
      <c r="M428" s="9">
        <v>47</v>
      </c>
      <c r="N428" s="8">
        <v>25</v>
      </c>
      <c r="O428" s="8">
        <v>26</v>
      </c>
      <c r="P428" s="8">
        <v>39</v>
      </c>
      <c r="Q428" s="8">
        <v>71.099999999999994</v>
      </c>
      <c r="R428" s="9">
        <v>17</v>
      </c>
      <c r="S428" s="9">
        <v>43</v>
      </c>
      <c r="T428" s="9">
        <v>56</v>
      </c>
      <c r="U428" s="9">
        <v>34</v>
      </c>
      <c r="V428" s="9">
        <v>17</v>
      </c>
      <c r="W428" s="9">
        <v>26</v>
      </c>
      <c r="X428" s="9">
        <v>4</v>
      </c>
      <c r="Y428" s="9">
        <v>43</v>
      </c>
      <c r="Z428" s="8">
        <v>297</v>
      </c>
      <c r="AA428" s="8">
        <v>0</v>
      </c>
      <c r="AB428" s="8">
        <v>0</v>
      </c>
      <c r="AC428" s="7">
        <v>-0.7</v>
      </c>
      <c r="AD428" s="7">
        <v>105.6</v>
      </c>
      <c r="AE428" s="7">
        <v>108.9</v>
      </c>
      <c r="AF428" s="7">
        <v>-3.3</v>
      </c>
      <c r="AG428" s="7">
        <v>13</v>
      </c>
      <c r="AH428" s="7">
        <v>2.06</v>
      </c>
      <c r="AI428" s="7">
        <v>21</v>
      </c>
      <c r="AJ428" s="7">
        <v>4.4000000000000004</v>
      </c>
      <c r="AK428" s="7">
        <v>10.7</v>
      </c>
      <c r="AL428" s="7">
        <v>7.6</v>
      </c>
      <c r="AM428" s="7">
        <v>10.199999999999999</v>
      </c>
      <c r="AN428" s="7">
        <v>45.6</v>
      </c>
      <c r="AO428" s="7">
        <v>51.1</v>
      </c>
      <c r="AP428" s="7">
        <v>13.9</v>
      </c>
      <c r="AQ428" s="7">
        <v>102.79</v>
      </c>
      <c r="AR428" s="7">
        <v>6.3</v>
      </c>
      <c r="AS428" s="7">
        <v>779</v>
      </c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1"/>
    </row>
    <row r="429" spans="1:70" ht="13">
      <c r="A429" s="6" t="s">
        <v>895</v>
      </c>
      <c r="B429" s="6" t="s">
        <v>896</v>
      </c>
      <c r="C429" s="7">
        <v>39</v>
      </c>
      <c r="D429" s="7">
        <v>37</v>
      </c>
      <c r="E429" s="7">
        <v>10</v>
      </c>
      <c r="F429" s="7">
        <v>27</v>
      </c>
      <c r="G429" s="7">
        <v>11.1</v>
      </c>
      <c r="H429" s="8">
        <v>107</v>
      </c>
      <c r="I429" s="9">
        <v>48</v>
      </c>
      <c r="J429" s="9">
        <v>96</v>
      </c>
      <c r="K429" s="8">
        <v>49.5</v>
      </c>
      <c r="L429" s="8">
        <v>0</v>
      </c>
      <c r="M429" s="9">
        <v>4</v>
      </c>
      <c r="N429" s="8">
        <v>50</v>
      </c>
      <c r="O429" s="8">
        <v>11</v>
      </c>
      <c r="P429" s="8">
        <v>19</v>
      </c>
      <c r="Q429" s="8">
        <v>60</v>
      </c>
      <c r="R429" s="9">
        <v>52</v>
      </c>
      <c r="S429" s="9">
        <v>70</v>
      </c>
      <c r="T429" s="9">
        <v>118</v>
      </c>
      <c r="U429" s="9">
        <v>22</v>
      </c>
      <c r="V429" s="9">
        <v>26</v>
      </c>
      <c r="W429" s="9">
        <v>7</v>
      </c>
      <c r="X429" s="9">
        <v>19</v>
      </c>
      <c r="Y429" s="9">
        <v>56</v>
      </c>
      <c r="Z429" s="8">
        <v>337</v>
      </c>
      <c r="AA429" s="8">
        <v>1</v>
      </c>
      <c r="AB429" s="8">
        <v>0</v>
      </c>
      <c r="AC429" s="7">
        <v>-3.4</v>
      </c>
      <c r="AD429" s="7">
        <v>96.6</v>
      </c>
      <c r="AE429" s="7">
        <v>110.4</v>
      </c>
      <c r="AF429" s="7">
        <v>-13.8</v>
      </c>
      <c r="AG429" s="7">
        <v>8.1</v>
      </c>
      <c r="AH429" s="7">
        <v>0.84</v>
      </c>
      <c r="AI429" s="7">
        <v>14</v>
      </c>
      <c r="AJ429" s="7">
        <v>11.4</v>
      </c>
      <c r="AK429" s="7">
        <v>15.1</v>
      </c>
      <c r="AL429" s="7">
        <v>13.3</v>
      </c>
      <c r="AM429" s="7">
        <v>16.7</v>
      </c>
      <c r="AN429" s="7">
        <v>50</v>
      </c>
      <c r="AO429" s="7">
        <v>51.5</v>
      </c>
      <c r="AP429" s="7">
        <v>13.2</v>
      </c>
      <c r="AQ429" s="7">
        <v>99.38</v>
      </c>
      <c r="AR429" s="7">
        <v>6.8</v>
      </c>
      <c r="AS429" s="7">
        <v>843</v>
      </c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1"/>
    </row>
    <row r="430" spans="1:70" ht="13">
      <c r="A430" s="6" t="s">
        <v>897</v>
      </c>
      <c r="B430" s="6" t="s">
        <v>898</v>
      </c>
      <c r="C430" s="7">
        <v>21</v>
      </c>
      <c r="D430" s="7">
        <v>15</v>
      </c>
      <c r="E430" s="7">
        <v>3</v>
      </c>
      <c r="F430" s="7">
        <v>12</v>
      </c>
      <c r="G430" s="7">
        <v>21</v>
      </c>
      <c r="H430" s="8">
        <v>107</v>
      </c>
      <c r="I430" s="9">
        <v>38</v>
      </c>
      <c r="J430" s="9">
        <v>98</v>
      </c>
      <c r="K430" s="8">
        <v>37.799999999999997</v>
      </c>
      <c r="L430" s="9">
        <v>14</v>
      </c>
      <c r="M430" s="9">
        <v>47</v>
      </c>
      <c r="N430" s="8">
        <v>30.4</v>
      </c>
      <c r="O430" s="8">
        <v>18</v>
      </c>
      <c r="P430" s="8">
        <v>21</v>
      </c>
      <c r="Q430" s="8">
        <v>85.7</v>
      </c>
      <c r="R430" s="9">
        <v>3</v>
      </c>
      <c r="S430" s="9">
        <v>24</v>
      </c>
      <c r="T430" s="9">
        <v>27</v>
      </c>
      <c r="U430" s="9">
        <v>38</v>
      </c>
      <c r="V430" s="9">
        <v>18</v>
      </c>
      <c r="W430" s="9">
        <v>5</v>
      </c>
      <c r="X430" s="9">
        <v>8</v>
      </c>
      <c r="Y430" s="9">
        <v>26</v>
      </c>
      <c r="Z430" s="8">
        <v>212</v>
      </c>
      <c r="AA430" s="8">
        <v>0</v>
      </c>
      <c r="AB430" s="8">
        <v>0</v>
      </c>
      <c r="AC430" s="7">
        <v>-6.4</v>
      </c>
      <c r="AD430" s="7">
        <v>107.2</v>
      </c>
      <c r="AE430" s="7">
        <v>123.5</v>
      </c>
      <c r="AF430" s="7">
        <v>-16.399999999999999</v>
      </c>
      <c r="AG430" s="7">
        <v>16.5</v>
      </c>
      <c r="AH430" s="7">
        <v>2.06</v>
      </c>
      <c r="AI430" s="7">
        <v>22.7</v>
      </c>
      <c r="AJ430" s="7">
        <v>0.9</v>
      </c>
      <c r="AK430" s="7">
        <v>7.7</v>
      </c>
      <c r="AL430" s="7">
        <v>4.0999999999999996</v>
      </c>
      <c r="AM430" s="7">
        <v>11</v>
      </c>
      <c r="AN430" s="7">
        <v>44.9</v>
      </c>
      <c r="AO430" s="7">
        <v>49.4</v>
      </c>
      <c r="AP430" s="7">
        <v>16.399999999999999</v>
      </c>
      <c r="AQ430" s="7">
        <v>101.36</v>
      </c>
      <c r="AR430" s="7">
        <v>4.9000000000000004</v>
      </c>
      <c r="AS430" s="7">
        <v>670</v>
      </c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1"/>
    </row>
    <row r="431" spans="1:70" ht="13">
      <c r="A431" s="6" t="s">
        <v>899</v>
      </c>
      <c r="B431" s="6" t="s">
        <v>900</v>
      </c>
      <c r="C431" s="7">
        <v>25</v>
      </c>
      <c r="D431" s="7">
        <v>33</v>
      </c>
      <c r="E431" s="7">
        <v>15</v>
      </c>
      <c r="F431" s="7">
        <v>18</v>
      </c>
      <c r="G431" s="7">
        <v>17.899999999999999</v>
      </c>
      <c r="H431" s="8">
        <v>106</v>
      </c>
      <c r="I431" s="9">
        <v>40</v>
      </c>
      <c r="J431" s="9">
        <v>92</v>
      </c>
      <c r="K431" s="8">
        <v>40.4</v>
      </c>
      <c r="L431" s="9">
        <v>13</v>
      </c>
      <c r="M431" s="9">
        <v>46</v>
      </c>
      <c r="N431" s="8">
        <v>27.7</v>
      </c>
      <c r="O431" s="8">
        <v>17</v>
      </c>
      <c r="P431" s="8">
        <v>26</v>
      </c>
      <c r="Q431" s="8">
        <v>61.5</v>
      </c>
      <c r="R431" s="9">
        <v>17</v>
      </c>
      <c r="S431" s="9">
        <v>50</v>
      </c>
      <c r="T431" s="9">
        <v>66</v>
      </c>
      <c r="U431" s="9">
        <v>23</v>
      </c>
      <c r="V431" s="9">
        <v>13</v>
      </c>
      <c r="W431" s="9">
        <v>33</v>
      </c>
      <c r="X431" s="9">
        <v>10</v>
      </c>
      <c r="Y431" s="9">
        <v>43</v>
      </c>
      <c r="Z431" s="8">
        <v>333</v>
      </c>
      <c r="AA431" s="8">
        <v>0</v>
      </c>
      <c r="AB431" s="8">
        <v>0</v>
      </c>
      <c r="AC431" s="7">
        <v>-2.8</v>
      </c>
      <c r="AD431" s="7">
        <v>107.6</v>
      </c>
      <c r="AE431" s="7">
        <v>115.9</v>
      </c>
      <c r="AF431" s="7">
        <v>-8.4</v>
      </c>
      <c r="AG431" s="7">
        <v>4.9000000000000004</v>
      </c>
      <c r="AH431" s="7">
        <v>1.83</v>
      </c>
      <c r="AI431" s="7">
        <v>15.8</v>
      </c>
      <c r="AJ431" s="7">
        <v>2.9</v>
      </c>
      <c r="AK431" s="7">
        <v>8.1</v>
      </c>
      <c r="AL431" s="7">
        <v>5.6</v>
      </c>
      <c r="AM431" s="7">
        <v>8.6</v>
      </c>
      <c r="AN431" s="7">
        <v>47.3</v>
      </c>
      <c r="AO431" s="7">
        <v>49.8</v>
      </c>
      <c r="AP431" s="7">
        <v>8.4</v>
      </c>
      <c r="AQ431" s="7">
        <v>100.53</v>
      </c>
      <c r="AR431" s="7">
        <v>4</v>
      </c>
      <c r="AS431" s="7">
        <v>1240</v>
      </c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1"/>
    </row>
    <row r="432" spans="1:70" ht="13">
      <c r="A432" s="6" t="s">
        <v>901</v>
      </c>
      <c r="B432" s="6" t="s">
        <v>902</v>
      </c>
      <c r="C432" s="7">
        <v>25</v>
      </c>
      <c r="D432" s="7">
        <v>14</v>
      </c>
      <c r="E432" s="7">
        <v>3</v>
      </c>
      <c r="F432" s="7">
        <v>11</v>
      </c>
      <c r="G432" s="7">
        <v>18.2</v>
      </c>
      <c r="H432" s="8">
        <v>106</v>
      </c>
      <c r="I432" s="9">
        <v>42</v>
      </c>
      <c r="J432" s="9">
        <v>70</v>
      </c>
      <c r="K432" s="8">
        <v>60</v>
      </c>
      <c r="L432" s="8">
        <v>0</v>
      </c>
      <c r="M432" s="8">
        <v>0</v>
      </c>
      <c r="N432" s="8">
        <v>0</v>
      </c>
      <c r="O432" s="8">
        <v>22</v>
      </c>
      <c r="P432" s="8">
        <v>31</v>
      </c>
      <c r="Q432" s="8">
        <v>74.2</v>
      </c>
      <c r="R432" s="9">
        <v>46</v>
      </c>
      <c r="S432" s="9">
        <v>76</v>
      </c>
      <c r="T432" s="9">
        <v>122</v>
      </c>
      <c r="U432" s="9">
        <v>8</v>
      </c>
      <c r="V432" s="9">
        <v>10</v>
      </c>
      <c r="W432" s="9">
        <v>13</v>
      </c>
      <c r="X432" s="9">
        <v>1</v>
      </c>
      <c r="Y432" s="9">
        <v>24</v>
      </c>
      <c r="Z432" s="8">
        <v>300</v>
      </c>
      <c r="AA432" s="8">
        <v>4</v>
      </c>
      <c r="AB432" s="8">
        <v>0</v>
      </c>
      <c r="AC432" s="7">
        <v>-0.8</v>
      </c>
      <c r="AD432" s="7">
        <v>113.4</v>
      </c>
      <c r="AE432" s="7">
        <v>115.8</v>
      </c>
      <c r="AF432" s="7">
        <v>-2.5</v>
      </c>
      <c r="AG432" s="7">
        <v>5.0999999999999996</v>
      </c>
      <c r="AH432" s="7">
        <v>0.9</v>
      </c>
      <c r="AI432" s="7">
        <v>8.9</v>
      </c>
      <c r="AJ432" s="7">
        <v>16</v>
      </c>
      <c r="AK432" s="7">
        <v>28.6</v>
      </c>
      <c r="AL432" s="7">
        <v>22.1</v>
      </c>
      <c r="AM432" s="7">
        <v>9.9</v>
      </c>
      <c r="AN432" s="7">
        <v>60</v>
      </c>
      <c r="AO432" s="7">
        <v>64</v>
      </c>
      <c r="AP432" s="7">
        <v>14.4</v>
      </c>
      <c r="AQ432" s="7">
        <v>101.2</v>
      </c>
      <c r="AR432" s="7">
        <v>14</v>
      </c>
      <c r="AS432" s="7">
        <v>539</v>
      </c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1"/>
    </row>
    <row r="433" spans="1:70" ht="13">
      <c r="A433" s="6" t="s">
        <v>903</v>
      </c>
      <c r="B433" s="6" t="s">
        <v>904</v>
      </c>
      <c r="C433" s="7">
        <v>20</v>
      </c>
      <c r="D433" s="7">
        <v>50</v>
      </c>
      <c r="E433" s="7">
        <v>31</v>
      </c>
      <c r="F433" s="7">
        <v>19</v>
      </c>
      <c r="G433" s="7">
        <v>7.6</v>
      </c>
      <c r="H433" s="8">
        <v>105</v>
      </c>
      <c r="I433" s="9">
        <v>35</v>
      </c>
      <c r="J433" s="9">
        <v>90</v>
      </c>
      <c r="K433" s="8">
        <v>38</v>
      </c>
      <c r="L433" s="9">
        <v>15</v>
      </c>
      <c r="M433" s="9">
        <v>50</v>
      </c>
      <c r="N433" s="8">
        <v>30</v>
      </c>
      <c r="O433" s="8">
        <v>20</v>
      </c>
      <c r="P433" s="8">
        <v>20</v>
      </c>
      <c r="Q433" s="8">
        <v>81.8</v>
      </c>
      <c r="R433" s="9">
        <v>25</v>
      </c>
      <c r="S433" s="9">
        <v>50</v>
      </c>
      <c r="T433" s="9">
        <v>70</v>
      </c>
      <c r="U433" s="9">
        <v>20</v>
      </c>
      <c r="V433" s="9">
        <v>10</v>
      </c>
      <c r="W433" s="9">
        <v>20</v>
      </c>
      <c r="X433" s="9">
        <v>10</v>
      </c>
      <c r="Y433" s="9">
        <v>40</v>
      </c>
      <c r="Z433" s="8">
        <v>290</v>
      </c>
      <c r="AA433" s="8">
        <v>0</v>
      </c>
      <c r="AB433" s="8">
        <v>0</v>
      </c>
      <c r="AC433" s="7">
        <v>0.4</v>
      </c>
      <c r="AD433" s="7">
        <v>106.1</v>
      </c>
      <c r="AE433" s="7">
        <v>105.4</v>
      </c>
      <c r="AF433" s="7">
        <v>0.6</v>
      </c>
      <c r="AG433" s="7">
        <v>6.3</v>
      </c>
      <c r="AH433" s="7">
        <v>1.58</v>
      </c>
      <c r="AI433" s="7">
        <v>14.4</v>
      </c>
      <c r="AJ433" s="7">
        <v>6</v>
      </c>
      <c r="AK433" s="7">
        <v>12.6</v>
      </c>
      <c r="AL433" s="7">
        <v>9.3000000000000007</v>
      </c>
      <c r="AM433" s="7">
        <v>9.1</v>
      </c>
      <c r="AN433" s="7">
        <v>46.2</v>
      </c>
      <c r="AO433" s="7">
        <v>50.6</v>
      </c>
      <c r="AP433" s="7">
        <v>11.8</v>
      </c>
      <c r="AQ433" s="7">
        <v>105.49</v>
      </c>
      <c r="AR433" s="7">
        <v>5.9</v>
      </c>
      <c r="AS433" s="7">
        <v>842</v>
      </c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1"/>
    </row>
    <row r="434" spans="1:70" ht="13">
      <c r="A434" s="6" t="s">
        <v>905</v>
      </c>
      <c r="B434" s="6" t="s">
        <v>906</v>
      </c>
      <c r="C434" s="7">
        <v>25</v>
      </c>
      <c r="D434" s="7">
        <v>25</v>
      </c>
      <c r="E434" s="7">
        <v>14</v>
      </c>
      <c r="F434" s="7">
        <v>11</v>
      </c>
      <c r="G434" s="7">
        <v>10.1</v>
      </c>
      <c r="H434" s="8">
        <v>105</v>
      </c>
      <c r="I434" s="9">
        <v>35</v>
      </c>
      <c r="J434" s="9">
        <v>83</v>
      </c>
      <c r="K434" s="8">
        <v>41.5</v>
      </c>
      <c r="L434" s="9">
        <v>20</v>
      </c>
      <c r="M434" s="9">
        <v>53</v>
      </c>
      <c r="N434" s="8">
        <v>36.5</v>
      </c>
      <c r="O434" s="8">
        <v>20</v>
      </c>
      <c r="P434" s="8">
        <v>20</v>
      </c>
      <c r="Q434" s="8">
        <v>100</v>
      </c>
      <c r="R434" s="9">
        <v>13</v>
      </c>
      <c r="S434" s="9">
        <v>18</v>
      </c>
      <c r="T434" s="9">
        <v>30</v>
      </c>
      <c r="U434" s="9">
        <v>35</v>
      </c>
      <c r="V434" s="9">
        <v>5</v>
      </c>
      <c r="W434" s="9">
        <v>10</v>
      </c>
      <c r="X434" s="8">
        <v>0</v>
      </c>
      <c r="Y434" s="9">
        <v>23</v>
      </c>
      <c r="Z434" s="8">
        <v>218</v>
      </c>
      <c r="AA434" s="8">
        <v>0</v>
      </c>
      <c r="AB434" s="8">
        <v>0</v>
      </c>
      <c r="AC434" s="7">
        <v>1.6</v>
      </c>
      <c r="AD434" s="7">
        <v>116.4</v>
      </c>
      <c r="AE434" s="7">
        <v>109.6</v>
      </c>
      <c r="AF434" s="7">
        <v>6.8</v>
      </c>
      <c r="AG434" s="7">
        <v>18.2</v>
      </c>
      <c r="AH434" s="7">
        <v>5.67</v>
      </c>
      <c r="AI434" s="7">
        <v>26.2</v>
      </c>
      <c r="AJ434" s="7">
        <v>4.3</v>
      </c>
      <c r="AK434" s="7">
        <v>7</v>
      </c>
      <c r="AL434" s="7">
        <v>5.6</v>
      </c>
      <c r="AM434" s="7">
        <v>4.5999999999999996</v>
      </c>
      <c r="AN434" s="7">
        <v>53</v>
      </c>
      <c r="AO434" s="7">
        <v>58.7</v>
      </c>
      <c r="AP434" s="7">
        <v>14.8</v>
      </c>
      <c r="AQ434" s="7">
        <v>103.04</v>
      </c>
      <c r="AR434" s="7">
        <v>8.6999999999999993</v>
      </c>
      <c r="AS434" s="7">
        <v>543</v>
      </c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1"/>
    </row>
    <row r="435" spans="1:70" ht="13">
      <c r="A435" s="6" t="s">
        <v>907</v>
      </c>
      <c r="B435" s="6" t="s">
        <v>908</v>
      </c>
      <c r="C435" s="7">
        <v>33</v>
      </c>
      <c r="D435" s="7">
        <v>34</v>
      </c>
      <c r="E435" s="7">
        <v>18</v>
      </c>
      <c r="F435" s="7">
        <v>16</v>
      </c>
      <c r="G435" s="7">
        <v>18.7</v>
      </c>
      <c r="H435" s="8">
        <v>102</v>
      </c>
      <c r="I435" s="9">
        <v>37</v>
      </c>
      <c r="J435" s="9">
        <v>95</v>
      </c>
      <c r="K435" s="8">
        <v>38.5</v>
      </c>
      <c r="L435" s="9">
        <v>14</v>
      </c>
      <c r="M435" s="9">
        <v>48</v>
      </c>
      <c r="N435" s="8">
        <v>26.5</v>
      </c>
      <c r="O435" s="8">
        <v>17</v>
      </c>
      <c r="P435" s="8">
        <v>20</v>
      </c>
      <c r="Q435" s="8">
        <v>76.2</v>
      </c>
      <c r="R435" s="9">
        <v>24</v>
      </c>
      <c r="S435" s="9">
        <v>71</v>
      </c>
      <c r="T435" s="9">
        <v>95</v>
      </c>
      <c r="U435" s="9">
        <v>44</v>
      </c>
      <c r="V435" s="9">
        <v>24</v>
      </c>
      <c r="W435" s="9">
        <v>10</v>
      </c>
      <c r="X435" s="9">
        <v>17</v>
      </c>
      <c r="Y435" s="9">
        <v>65</v>
      </c>
      <c r="Z435" s="8">
        <v>337</v>
      </c>
      <c r="AA435" s="8">
        <v>0</v>
      </c>
      <c r="AB435" s="8">
        <v>0</v>
      </c>
      <c r="AC435" s="7">
        <v>-0.5</v>
      </c>
      <c r="AD435" s="7">
        <v>111.9</v>
      </c>
      <c r="AE435" s="7">
        <v>112.3</v>
      </c>
      <c r="AF435" s="7">
        <v>-0.4</v>
      </c>
      <c r="AG435" s="7">
        <v>8.6999999999999993</v>
      </c>
      <c r="AH435" s="7">
        <v>1.87</v>
      </c>
      <c r="AI435" s="7">
        <v>25</v>
      </c>
      <c r="AJ435" s="7">
        <v>4</v>
      </c>
      <c r="AK435" s="7">
        <v>10.5</v>
      </c>
      <c r="AL435" s="7">
        <v>7.3</v>
      </c>
      <c r="AM435" s="7">
        <v>13.4</v>
      </c>
      <c r="AN435" s="7">
        <v>45.3</v>
      </c>
      <c r="AO435" s="7">
        <v>48.9</v>
      </c>
      <c r="AP435" s="7">
        <v>8.5</v>
      </c>
      <c r="AQ435" s="7">
        <v>101.75</v>
      </c>
      <c r="AR435" s="7">
        <v>3.5</v>
      </c>
      <c r="AS435" s="7">
        <v>1345</v>
      </c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1"/>
    </row>
    <row r="436" spans="1:70" ht="13">
      <c r="A436" s="6" t="s">
        <v>909</v>
      </c>
      <c r="B436" s="6" t="s">
        <v>910</v>
      </c>
      <c r="C436" s="7">
        <v>28</v>
      </c>
      <c r="D436" s="7">
        <v>39</v>
      </c>
      <c r="E436" s="7">
        <v>24</v>
      </c>
      <c r="F436" s="7">
        <v>15</v>
      </c>
      <c r="G436" s="7">
        <v>6.4</v>
      </c>
      <c r="H436" s="8">
        <v>98</v>
      </c>
      <c r="I436" s="9">
        <v>43</v>
      </c>
      <c r="J436" s="9">
        <v>101</v>
      </c>
      <c r="K436" s="8">
        <v>40.6</v>
      </c>
      <c r="L436" s="9">
        <v>4</v>
      </c>
      <c r="M436" s="9">
        <v>23</v>
      </c>
      <c r="N436" s="8">
        <v>22.7</v>
      </c>
      <c r="O436" s="8">
        <v>12</v>
      </c>
      <c r="P436" s="8">
        <v>16</v>
      </c>
      <c r="Q436" s="8">
        <v>73.3</v>
      </c>
      <c r="R436" s="9">
        <v>16</v>
      </c>
      <c r="S436" s="9">
        <v>31</v>
      </c>
      <c r="T436" s="9">
        <v>47</v>
      </c>
      <c r="U436" s="9">
        <v>47</v>
      </c>
      <c r="V436" s="9">
        <v>20</v>
      </c>
      <c r="W436" s="9">
        <v>16</v>
      </c>
      <c r="X436" s="9">
        <v>4</v>
      </c>
      <c r="Y436" s="9">
        <v>20</v>
      </c>
      <c r="Z436" s="8">
        <v>257</v>
      </c>
      <c r="AA436" s="8">
        <v>0</v>
      </c>
      <c r="AB436" s="8">
        <v>0</v>
      </c>
      <c r="AC436" s="7">
        <v>-0.4</v>
      </c>
      <c r="AD436" s="7">
        <v>105</v>
      </c>
      <c r="AE436" s="7">
        <v>107.8</v>
      </c>
      <c r="AF436" s="7">
        <v>-2.8</v>
      </c>
      <c r="AG436" s="7">
        <v>27.4</v>
      </c>
      <c r="AH436" s="7">
        <v>2.67</v>
      </c>
      <c r="AI436" s="7">
        <v>27.6</v>
      </c>
      <c r="AJ436" s="7">
        <v>5.5</v>
      </c>
      <c r="AK436" s="7">
        <v>13.1</v>
      </c>
      <c r="AL436" s="7">
        <v>9</v>
      </c>
      <c r="AM436" s="7">
        <v>10.3</v>
      </c>
      <c r="AN436" s="7">
        <v>43.1</v>
      </c>
      <c r="AO436" s="7">
        <v>45.5</v>
      </c>
      <c r="AP436" s="7">
        <v>20.399999999999999</v>
      </c>
      <c r="AQ436" s="7">
        <v>103.26</v>
      </c>
      <c r="AR436" s="7">
        <v>9.3000000000000007</v>
      </c>
      <c r="AS436" s="7">
        <v>536</v>
      </c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1"/>
    </row>
    <row r="437" spans="1:70" ht="13">
      <c r="A437" s="6" t="s">
        <v>911</v>
      </c>
      <c r="B437" s="6" t="s">
        <v>912</v>
      </c>
      <c r="C437" s="7">
        <v>29</v>
      </c>
      <c r="D437" s="7">
        <v>46</v>
      </c>
      <c r="E437" s="7">
        <v>17</v>
      </c>
      <c r="F437" s="7">
        <v>29</v>
      </c>
      <c r="G437" s="7">
        <v>6.8</v>
      </c>
      <c r="H437" s="8">
        <v>97</v>
      </c>
      <c r="I437" s="9">
        <v>32</v>
      </c>
      <c r="J437" s="9">
        <v>74</v>
      </c>
      <c r="K437" s="8">
        <v>43.1</v>
      </c>
      <c r="L437" s="9">
        <v>18</v>
      </c>
      <c r="M437" s="9">
        <v>46</v>
      </c>
      <c r="N437" s="8">
        <v>41.3</v>
      </c>
      <c r="O437" s="8">
        <v>18</v>
      </c>
      <c r="P437" s="8">
        <v>23</v>
      </c>
      <c r="Q437" s="8">
        <v>77.3</v>
      </c>
      <c r="R437" s="9">
        <v>5</v>
      </c>
      <c r="S437" s="9">
        <v>23</v>
      </c>
      <c r="T437" s="9">
        <v>32</v>
      </c>
      <c r="U437" s="9">
        <v>51</v>
      </c>
      <c r="V437" s="9">
        <v>14</v>
      </c>
      <c r="W437" s="9">
        <v>14</v>
      </c>
      <c r="X437" s="8">
        <v>0</v>
      </c>
      <c r="Y437" s="9">
        <v>18</v>
      </c>
      <c r="Z437" s="8">
        <v>244</v>
      </c>
      <c r="AA437" s="8">
        <v>0</v>
      </c>
      <c r="AB437" s="8">
        <v>0</v>
      </c>
      <c r="AC437" s="7">
        <v>1.2</v>
      </c>
      <c r="AD437" s="7">
        <v>118</v>
      </c>
      <c r="AE437" s="7">
        <v>108.9</v>
      </c>
      <c r="AF437" s="7">
        <v>9.1</v>
      </c>
      <c r="AG437" s="7">
        <v>20.8</v>
      </c>
      <c r="AH437" s="7">
        <v>3.19</v>
      </c>
      <c r="AI437" s="7">
        <v>34.200000000000003</v>
      </c>
      <c r="AJ437" s="7">
        <v>2.1</v>
      </c>
      <c r="AK437" s="7">
        <v>7.4</v>
      </c>
      <c r="AL437" s="7">
        <v>5</v>
      </c>
      <c r="AM437" s="7">
        <v>10.7</v>
      </c>
      <c r="AN437" s="7">
        <v>56.3</v>
      </c>
      <c r="AO437" s="7">
        <v>60</v>
      </c>
      <c r="AP437" s="7">
        <v>13.4</v>
      </c>
      <c r="AQ437" s="7">
        <v>99.58</v>
      </c>
      <c r="AR437" s="7">
        <v>8.3000000000000007</v>
      </c>
      <c r="AS437" s="7">
        <v>651</v>
      </c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1"/>
    </row>
    <row r="438" spans="1:70" ht="13">
      <c r="A438" s="6" t="s">
        <v>913</v>
      </c>
      <c r="B438" s="6" t="s">
        <v>914</v>
      </c>
      <c r="C438" s="7">
        <v>25</v>
      </c>
      <c r="D438" s="7">
        <v>38</v>
      </c>
      <c r="E438" s="7">
        <v>17</v>
      </c>
      <c r="F438" s="7">
        <v>21</v>
      </c>
      <c r="G438" s="7">
        <v>10.3</v>
      </c>
      <c r="H438" s="8">
        <v>95</v>
      </c>
      <c r="I438" s="9">
        <v>42</v>
      </c>
      <c r="J438" s="9">
        <v>72</v>
      </c>
      <c r="K438" s="8">
        <v>55.4</v>
      </c>
      <c r="L438" s="8">
        <v>0</v>
      </c>
      <c r="M438" s="8">
        <v>0</v>
      </c>
      <c r="N438" s="8">
        <v>0</v>
      </c>
      <c r="O438" s="8">
        <v>11</v>
      </c>
      <c r="P438" s="8">
        <v>34</v>
      </c>
      <c r="Q438" s="8">
        <v>39.4</v>
      </c>
      <c r="R438" s="9">
        <v>46</v>
      </c>
      <c r="S438" s="9">
        <v>61</v>
      </c>
      <c r="T438" s="9">
        <v>106</v>
      </c>
      <c r="U438" s="9">
        <v>15</v>
      </c>
      <c r="V438" s="9">
        <v>23</v>
      </c>
      <c r="W438" s="9">
        <v>8</v>
      </c>
      <c r="X438" s="9">
        <v>15</v>
      </c>
      <c r="Y438" s="9">
        <v>68</v>
      </c>
      <c r="Z438" s="8">
        <v>293</v>
      </c>
      <c r="AA438" s="8">
        <v>0</v>
      </c>
      <c r="AB438" s="8">
        <v>0</v>
      </c>
      <c r="AC438" s="7">
        <v>-0.5</v>
      </c>
      <c r="AD438" s="7">
        <v>105.6</v>
      </c>
      <c r="AE438" s="7">
        <v>107.8</v>
      </c>
      <c r="AF438" s="7">
        <v>-2.2000000000000002</v>
      </c>
      <c r="AG438" s="7">
        <v>5.8</v>
      </c>
      <c r="AH438" s="7">
        <v>0.67</v>
      </c>
      <c r="AI438" s="7">
        <v>12.3</v>
      </c>
      <c r="AJ438" s="7">
        <v>11.4</v>
      </c>
      <c r="AK438" s="7">
        <v>14.1</v>
      </c>
      <c r="AL438" s="7">
        <v>12.8</v>
      </c>
      <c r="AM438" s="7">
        <v>18.5</v>
      </c>
      <c r="AN438" s="7">
        <v>55.4</v>
      </c>
      <c r="AO438" s="7">
        <v>53.7</v>
      </c>
      <c r="AP438" s="7">
        <v>12.1</v>
      </c>
      <c r="AQ438" s="7">
        <v>99.06</v>
      </c>
      <c r="AR438" s="7">
        <v>4.4000000000000004</v>
      </c>
      <c r="AS438" s="7">
        <v>809</v>
      </c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1"/>
    </row>
    <row r="439" spans="1:70" ht="13">
      <c r="A439" s="6" t="s">
        <v>915</v>
      </c>
      <c r="B439" s="6" t="s">
        <v>916</v>
      </c>
      <c r="C439" s="7">
        <v>26</v>
      </c>
      <c r="D439" s="7">
        <v>53</v>
      </c>
      <c r="E439" s="7">
        <v>34</v>
      </c>
      <c r="F439" s="7">
        <v>19</v>
      </c>
      <c r="G439" s="7">
        <v>11.9</v>
      </c>
      <c r="H439" s="8">
        <v>95</v>
      </c>
      <c r="I439" s="9">
        <v>42</v>
      </c>
      <c r="J439" s="9">
        <v>69</v>
      </c>
      <c r="K439" s="8">
        <v>63.4</v>
      </c>
      <c r="L439" s="8">
        <v>0</v>
      </c>
      <c r="M439" s="8">
        <v>0</v>
      </c>
      <c r="N439" s="8">
        <v>0</v>
      </c>
      <c r="O439" s="8">
        <v>11</v>
      </c>
      <c r="P439" s="8">
        <v>11</v>
      </c>
      <c r="Q439" s="8">
        <v>61.5</v>
      </c>
      <c r="R439" s="9">
        <v>69</v>
      </c>
      <c r="S439" s="9">
        <v>127</v>
      </c>
      <c r="T439" s="9">
        <v>196</v>
      </c>
      <c r="U439" s="9">
        <v>32</v>
      </c>
      <c r="V439" s="9">
        <v>32</v>
      </c>
      <c r="W439" s="9">
        <v>11</v>
      </c>
      <c r="X439" s="9">
        <v>21</v>
      </c>
      <c r="Y439" s="9">
        <v>64</v>
      </c>
      <c r="Z439" s="8">
        <v>440</v>
      </c>
      <c r="AA439" s="8">
        <v>0</v>
      </c>
      <c r="AB439" s="8">
        <v>0</v>
      </c>
      <c r="AC439" s="7">
        <v>0.5</v>
      </c>
      <c r="AD439" s="7">
        <v>111.5</v>
      </c>
      <c r="AE439" s="7">
        <v>109.1</v>
      </c>
      <c r="AF439" s="7">
        <v>2.4</v>
      </c>
      <c r="AG439" s="7">
        <v>6.8</v>
      </c>
      <c r="AH439" s="7">
        <v>1</v>
      </c>
      <c r="AI439" s="7">
        <v>23.1</v>
      </c>
      <c r="AJ439" s="7">
        <v>11.4</v>
      </c>
      <c r="AK439" s="7">
        <v>19.600000000000001</v>
      </c>
      <c r="AL439" s="7">
        <v>15.6</v>
      </c>
      <c r="AM439" s="7">
        <v>23.1</v>
      </c>
      <c r="AN439" s="7">
        <v>63.4</v>
      </c>
      <c r="AO439" s="7">
        <v>63.9</v>
      </c>
      <c r="AP439" s="7">
        <v>7.4</v>
      </c>
      <c r="AQ439" s="7">
        <v>98.7</v>
      </c>
      <c r="AR439" s="7">
        <v>7</v>
      </c>
      <c r="AS439" s="7">
        <v>1295</v>
      </c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1"/>
    </row>
    <row r="440" spans="1:70" ht="13">
      <c r="A440" s="6" t="s">
        <v>917</v>
      </c>
      <c r="B440" s="6" t="s">
        <v>918</v>
      </c>
      <c r="C440" s="7">
        <v>23</v>
      </c>
      <c r="D440" s="7">
        <v>36</v>
      </c>
      <c r="E440" s="7">
        <v>13</v>
      </c>
      <c r="F440" s="7">
        <v>23</v>
      </c>
      <c r="G440" s="7">
        <v>13</v>
      </c>
      <c r="H440" s="8">
        <v>94</v>
      </c>
      <c r="I440" s="9">
        <v>36</v>
      </c>
      <c r="J440" s="9">
        <v>108</v>
      </c>
      <c r="K440" s="8">
        <v>32.700000000000003</v>
      </c>
      <c r="L440" s="9">
        <v>7</v>
      </c>
      <c r="M440" s="9">
        <v>40</v>
      </c>
      <c r="N440" s="8">
        <v>17.5</v>
      </c>
      <c r="O440" s="8">
        <v>14</v>
      </c>
      <c r="P440" s="8">
        <v>22</v>
      </c>
      <c r="Q440" s="8">
        <v>76.2</v>
      </c>
      <c r="R440" s="9">
        <v>14</v>
      </c>
      <c r="S440" s="9">
        <v>25</v>
      </c>
      <c r="T440" s="9">
        <v>40</v>
      </c>
      <c r="U440" s="9">
        <v>65</v>
      </c>
      <c r="V440" s="9">
        <v>22</v>
      </c>
      <c r="W440" s="9">
        <v>32</v>
      </c>
      <c r="X440" s="9">
        <v>4</v>
      </c>
      <c r="Y440" s="9">
        <v>36</v>
      </c>
      <c r="Z440" s="8">
        <v>317</v>
      </c>
      <c r="AA440" s="8">
        <v>0</v>
      </c>
      <c r="AB440" s="8">
        <v>0</v>
      </c>
      <c r="AC440" s="7">
        <v>-3.3</v>
      </c>
      <c r="AD440" s="7">
        <v>98.5</v>
      </c>
      <c r="AE440" s="7">
        <v>110.4</v>
      </c>
      <c r="AF440" s="7">
        <v>-12</v>
      </c>
      <c r="AG440" s="7">
        <v>20.5</v>
      </c>
      <c r="AH440" s="7">
        <v>3</v>
      </c>
      <c r="AI440" s="7">
        <v>31.3</v>
      </c>
      <c r="AJ440" s="7">
        <v>2.4</v>
      </c>
      <c r="AK440" s="7">
        <v>6.1</v>
      </c>
      <c r="AL440" s="7">
        <v>4.0999999999999996</v>
      </c>
      <c r="AM440" s="7">
        <v>10.4</v>
      </c>
      <c r="AN440" s="7">
        <v>36</v>
      </c>
      <c r="AO440" s="7">
        <v>40</v>
      </c>
      <c r="AP440" s="7">
        <v>12.2</v>
      </c>
      <c r="AQ440" s="7">
        <v>99.16</v>
      </c>
      <c r="AR440" s="7">
        <v>5.0999999999999996</v>
      </c>
      <c r="AS440" s="7">
        <v>969</v>
      </c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1"/>
    </row>
    <row r="441" spans="1:70" ht="13">
      <c r="A441" s="6" t="s">
        <v>919</v>
      </c>
      <c r="B441" s="6" t="s">
        <v>920</v>
      </c>
      <c r="C441" s="7">
        <v>24</v>
      </c>
      <c r="D441" s="7">
        <v>37</v>
      </c>
      <c r="E441" s="7">
        <v>23</v>
      </c>
      <c r="F441" s="7">
        <v>14</v>
      </c>
      <c r="G441" s="7">
        <v>9.1999999999999993</v>
      </c>
      <c r="H441" s="8">
        <v>89</v>
      </c>
      <c r="I441" s="9">
        <v>41</v>
      </c>
      <c r="J441" s="9">
        <v>67</v>
      </c>
      <c r="K441" s="8">
        <v>60.6</v>
      </c>
      <c r="L441" s="8">
        <v>0</v>
      </c>
      <c r="M441" s="9">
        <v>4</v>
      </c>
      <c r="N441" s="8">
        <v>0</v>
      </c>
      <c r="O441" s="8">
        <v>11</v>
      </c>
      <c r="P441" s="8">
        <v>15</v>
      </c>
      <c r="Q441" s="8">
        <v>71.400000000000006</v>
      </c>
      <c r="R441" s="9">
        <v>33</v>
      </c>
      <c r="S441" s="9">
        <v>56</v>
      </c>
      <c r="T441" s="9">
        <v>93</v>
      </c>
      <c r="U441" s="9">
        <v>15</v>
      </c>
      <c r="V441" s="9">
        <v>11</v>
      </c>
      <c r="W441" s="9">
        <v>7</v>
      </c>
      <c r="X441" s="9">
        <v>15</v>
      </c>
      <c r="Y441" s="9">
        <v>44</v>
      </c>
      <c r="Z441" s="8">
        <v>285</v>
      </c>
      <c r="AA441" s="8">
        <v>0</v>
      </c>
      <c r="AB441" s="8">
        <v>0</v>
      </c>
      <c r="AC441" s="7">
        <v>-0.2</v>
      </c>
      <c r="AD441" s="7">
        <v>104.7</v>
      </c>
      <c r="AE441" s="7">
        <v>106</v>
      </c>
      <c r="AF441" s="7">
        <v>-1.3</v>
      </c>
      <c r="AG441" s="7">
        <v>6.8</v>
      </c>
      <c r="AH441" s="7">
        <v>1.33</v>
      </c>
      <c r="AI441" s="7">
        <v>15.8</v>
      </c>
      <c r="AJ441" s="7">
        <v>9.5</v>
      </c>
      <c r="AK441" s="7">
        <v>16.5</v>
      </c>
      <c r="AL441" s="7">
        <v>12.9</v>
      </c>
      <c r="AM441" s="7">
        <v>11.9</v>
      </c>
      <c r="AN441" s="7">
        <v>60.6</v>
      </c>
      <c r="AO441" s="7">
        <v>62.4</v>
      </c>
      <c r="AP441" s="7">
        <v>10.4</v>
      </c>
      <c r="AQ441" s="7">
        <v>101.19</v>
      </c>
      <c r="AR441" s="7">
        <v>8.1999999999999993</v>
      </c>
      <c r="AS441" s="7">
        <v>721</v>
      </c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1"/>
    </row>
    <row r="442" spans="1:70" ht="13">
      <c r="A442" s="6" t="s">
        <v>921</v>
      </c>
      <c r="B442" s="6" t="s">
        <v>922</v>
      </c>
      <c r="C442" s="7">
        <v>27</v>
      </c>
      <c r="D442" s="7">
        <v>14</v>
      </c>
      <c r="E442" s="7">
        <v>8</v>
      </c>
      <c r="F442" s="7">
        <v>6</v>
      </c>
      <c r="G442" s="7">
        <v>19.2</v>
      </c>
      <c r="H442" s="8">
        <v>87</v>
      </c>
      <c r="I442" s="9">
        <v>31</v>
      </c>
      <c r="J442" s="9">
        <v>62</v>
      </c>
      <c r="K442" s="8">
        <v>50.8</v>
      </c>
      <c r="L442" s="9">
        <v>15</v>
      </c>
      <c r="M442" s="9">
        <v>29</v>
      </c>
      <c r="N442" s="8">
        <v>53.3</v>
      </c>
      <c r="O442" s="8">
        <v>8</v>
      </c>
      <c r="P442" s="8">
        <v>13</v>
      </c>
      <c r="Q442" s="8">
        <v>75</v>
      </c>
      <c r="R442" s="9">
        <v>13</v>
      </c>
      <c r="S442" s="9">
        <v>24</v>
      </c>
      <c r="T442" s="9">
        <v>36</v>
      </c>
      <c r="U442" s="9">
        <v>22</v>
      </c>
      <c r="V442" s="9">
        <v>17</v>
      </c>
      <c r="W442" s="9">
        <v>21</v>
      </c>
      <c r="X442" s="9">
        <v>6</v>
      </c>
      <c r="Y442" s="9">
        <v>29</v>
      </c>
      <c r="Z442" s="8">
        <v>228</v>
      </c>
      <c r="AA442" s="8">
        <v>0</v>
      </c>
      <c r="AB442" s="8">
        <v>0</v>
      </c>
      <c r="AC442" s="7">
        <v>2.7</v>
      </c>
      <c r="AD442" s="7">
        <v>107.3</v>
      </c>
      <c r="AE442" s="7">
        <v>100.5</v>
      </c>
      <c r="AF442" s="7">
        <v>6.8</v>
      </c>
      <c r="AG442" s="7">
        <v>12.8</v>
      </c>
      <c r="AH442" s="7">
        <v>1.35</v>
      </c>
      <c r="AI442" s="7">
        <v>21.5</v>
      </c>
      <c r="AJ442" s="7">
        <v>4.2</v>
      </c>
      <c r="AK442" s="7">
        <v>8.6</v>
      </c>
      <c r="AL442" s="7">
        <v>6.4</v>
      </c>
      <c r="AM442" s="7">
        <v>15.9</v>
      </c>
      <c r="AN442" s="7">
        <v>63.9</v>
      </c>
      <c r="AO442" s="7">
        <v>65.599999999999994</v>
      </c>
      <c r="AP442" s="7">
        <v>13.1</v>
      </c>
      <c r="AQ442" s="7">
        <v>100.58</v>
      </c>
      <c r="AR442" s="7">
        <v>8.1999999999999993</v>
      </c>
      <c r="AS442" s="7">
        <v>562</v>
      </c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1"/>
    </row>
    <row r="443" spans="1:70" ht="13">
      <c r="A443" s="6" t="s">
        <v>923</v>
      </c>
      <c r="B443" s="6" t="s">
        <v>924</v>
      </c>
      <c r="C443" s="7">
        <v>27</v>
      </c>
      <c r="D443" s="7">
        <v>17</v>
      </c>
      <c r="E443" s="7">
        <v>10</v>
      </c>
      <c r="F443" s="7">
        <v>7</v>
      </c>
      <c r="G443" s="7">
        <v>17.100000000000001</v>
      </c>
      <c r="H443" s="8">
        <v>87</v>
      </c>
      <c r="I443" s="9">
        <v>37</v>
      </c>
      <c r="J443" s="9">
        <v>56</v>
      </c>
      <c r="K443" s="8">
        <v>66.099999999999994</v>
      </c>
      <c r="L443" s="8">
        <v>0</v>
      </c>
      <c r="M443" s="8">
        <v>0</v>
      </c>
      <c r="N443" s="8">
        <v>0</v>
      </c>
      <c r="O443" s="8">
        <v>14</v>
      </c>
      <c r="P443" s="8">
        <v>19</v>
      </c>
      <c r="Q443" s="8">
        <v>68.400000000000006</v>
      </c>
      <c r="R443" s="9">
        <v>53</v>
      </c>
      <c r="S443" s="9">
        <v>49</v>
      </c>
      <c r="T443" s="9">
        <v>100</v>
      </c>
      <c r="U443" s="9">
        <v>14</v>
      </c>
      <c r="V443" s="9">
        <v>10</v>
      </c>
      <c r="W443" s="9">
        <v>15</v>
      </c>
      <c r="X443" s="9">
        <v>19</v>
      </c>
      <c r="Y443" s="9">
        <v>26</v>
      </c>
      <c r="Z443" s="8">
        <v>320</v>
      </c>
      <c r="AA443" s="8">
        <v>2</v>
      </c>
      <c r="AB443" s="8">
        <v>0</v>
      </c>
      <c r="AC443" s="7">
        <v>1.4</v>
      </c>
      <c r="AD443" s="7">
        <v>113.8</v>
      </c>
      <c r="AE443" s="7">
        <v>108.2</v>
      </c>
      <c r="AF443" s="7">
        <v>5.7</v>
      </c>
      <c r="AG443" s="7">
        <v>6.2</v>
      </c>
      <c r="AH443" s="7">
        <v>1.3</v>
      </c>
      <c r="AI443" s="7">
        <v>14.8</v>
      </c>
      <c r="AJ443" s="7">
        <v>17.399999999999999</v>
      </c>
      <c r="AK443" s="7">
        <v>17.600000000000001</v>
      </c>
      <c r="AL443" s="7">
        <v>17.5</v>
      </c>
      <c r="AM443" s="7">
        <v>11.4</v>
      </c>
      <c r="AN443" s="7">
        <v>66.099999999999994</v>
      </c>
      <c r="AO443" s="7">
        <v>67.599999999999994</v>
      </c>
      <c r="AP443" s="7">
        <v>10.9</v>
      </c>
      <c r="AQ443" s="7">
        <v>96.37</v>
      </c>
      <c r="AR443" s="7">
        <v>12.2</v>
      </c>
      <c r="AS443" s="7">
        <v>578</v>
      </c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1"/>
    </row>
    <row r="444" spans="1:70" ht="13">
      <c r="A444" s="6" t="s">
        <v>925</v>
      </c>
      <c r="B444" s="6" t="s">
        <v>926</v>
      </c>
      <c r="C444" s="7">
        <v>24</v>
      </c>
      <c r="D444" s="7">
        <v>13</v>
      </c>
      <c r="E444" s="7">
        <v>3</v>
      </c>
      <c r="F444" s="7">
        <v>10</v>
      </c>
      <c r="G444" s="7">
        <v>14.1</v>
      </c>
      <c r="H444" s="8">
        <v>86</v>
      </c>
      <c r="I444" s="9">
        <v>31</v>
      </c>
      <c r="J444" s="9">
        <v>78</v>
      </c>
      <c r="K444" s="8">
        <v>39.700000000000003</v>
      </c>
      <c r="L444" s="9">
        <v>13</v>
      </c>
      <c r="M444" s="9">
        <v>44</v>
      </c>
      <c r="N444" s="8">
        <v>29.5</v>
      </c>
      <c r="O444" s="8">
        <v>10</v>
      </c>
      <c r="P444" s="8">
        <v>13</v>
      </c>
      <c r="Q444" s="8">
        <v>84.6</v>
      </c>
      <c r="R444" s="9">
        <v>4</v>
      </c>
      <c r="S444" s="9">
        <v>16</v>
      </c>
      <c r="T444" s="9">
        <v>20</v>
      </c>
      <c r="U444" s="9">
        <v>23</v>
      </c>
      <c r="V444" s="9">
        <v>14</v>
      </c>
      <c r="W444" s="9">
        <v>3</v>
      </c>
      <c r="X444" s="9">
        <v>3</v>
      </c>
      <c r="Y444" s="9">
        <v>18</v>
      </c>
      <c r="Z444" s="8">
        <v>146</v>
      </c>
      <c r="AA444" s="8">
        <v>0</v>
      </c>
      <c r="AB444" s="8">
        <v>0</v>
      </c>
      <c r="AC444" s="7">
        <v>-2</v>
      </c>
      <c r="AD444" s="7">
        <v>104.5</v>
      </c>
      <c r="AE444" s="7">
        <v>110.4</v>
      </c>
      <c r="AF444" s="7">
        <v>-5.9</v>
      </c>
      <c r="AG444" s="7">
        <v>19.8</v>
      </c>
      <c r="AH444" s="7">
        <v>1.71</v>
      </c>
      <c r="AI444" s="7">
        <v>19.8</v>
      </c>
      <c r="AJ444" s="7">
        <v>2</v>
      </c>
      <c r="AK444" s="7">
        <v>7.6</v>
      </c>
      <c r="AL444" s="7">
        <v>4.8</v>
      </c>
      <c r="AM444" s="7">
        <v>11.6</v>
      </c>
      <c r="AN444" s="7">
        <v>48.1</v>
      </c>
      <c r="AO444" s="7">
        <v>51.4</v>
      </c>
      <c r="AP444" s="7">
        <v>21.3</v>
      </c>
      <c r="AQ444" s="7">
        <v>105.49</v>
      </c>
      <c r="AR444" s="7">
        <v>6.5</v>
      </c>
      <c r="AS444" s="7">
        <v>402</v>
      </c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1"/>
    </row>
    <row r="445" spans="1:70" ht="13">
      <c r="A445" s="6" t="s">
        <v>927</v>
      </c>
      <c r="B445" s="6" t="s">
        <v>928</v>
      </c>
      <c r="C445" s="7">
        <v>31</v>
      </c>
      <c r="D445" s="7">
        <v>24</v>
      </c>
      <c r="E445" s="7">
        <v>3</v>
      </c>
      <c r="F445" s="7">
        <v>21</v>
      </c>
      <c r="G445" s="7">
        <v>21.3</v>
      </c>
      <c r="H445" s="8">
        <v>84</v>
      </c>
      <c r="I445" s="9">
        <v>41</v>
      </c>
      <c r="J445" s="9">
        <v>122</v>
      </c>
      <c r="K445" s="8">
        <v>32.799999999999997</v>
      </c>
      <c r="L445" s="8">
        <v>0</v>
      </c>
      <c r="M445" s="9">
        <v>7</v>
      </c>
      <c r="N445" s="8">
        <v>16.7</v>
      </c>
      <c r="O445" s="8">
        <v>5</v>
      </c>
      <c r="P445" s="8">
        <v>7</v>
      </c>
      <c r="Q445" s="8">
        <v>57.1</v>
      </c>
      <c r="R445" s="9">
        <v>14</v>
      </c>
      <c r="S445" s="9">
        <v>65</v>
      </c>
      <c r="T445" s="9">
        <v>79</v>
      </c>
      <c r="U445" s="9">
        <v>166</v>
      </c>
      <c r="V445" s="9">
        <v>60</v>
      </c>
      <c r="W445" s="9">
        <v>24</v>
      </c>
      <c r="X445" s="9">
        <v>12</v>
      </c>
      <c r="Y445" s="9">
        <v>36</v>
      </c>
      <c r="Z445" s="8">
        <v>475</v>
      </c>
      <c r="AA445" s="8">
        <v>2</v>
      </c>
      <c r="AB445" s="8">
        <v>0</v>
      </c>
      <c r="AC445" s="7">
        <v>-6.2</v>
      </c>
      <c r="AD445" s="7">
        <v>99.7</v>
      </c>
      <c r="AE445" s="7">
        <v>113.1</v>
      </c>
      <c r="AF445" s="7">
        <v>-13.4</v>
      </c>
      <c r="AG445" s="7">
        <v>44.3</v>
      </c>
      <c r="AH445" s="7">
        <v>2.81</v>
      </c>
      <c r="AI445" s="7">
        <v>47.4</v>
      </c>
      <c r="AJ445" s="7">
        <v>2.7</v>
      </c>
      <c r="AK445" s="7">
        <v>11.4</v>
      </c>
      <c r="AL445" s="7">
        <v>7.1</v>
      </c>
      <c r="AM445" s="7">
        <v>16.899999999999999</v>
      </c>
      <c r="AN445" s="7">
        <v>33.200000000000003</v>
      </c>
      <c r="AO445" s="7">
        <v>34</v>
      </c>
      <c r="AP445" s="7">
        <v>15.1</v>
      </c>
      <c r="AQ445" s="7">
        <v>101.3</v>
      </c>
      <c r="AR445" s="7">
        <v>7.9</v>
      </c>
      <c r="AS445" s="7">
        <v>1076</v>
      </c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1"/>
    </row>
    <row r="446" spans="1:70" ht="13">
      <c r="A446" s="6" t="s">
        <v>929</v>
      </c>
      <c r="B446" s="6" t="s">
        <v>930</v>
      </c>
      <c r="C446" s="7">
        <v>21</v>
      </c>
      <c r="D446" s="7">
        <v>52</v>
      </c>
      <c r="E446" s="7">
        <v>39</v>
      </c>
      <c r="F446" s="7">
        <v>13</v>
      </c>
      <c r="G446" s="7">
        <v>7.8</v>
      </c>
      <c r="H446" s="8">
        <v>83</v>
      </c>
      <c r="I446" s="9">
        <v>31</v>
      </c>
      <c r="J446" s="9">
        <v>83</v>
      </c>
      <c r="K446" s="8">
        <v>36.1</v>
      </c>
      <c r="L446" s="9">
        <v>16</v>
      </c>
      <c r="M446" s="9">
        <v>57</v>
      </c>
      <c r="N446" s="8">
        <v>27.3</v>
      </c>
      <c r="O446" s="8">
        <v>5</v>
      </c>
      <c r="P446" s="8">
        <v>10</v>
      </c>
      <c r="Q446" s="8">
        <v>58.3</v>
      </c>
      <c r="R446" s="9">
        <v>21</v>
      </c>
      <c r="S446" s="9">
        <v>47</v>
      </c>
      <c r="T446" s="9">
        <v>68</v>
      </c>
      <c r="U446" s="9">
        <v>21</v>
      </c>
      <c r="V446" s="9">
        <v>16</v>
      </c>
      <c r="W446" s="9">
        <v>10</v>
      </c>
      <c r="X446" s="9">
        <v>10</v>
      </c>
      <c r="Y446" s="9">
        <v>31</v>
      </c>
      <c r="Z446" s="8">
        <v>244</v>
      </c>
      <c r="AA446" s="8">
        <v>0</v>
      </c>
      <c r="AB446" s="8">
        <v>0</v>
      </c>
      <c r="AC446" s="7">
        <v>0.5</v>
      </c>
      <c r="AD446" s="7">
        <v>111.8</v>
      </c>
      <c r="AE446" s="7">
        <v>108</v>
      </c>
      <c r="AF446" s="7">
        <v>3.8</v>
      </c>
      <c r="AG446" s="7">
        <v>6.4</v>
      </c>
      <c r="AH446" s="7">
        <v>1.1200000000000001</v>
      </c>
      <c r="AI446" s="7">
        <v>15.3</v>
      </c>
      <c r="AJ446" s="7">
        <v>5.7</v>
      </c>
      <c r="AK446" s="7">
        <v>11.3</v>
      </c>
      <c r="AL446" s="7">
        <v>8.5</v>
      </c>
      <c r="AM446" s="7">
        <v>13.7</v>
      </c>
      <c r="AN446" s="7">
        <v>45.2</v>
      </c>
      <c r="AO446" s="7">
        <v>46.4</v>
      </c>
      <c r="AP446" s="7">
        <v>11</v>
      </c>
      <c r="AQ446" s="7">
        <v>98.14</v>
      </c>
      <c r="AR446" s="7">
        <v>4.5</v>
      </c>
      <c r="AS446" s="7">
        <v>821</v>
      </c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1"/>
    </row>
    <row r="447" spans="1:70" ht="13">
      <c r="A447" s="6" t="s">
        <v>931</v>
      </c>
      <c r="B447" s="6" t="s">
        <v>932</v>
      </c>
      <c r="C447" s="7">
        <v>32</v>
      </c>
      <c r="D447" s="7">
        <v>25</v>
      </c>
      <c r="E447" s="7">
        <v>6</v>
      </c>
      <c r="F447" s="7">
        <v>19</v>
      </c>
      <c r="G447" s="7">
        <v>5.8</v>
      </c>
      <c r="H447" s="8">
        <v>83</v>
      </c>
      <c r="I447" s="9">
        <v>28</v>
      </c>
      <c r="J447" s="9">
        <v>75</v>
      </c>
      <c r="K447" s="8">
        <v>36.5</v>
      </c>
      <c r="L447" s="9">
        <v>10</v>
      </c>
      <c r="M447" s="9">
        <v>38</v>
      </c>
      <c r="N447" s="8">
        <v>24.3</v>
      </c>
      <c r="O447" s="8">
        <v>20</v>
      </c>
      <c r="P447" s="8">
        <v>20</v>
      </c>
      <c r="Q447" s="8">
        <v>95.2</v>
      </c>
      <c r="R447" s="9">
        <v>3</v>
      </c>
      <c r="S447" s="9">
        <v>18</v>
      </c>
      <c r="T447" s="9">
        <v>20</v>
      </c>
      <c r="U447" s="9">
        <v>10</v>
      </c>
      <c r="V447" s="9">
        <v>10</v>
      </c>
      <c r="W447" s="9">
        <v>5</v>
      </c>
      <c r="X447" s="8">
        <v>0</v>
      </c>
      <c r="Y447" s="9">
        <v>5</v>
      </c>
      <c r="Z447" s="8">
        <v>133</v>
      </c>
      <c r="AA447" s="8">
        <v>0</v>
      </c>
      <c r="AB447" s="8">
        <v>0</v>
      </c>
      <c r="AC447" s="7">
        <v>1</v>
      </c>
      <c r="AD447" s="7">
        <v>104.7</v>
      </c>
      <c r="AE447" s="7">
        <v>98.7</v>
      </c>
      <c r="AF447" s="7">
        <v>6</v>
      </c>
      <c r="AG447" s="7">
        <v>12.1</v>
      </c>
      <c r="AH447" s="7">
        <v>1.1000000000000001</v>
      </c>
      <c r="AI447" s="7">
        <v>10.5</v>
      </c>
      <c r="AJ447" s="7">
        <v>2</v>
      </c>
      <c r="AK447" s="7">
        <v>10.4</v>
      </c>
      <c r="AL447" s="7">
        <v>6.4</v>
      </c>
      <c r="AM447" s="7">
        <v>9.5</v>
      </c>
      <c r="AN447" s="7">
        <v>42.6</v>
      </c>
      <c r="AO447" s="7">
        <v>49.9</v>
      </c>
      <c r="AP447" s="7">
        <v>26.9</v>
      </c>
      <c r="AQ447" s="7">
        <v>104.99</v>
      </c>
      <c r="AR447" s="7">
        <v>8.9</v>
      </c>
      <c r="AS447" s="7">
        <v>318</v>
      </c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1"/>
    </row>
    <row r="448" spans="1:70" ht="13">
      <c r="A448" s="6" t="s">
        <v>933</v>
      </c>
      <c r="B448" s="6" t="s">
        <v>934</v>
      </c>
      <c r="C448" s="7">
        <v>24</v>
      </c>
      <c r="D448" s="7">
        <v>41</v>
      </c>
      <c r="E448" s="7">
        <v>27</v>
      </c>
      <c r="F448" s="7">
        <v>14</v>
      </c>
      <c r="G448" s="7">
        <v>7.2</v>
      </c>
      <c r="H448" s="8">
        <v>82</v>
      </c>
      <c r="I448" s="9">
        <v>29</v>
      </c>
      <c r="J448" s="9">
        <v>82</v>
      </c>
      <c r="K448" s="8">
        <v>32.9</v>
      </c>
      <c r="L448" s="9">
        <v>12</v>
      </c>
      <c r="M448" s="9">
        <v>45</v>
      </c>
      <c r="N448" s="8">
        <v>29.8</v>
      </c>
      <c r="O448" s="8">
        <v>12</v>
      </c>
      <c r="P448" s="8">
        <v>16</v>
      </c>
      <c r="Q448" s="8">
        <v>76.5</v>
      </c>
      <c r="R448" s="9">
        <v>8</v>
      </c>
      <c r="S448" s="9">
        <v>21</v>
      </c>
      <c r="T448" s="9">
        <v>29</v>
      </c>
      <c r="U448" s="9">
        <v>70</v>
      </c>
      <c r="V448" s="9">
        <v>16</v>
      </c>
      <c r="W448" s="9">
        <v>12</v>
      </c>
      <c r="X448" s="9">
        <v>4</v>
      </c>
      <c r="Y448" s="9">
        <v>25</v>
      </c>
      <c r="Z448" s="8">
        <v>250</v>
      </c>
      <c r="AA448" s="8">
        <v>0</v>
      </c>
      <c r="AB448" s="8">
        <v>0</v>
      </c>
      <c r="AC448" s="7">
        <v>0</v>
      </c>
      <c r="AD448" s="7">
        <v>104.1</v>
      </c>
      <c r="AE448" s="7">
        <v>104.4</v>
      </c>
      <c r="AF448" s="7">
        <v>-0.3</v>
      </c>
      <c r="AG448" s="7">
        <v>32.1</v>
      </c>
      <c r="AH448" s="7">
        <v>3.89</v>
      </c>
      <c r="AI448" s="7">
        <v>39.299999999999997</v>
      </c>
      <c r="AJ448" s="7">
        <v>2.7</v>
      </c>
      <c r="AK448" s="7">
        <v>5.9</v>
      </c>
      <c r="AL448" s="7">
        <v>4.3</v>
      </c>
      <c r="AM448" s="7">
        <v>10.1</v>
      </c>
      <c r="AN448" s="7">
        <v>41.5</v>
      </c>
      <c r="AO448" s="7">
        <v>45.3</v>
      </c>
      <c r="AP448" s="7">
        <v>15.2</v>
      </c>
      <c r="AQ448" s="7">
        <v>102.35</v>
      </c>
      <c r="AR448" s="7">
        <v>7.2</v>
      </c>
      <c r="AS448" s="7">
        <v>632</v>
      </c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1"/>
    </row>
    <row r="449" spans="1:70" ht="13">
      <c r="A449" s="6" t="s">
        <v>935</v>
      </c>
      <c r="B449" s="6" t="s">
        <v>936</v>
      </c>
      <c r="C449" s="7">
        <v>23</v>
      </c>
      <c r="D449" s="7">
        <v>34</v>
      </c>
      <c r="E449" s="7">
        <v>4</v>
      </c>
      <c r="F449" s="7">
        <v>30</v>
      </c>
      <c r="G449" s="7">
        <v>7.1</v>
      </c>
      <c r="H449" s="8">
        <v>82</v>
      </c>
      <c r="I449" s="9">
        <v>31</v>
      </c>
      <c r="J449" s="9">
        <v>78</v>
      </c>
      <c r="K449" s="8">
        <v>41</v>
      </c>
      <c r="L449" s="9">
        <v>7</v>
      </c>
      <c r="M449" s="9">
        <v>31</v>
      </c>
      <c r="N449" s="8">
        <v>24.1</v>
      </c>
      <c r="O449" s="8">
        <v>10</v>
      </c>
      <c r="P449" s="8">
        <v>14</v>
      </c>
      <c r="Q449" s="8">
        <v>60</v>
      </c>
      <c r="R449" s="9">
        <v>10</v>
      </c>
      <c r="S449" s="9">
        <v>27</v>
      </c>
      <c r="T449" s="9">
        <v>37</v>
      </c>
      <c r="U449" s="9">
        <v>10</v>
      </c>
      <c r="V449" s="9">
        <v>7</v>
      </c>
      <c r="W449" s="9">
        <v>14</v>
      </c>
      <c r="X449" s="9">
        <v>7</v>
      </c>
      <c r="Y449" s="9">
        <v>17</v>
      </c>
      <c r="Z449" s="8">
        <v>197</v>
      </c>
      <c r="AA449" s="8">
        <v>0</v>
      </c>
      <c r="AB449" s="8">
        <v>0</v>
      </c>
      <c r="AC449" s="7">
        <v>-0.8</v>
      </c>
      <c r="AD449" s="7">
        <v>104.7</v>
      </c>
      <c r="AE449" s="7">
        <v>107.2</v>
      </c>
      <c r="AF449" s="7">
        <v>-2.5</v>
      </c>
      <c r="AG449" s="7">
        <v>6.4</v>
      </c>
      <c r="AH449" s="7">
        <v>1.57</v>
      </c>
      <c r="AI449" s="7">
        <v>10.7</v>
      </c>
      <c r="AJ449" s="7">
        <v>3.6</v>
      </c>
      <c r="AK449" s="7">
        <v>10.4</v>
      </c>
      <c r="AL449" s="7">
        <v>6.9</v>
      </c>
      <c r="AM449" s="7">
        <v>6.8</v>
      </c>
      <c r="AN449" s="7">
        <v>45.5</v>
      </c>
      <c r="AO449" s="7">
        <v>47.3</v>
      </c>
      <c r="AP449" s="7">
        <v>15</v>
      </c>
      <c r="AQ449" s="7">
        <v>106.66</v>
      </c>
      <c r="AR449" s="7">
        <v>6.7</v>
      </c>
      <c r="AS449" s="7">
        <v>531</v>
      </c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1"/>
    </row>
    <row r="450" spans="1:70" ht="13">
      <c r="A450" s="6" t="s">
        <v>937</v>
      </c>
      <c r="B450" s="6" t="s">
        <v>938</v>
      </c>
      <c r="C450" s="7">
        <v>24</v>
      </c>
      <c r="D450" s="7">
        <v>35</v>
      </c>
      <c r="E450" s="7">
        <v>19</v>
      </c>
      <c r="F450" s="7">
        <v>16</v>
      </c>
      <c r="G450" s="7">
        <v>4.5</v>
      </c>
      <c r="H450" s="8">
        <v>81</v>
      </c>
      <c r="I450" s="9">
        <v>28</v>
      </c>
      <c r="J450" s="9">
        <v>67</v>
      </c>
      <c r="K450" s="8">
        <v>41.5</v>
      </c>
      <c r="L450" s="9">
        <v>11</v>
      </c>
      <c r="M450" s="9">
        <v>28</v>
      </c>
      <c r="N450" s="8">
        <v>34.5</v>
      </c>
      <c r="O450" s="8">
        <v>14</v>
      </c>
      <c r="P450" s="8">
        <v>21</v>
      </c>
      <c r="Q450" s="8">
        <v>75</v>
      </c>
      <c r="R450" s="9">
        <v>11</v>
      </c>
      <c r="S450" s="9">
        <v>32</v>
      </c>
      <c r="T450" s="9">
        <v>46</v>
      </c>
      <c r="U450" s="9">
        <v>11</v>
      </c>
      <c r="V450" s="9">
        <v>14</v>
      </c>
      <c r="W450" s="9">
        <v>4</v>
      </c>
      <c r="X450" s="8">
        <v>0</v>
      </c>
      <c r="Y450" s="9">
        <v>14</v>
      </c>
      <c r="Z450" s="8">
        <v>147</v>
      </c>
      <c r="AA450" s="8">
        <v>0</v>
      </c>
      <c r="AB450" s="8">
        <v>0</v>
      </c>
      <c r="AC450" s="7">
        <v>0.3</v>
      </c>
      <c r="AD450" s="7">
        <v>94.8</v>
      </c>
      <c r="AE450" s="7">
        <v>92</v>
      </c>
      <c r="AF450" s="7">
        <v>2.9</v>
      </c>
      <c r="AG450" s="7">
        <v>12.4</v>
      </c>
      <c r="AH450" s="7">
        <v>0.73</v>
      </c>
      <c r="AI450" s="7">
        <v>10.9</v>
      </c>
      <c r="AJ450" s="7">
        <v>6.4</v>
      </c>
      <c r="AK450" s="7">
        <v>19.8</v>
      </c>
      <c r="AL450" s="7">
        <v>12.9</v>
      </c>
      <c r="AM450" s="7">
        <v>14.9</v>
      </c>
      <c r="AN450" s="7">
        <v>49.2</v>
      </c>
      <c r="AO450" s="7">
        <v>53.5</v>
      </c>
      <c r="AP450" s="7">
        <v>22.2</v>
      </c>
      <c r="AQ450" s="7">
        <v>106.73</v>
      </c>
      <c r="AR450" s="7">
        <v>12.3</v>
      </c>
      <c r="AS450" s="7">
        <v>347</v>
      </c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1"/>
    </row>
    <row r="451" spans="1:70" ht="13">
      <c r="A451" s="6" t="s">
        <v>939</v>
      </c>
      <c r="B451" s="6" t="s">
        <v>940</v>
      </c>
      <c r="C451" s="7">
        <v>21</v>
      </c>
      <c r="D451" s="7">
        <v>16</v>
      </c>
      <c r="E451" s="7">
        <v>3</v>
      </c>
      <c r="F451" s="7">
        <v>13</v>
      </c>
      <c r="G451" s="7">
        <v>14.9</v>
      </c>
      <c r="H451" s="8">
        <v>78</v>
      </c>
      <c r="I451" s="9">
        <v>30</v>
      </c>
      <c r="J451" s="9">
        <v>74</v>
      </c>
      <c r="K451" s="8">
        <v>41.9</v>
      </c>
      <c r="L451" s="9">
        <v>6</v>
      </c>
      <c r="M451" s="9">
        <v>22</v>
      </c>
      <c r="N451" s="8">
        <v>30.4</v>
      </c>
      <c r="O451" s="8">
        <v>10</v>
      </c>
      <c r="P451" s="8">
        <v>10</v>
      </c>
      <c r="Q451" s="8">
        <v>90</v>
      </c>
      <c r="R451" s="9">
        <v>11</v>
      </c>
      <c r="S451" s="9">
        <v>34</v>
      </c>
      <c r="T451" s="9">
        <v>45</v>
      </c>
      <c r="U451" s="9">
        <v>18</v>
      </c>
      <c r="V451" s="9">
        <v>13</v>
      </c>
      <c r="W451" s="9">
        <v>10</v>
      </c>
      <c r="X451" s="8">
        <v>0</v>
      </c>
      <c r="Y451" s="9">
        <v>14</v>
      </c>
      <c r="Z451" s="8">
        <v>171</v>
      </c>
      <c r="AA451" s="8">
        <v>0</v>
      </c>
      <c r="AB451" s="8">
        <v>0</v>
      </c>
      <c r="AC451" s="7">
        <v>-8.1999999999999993</v>
      </c>
      <c r="AD451" s="7">
        <v>93.6</v>
      </c>
      <c r="AE451" s="7">
        <v>120.7</v>
      </c>
      <c r="AF451" s="7">
        <v>-27.1</v>
      </c>
      <c r="AG451" s="7">
        <v>12</v>
      </c>
      <c r="AH451" s="7">
        <v>1.42</v>
      </c>
      <c r="AI451" s="7">
        <v>16</v>
      </c>
      <c r="AJ451" s="7">
        <v>4</v>
      </c>
      <c r="AK451" s="7">
        <v>14.1</v>
      </c>
      <c r="AL451" s="7">
        <v>8.6</v>
      </c>
      <c r="AM451" s="7">
        <v>11.3</v>
      </c>
      <c r="AN451" s="7">
        <v>46.6</v>
      </c>
      <c r="AO451" s="7">
        <v>49.7</v>
      </c>
      <c r="AP451" s="7">
        <v>15.5</v>
      </c>
      <c r="AQ451" s="7">
        <v>100.58</v>
      </c>
      <c r="AR451" s="7">
        <v>7.4</v>
      </c>
      <c r="AS451" s="7">
        <v>502</v>
      </c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1"/>
    </row>
    <row r="452" spans="1:70" ht="13">
      <c r="A452" s="6" t="s">
        <v>941</v>
      </c>
      <c r="B452" s="6" t="s">
        <v>942</v>
      </c>
      <c r="C452" s="7">
        <v>26</v>
      </c>
      <c r="D452" s="7">
        <v>15</v>
      </c>
      <c r="E452" s="7">
        <v>4</v>
      </c>
      <c r="F452" s="7">
        <v>11</v>
      </c>
      <c r="G452" s="7">
        <v>14.4</v>
      </c>
      <c r="H452" s="8">
        <v>77</v>
      </c>
      <c r="I452" s="9">
        <v>26</v>
      </c>
      <c r="J452" s="9">
        <v>54</v>
      </c>
      <c r="K452" s="8">
        <v>48.1</v>
      </c>
      <c r="L452" s="9">
        <v>15</v>
      </c>
      <c r="M452" s="9">
        <v>41</v>
      </c>
      <c r="N452" s="8">
        <v>36.6</v>
      </c>
      <c r="O452" s="8">
        <v>9</v>
      </c>
      <c r="P452" s="8">
        <v>12</v>
      </c>
      <c r="Q452" s="8">
        <v>75</v>
      </c>
      <c r="R452" s="9">
        <v>9</v>
      </c>
      <c r="S452" s="9">
        <v>38</v>
      </c>
      <c r="T452" s="9">
        <v>47</v>
      </c>
      <c r="U452" s="9">
        <v>5</v>
      </c>
      <c r="V452" s="9">
        <v>6</v>
      </c>
      <c r="W452" s="9">
        <v>11</v>
      </c>
      <c r="X452" s="9">
        <v>11</v>
      </c>
      <c r="Y452" s="9">
        <v>21</v>
      </c>
      <c r="Z452" s="8">
        <v>192</v>
      </c>
      <c r="AA452" s="8">
        <v>0</v>
      </c>
      <c r="AB452" s="8">
        <v>0</v>
      </c>
      <c r="AC452" s="7">
        <v>1.3</v>
      </c>
      <c r="AD452" s="7">
        <v>117.3</v>
      </c>
      <c r="AE452" s="7">
        <v>111.8</v>
      </c>
      <c r="AF452" s="7">
        <v>5.5</v>
      </c>
      <c r="AG452" s="7">
        <v>2.2999999999999998</v>
      </c>
      <c r="AH452" s="7">
        <v>0.67</v>
      </c>
      <c r="AI452" s="7">
        <v>5.8</v>
      </c>
      <c r="AJ452" s="7">
        <v>4.0999999999999996</v>
      </c>
      <c r="AK452" s="7">
        <v>16.100000000000001</v>
      </c>
      <c r="AL452" s="7">
        <v>10.3</v>
      </c>
      <c r="AM452" s="7">
        <v>8.6999999999999993</v>
      </c>
      <c r="AN452" s="7">
        <v>62</v>
      </c>
      <c r="AO452" s="7">
        <v>64.099999999999994</v>
      </c>
      <c r="AP452" s="7">
        <v>12.3</v>
      </c>
      <c r="AQ452" s="7">
        <v>104.64</v>
      </c>
      <c r="AR452" s="7">
        <v>7.9</v>
      </c>
      <c r="AS452" s="7">
        <v>468</v>
      </c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1"/>
    </row>
    <row r="453" spans="1:70" ht="13">
      <c r="A453" s="6" t="s">
        <v>943</v>
      </c>
      <c r="B453" s="6" t="s">
        <v>944</v>
      </c>
      <c r="C453" s="7">
        <v>25</v>
      </c>
      <c r="D453" s="7">
        <v>40</v>
      </c>
      <c r="E453" s="7">
        <v>25</v>
      </c>
      <c r="F453" s="7">
        <v>15</v>
      </c>
      <c r="G453" s="7">
        <v>6.8</v>
      </c>
      <c r="H453" s="8">
        <v>76</v>
      </c>
      <c r="I453" s="9">
        <v>32</v>
      </c>
      <c r="J453" s="9">
        <v>72</v>
      </c>
      <c r="K453" s="8">
        <v>45.8</v>
      </c>
      <c r="L453" s="9">
        <v>8</v>
      </c>
      <c r="M453" s="9">
        <v>28</v>
      </c>
      <c r="N453" s="8">
        <v>23.1</v>
      </c>
      <c r="O453" s="8">
        <v>4</v>
      </c>
      <c r="P453" s="8">
        <v>8</v>
      </c>
      <c r="Q453" s="8">
        <v>71.400000000000006</v>
      </c>
      <c r="R453" s="9">
        <v>20</v>
      </c>
      <c r="S453" s="9">
        <v>48</v>
      </c>
      <c r="T453" s="9">
        <v>64</v>
      </c>
      <c r="U453" s="9">
        <v>24</v>
      </c>
      <c r="V453" s="9">
        <v>12</v>
      </c>
      <c r="W453" s="9">
        <v>8</v>
      </c>
      <c r="X453" s="9">
        <v>4</v>
      </c>
      <c r="Y453" s="9">
        <v>24</v>
      </c>
      <c r="Z453" s="8">
        <v>212</v>
      </c>
      <c r="AA453" s="8">
        <v>0</v>
      </c>
      <c r="AB453" s="8">
        <v>0</v>
      </c>
      <c r="AC453" s="7">
        <v>-1.3</v>
      </c>
      <c r="AD453" s="7">
        <v>105.9</v>
      </c>
      <c r="AE453" s="7">
        <v>114.7</v>
      </c>
      <c r="AF453" s="7">
        <v>-8.6999999999999993</v>
      </c>
      <c r="AG453" s="7">
        <v>13.7</v>
      </c>
      <c r="AH453" s="7">
        <v>2</v>
      </c>
      <c r="AI453" s="7">
        <v>21.8</v>
      </c>
      <c r="AJ453" s="7">
        <v>7</v>
      </c>
      <c r="AK453" s="7">
        <v>17.600000000000001</v>
      </c>
      <c r="AL453" s="7">
        <v>12.2</v>
      </c>
      <c r="AM453" s="7">
        <v>10.9</v>
      </c>
      <c r="AN453" s="7">
        <v>50</v>
      </c>
      <c r="AO453" s="7">
        <v>51.3</v>
      </c>
      <c r="AP453" s="7">
        <v>13.4</v>
      </c>
      <c r="AQ453" s="7">
        <v>98.21</v>
      </c>
      <c r="AR453" s="7">
        <v>8.3000000000000007</v>
      </c>
      <c r="AS453" s="7">
        <v>555</v>
      </c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1"/>
    </row>
    <row r="454" spans="1:70" ht="13">
      <c r="A454" s="6" t="s">
        <v>945</v>
      </c>
      <c r="B454" s="6" t="s">
        <v>946</v>
      </c>
      <c r="C454" s="7">
        <v>25</v>
      </c>
      <c r="D454" s="7">
        <v>13</v>
      </c>
      <c r="E454" s="7">
        <v>5</v>
      </c>
      <c r="F454" s="7">
        <v>8</v>
      </c>
      <c r="G454" s="7">
        <v>9.1</v>
      </c>
      <c r="H454" s="8">
        <v>75</v>
      </c>
      <c r="I454" s="9">
        <v>34</v>
      </c>
      <c r="J454" s="9">
        <v>49</v>
      </c>
      <c r="K454" s="8">
        <v>69.400000000000006</v>
      </c>
      <c r="L454" s="8">
        <v>0</v>
      </c>
      <c r="M454" s="8">
        <v>0</v>
      </c>
      <c r="N454" s="8">
        <v>0</v>
      </c>
      <c r="O454" s="8">
        <v>8</v>
      </c>
      <c r="P454" s="8">
        <v>10</v>
      </c>
      <c r="Q454" s="8">
        <v>72.7</v>
      </c>
      <c r="R454" s="9">
        <v>12</v>
      </c>
      <c r="S454" s="9">
        <v>33</v>
      </c>
      <c r="T454" s="9">
        <v>44</v>
      </c>
      <c r="U454" s="9">
        <v>3</v>
      </c>
      <c r="V454" s="9">
        <v>10</v>
      </c>
      <c r="W454" s="9">
        <v>7</v>
      </c>
      <c r="X454" s="9">
        <v>4</v>
      </c>
      <c r="Y454" s="9">
        <v>17</v>
      </c>
      <c r="Z454" s="8">
        <v>151</v>
      </c>
      <c r="AA454" s="8">
        <v>1</v>
      </c>
      <c r="AB454" s="8">
        <v>0</v>
      </c>
      <c r="AC454" s="7">
        <v>-1.1000000000000001</v>
      </c>
      <c r="AD454" s="7">
        <v>101.5</v>
      </c>
      <c r="AE454" s="7">
        <v>105.9</v>
      </c>
      <c r="AF454" s="7">
        <v>-4.4000000000000004</v>
      </c>
      <c r="AG454" s="7">
        <v>2.9</v>
      </c>
      <c r="AH454" s="7">
        <v>0.18</v>
      </c>
      <c r="AI454" s="7">
        <v>3</v>
      </c>
      <c r="AJ454" s="7">
        <v>9.8000000000000007</v>
      </c>
      <c r="AK454" s="7">
        <v>22.4</v>
      </c>
      <c r="AL454" s="7">
        <v>16.5</v>
      </c>
      <c r="AM454" s="7">
        <v>16.7</v>
      </c>
      <c r="AN454" s="7">
        <v>69.400000000000006</v>
      </c>
      <c r="AO454" s="7">
        <v>70.599999999999994</v>
      </c>
      <c r="AP454" s="7">
        <v>21.6</v>
      </c>
      <c r="AQ454" s="7">
        <v>108.49</v>
      </c>
      <c r="AR454" s="7">
        <v>15.4</v>
      </c>
      <c r="AS454" s="7">
        <v>267</v>
      </c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1"/>
    </row>
    <row r="455" spans="1:70" ht="13">
      <c r="A455" s="6" t="s">
        <v>947</v>
      </c>
      <c r="B455" s="6" t="s">
        <v>948</v>
      </c>
      <c r="C455" s="7">
        <v>27</v>
      </c>
      <c r="D455" s="7">
        <v>17</v>
      </c>
      <c r="E455" s="7">
        <v>7</v>
      </c>
      <c r="F455" s="7">
        <v>10</v>
      </c>
      <c r="G455" s="7">
        <v>9.1</v>
      </c>
      <c r="H455" s="8">
        <v>75</v>
      </c>
      <c r="I455" s="9">
        <v>29</v>
      </c>
      <c r="J455" s="9">
        <v>63</v>
      </c>
      <c r="K455" s="8">
        <v>46</v>
      </c>
      <c r="L455" s="9">
        <v>9</v>
      </c>
      <c r="M455" s="9">
        <v>27</v>
      </c>
      <c r="N455" s="8">
        <v>29.6</v>
      </c>
      <c r="O455" s="8">
        <v>9</v>
      </c>
      <c r="P455" s="8">
        <v>10</v>
      </c>
      <c r="Q455" s="8">
        <v>72.7</v>
      </c>
      <c r="R455" s="9">
        <v>3</v>
      </c>
      <c r="S455" s="9">
        <v>34</v>
      </c>
      <c r="T455" s="9">
        <v>37</v>
      </c>
      <c r="U455" s="9">
        <v>9</v>
      </c>
      <c r="V455" s="9">
        <v>10</v>
      </c>
      <c r="W455" s="9">
        <v>5</v>
      </c>
      <c r="X455" s="9">
        <v>3</v>
      </c>
      <c r="Y455" s="9">
        <v>15</v>
      </c>
      <c r="Z455" s="8">
        <v>146</v>
      </c>
      <c r="AA455" s="8">
        <v>0</v>
      </c>
      <c r="AB455" s="8">
        <v>0</v>
      </c>
      <c r="AC455" s="7">
        <v>3.9</v>
      </c>
      <c r="AD455" s="7">
        <v>128.19999999999999</v>
      </c>
      <c r="AE455" s="7">
        <v>101.8</v>
      </c>
      <c r="AF455" s="7">
        <v>26.4</v>
      </c>
      <c r="AG455" s="7">
        <v>6.3</v>
      </c>
      <c r="AH455" s="7">
        <v>0.8</v>
      </c>
      <c r="AI455" s="7">
        <v>9.3000000000000007</v>
      </c>
      <c r="AJ455" s="7">
        <v>2.7</v>
      </c>
      <c r="AK455" s="7">
        <v>18.399999999999999</v>
      </c>
      <c r="AL455" s="7">
        <v>11.4</v>
      </c>
      <c r="AM455" s="7">
        <v>11.6</v>
      </c>
      <c r="AN455" s="7">
        <v>52.4</v>
      </c>
      <c r="AO455" s="7">
        <v>54.5</v>
      </c>
      <c r="AP455" s="7">
        <v>21</v>
      </c>
      <c r="AQ455" s="7">
        <v>102.46</v>
      </c>
      <c r="AR455" s="7">
        <v>9</v>
      </c>
      <c r="AS455" s="7">
        <v>323</v>
      </c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1"/>
    </row>
    <row r="456" spans="1:70" ht="13">
      <c r="A456" s="6" t="s">
        <v>949</v>
      </c>
      <c r="B456" s="6" t="s">
        <v>950</v>
      </c>
      <c r="C456" s="7">
        <v>31</v>
      </c>
      <c r="D456" s="7">
        <v>46</v>
      </c>
      <c r="E456" s="7">
        <v>21</v>
      </c>
      <c r="F456" s="7">
        <v>25</v>
      </c>
      <c r="G456" s="7">
        <v>8.3000000000000007</v>
      </c>
      <c r="H456" s="8">
        <v>74</v>
      </c>
      <c r="I456" s="9">
        <v>32</v>
      </c>
      <c r="J456" s="9">
        <v>64</v>
      </c>
      <c r="K456" s="8">
        <v>50.8</v>
      </c>
      <c r="L456" s="8">
        <v>0</v>
      </c>
      <c r="M456" s="9">
        <v>9</v>
      </c>
      <c r="N456" s="8">
        <v>22.2</v>
      </c>
      <c r="O456" s="8">
        <v>9</v>
      </c>
      <c r="P456" s="8">
        <v>18</v>
      </c>
      <c r="Q456" s="8">
        <v>47.1</v>
      </c>
      <c r="R456" s="9">
        <v>37</v>
      </c>
      <c r="S456" s="9">
        <v>55</v>
      </c>
      <c r="T456" s="9">
        <v>97</v>
      </c>
      <c r="U456" s="9">
        <v>37</v>
      </c>
      <c r="V456" s="9">
        <v>18</v>
      </c>
      <c r="W456" s="9">
        <v>9</v>
      </c>
      <c r="X456" s="9">
        <v>23</v>
      </c>
      <c r="Y456" s="9">
        <v>55</v>
      </c>
      <c r="Z456" s="8">
        <v>313</v>
      </c>
      <c r="AA456" s="8">
        <v>0</v>
      </c>
      <c r="AB456" s="8">
        <v>0</v>
      </c>
      <c r="AC456" s="7">
        <v>-3.3</v>
      </c>
      <c r="AD456" s="7">
        <v>101.4</v>
      </c>
      <c r="AE456" s="7">
        <v>118.9</v>
      </c>
      <c r="AF456" s="7">
        <v>-17.5</v>
      </c>
      <c r="AG456" s="7">
        <v>14.3</v>
      </c>
      <c r="AH456" s="7">
        <v>1.9</v>
      </c>
      <c r="AI456" s="7">
        <v>29.5</v>
      </c>
      <c r="AJ456" s="7">
        <v>9.4</v>
      </c>
      <c r="AK456" s="7">
        <v>14.2</v>
      </c>
      <c r="AL456" s="7">
        <v>11.8</v>
      </c>
      <c r="AM456" s="7">
        <v>15.5</v>
      </c>
      <c r="AN456" s="7">
        <v>52.4</v>
      </c>
      <c r="AO456" s="7">
        <v>52.5</v>
      </c>
      <c r="AP456" s="7">
        <v>10.1</v>
      </c>
      <c r="AQ456" s="7">
        <v>101.55</v>
      </c>
      <c r="AR456" s="7">
        <v>5.7</v>
      </c>
      <c r="AS456" s="7">
        <v>798</v>
      </c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1"/>
    </row>
    <row r="457" spans="1:70" ht="13">
      <c r="A457" s="6" t="s">
        <v>951</v>
      </c>
      <c r="B457" s="6" t="s">
        <v>952</v>
      </c>
      <c r="C457" s="7">
        <v>22</v>
      </c>
      <c r="D457" s="7">
        <v>20</v>
      </c>
      <c r="E457" s="7">
        <v>10</v>
      </c>
      <c r="F457" s="7">
        <v>10</v>
      </c>
      <c r="G457" s="7">
        <v>12.5</v>
      </c>
      <c r="H457" s="8">
        <v>72</v>
      </c>
      <c r="I457" s="9">
        <v>26</v>
      </c>
      <c r="J457" s="9">
        <v>60</v>
      </c>
      <c r="K457" s="8">
        <v>42.4</v>
      </c>
      <c r="L457" s="9">
        <v>6</v>
      </c>
      <c r="M457" s="9">
        <v>22</v>
      </c>
      <c r="N457" s="8">
        <v>28.6</v>
      </c>
      <c r="O457" s="8">
        <v>16</v>
      </c>
      <c r="P457" s="8">
        <v>22</v>
      </c>
      <c r="Q457" s="8">
        <v>68.2</v>
      </c>
      <c r="R457" s="9">
        <v>20</v>
      </c>
      <c r="S457" s="9">
        <v>28</v>
      </c>
      <c r="T457" s="9">
        <v>48</v>
      </c>
      <c r="U457" s="9">
        <v>6</v>
      </c>
      <c r="V457" s="9">
        <v>10</v>
      </c>
      <c r="W457" s="9">
        <v>8</v>
      </c>
      <c r="X457" s="9">
        <v>10</v>
      </c>
      <c r="Y457" s="9">
        <v>18</v>
      </c>
      <c r="Z457" s="8">
        <v>180</v>
      </c>
      <c r="AA457" s="8">
        <v>0</v>
      </c>
      <c r="AB457" s="8">
        <v>0</v>
      </c>
      <c r="AC457" s="7">
        <v>-4.8</v>
      </c>
      <c r="AD457" s="7">
        <v>95.3</v>
      </c>
      <c r="AE457" s="7">
        <v>115.3</v>
      </c>
      <c r="AF457" s="7">
        <v>-20</v>
      </c>
      <c r="AG457" s="7">
        <v>4</v>
      </c>
      <c r="AH457" s="7">
        <v>0.67</v>
      </c>
      <c r="AI457" s="7">
        <v>7.1</v>
      </c>
      <c r="AJ457" s="7">
        <v>7</v>
      </c>
      <c r="AK457" s="7">
        <v>10.1</v>
      </c>
      <c r="AL457" s="7">
        <v>8.5</v>
      </c>
      <c r="AM457" s="7">
        <v>10.6</v>
      </c>
      <c r="AN457" s="7">
        <v>47.5</v>
      </c>
      <c r="AO457" s="7">
        <v>51.7</v>
      </c>
      <c r="AP457" s="7">
        <v>13.2</v>
      </c>
      <c r="AQ457" s="7">
        <v>98.57</v>
      </c>
      <c r="AR457" s="7">
        <v>6.5</v>
      </c>
      <c r="AS457" s="7">
        <v>515</v>
      </c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1"/>
    </row>
    <row r="458" spans="1:70" ht="13">
      <c r="A458" s="6" t="s">
        <v>953</v>
      </c>
      <c r="B458" s="6" t="s">
        <v>954</v>
      </c>
      <c r="C458" s="7">
        <v>34</v>
      </c>
      <c r="D458" s="7">
        <v>40</v>
      </c>
      <c r="E458" s="7">
        <v>31</v>
      </c>
      <c r="F458" s="7">
        <v>9</v>
      </c>
      <c r="G458" s="7">
        <v>8.1999999999999993</v>
      </c>
      <c r="H458" s="8">
        <v>68</v>
      </c>
      <c r="I458" s="9">
        <v>32</v>
      </c>
      <c r="J458" s="9">
        <v>72</v>
      </c>
      <c r="K458" s="8">
        <v>43.7</v>
      </c>
      <c r="L458" s="8">
        <v>0</v>
      </c>
      <c r="M458" s="9">
        <v>4</v>
      </c>
      <c r="N458" s="8">
        <v>0</v>
      </c>
      <c r="O458" s="8">
        <v>8</v>
      </c>
      <c r="P458" s="8">
        <v>32</v>
      </c>
      <c r="Q458" s="8">
        <v>23.3</v>
      </c>
      <c r="R458" s="9">
        <v>32</v>
      </c>
      <c r="S458" s="9">
        <v>104</v>
      </c>
      <c r="T458" s="9">
        <v>136</v>
      </c>
      <c r="U458" s="9">
        <v>24</v>
      </c>
      <c r="V458" s="9">
        <v>16</v>
      </c>
      <c r="W458" s="9">
        <v>4</v>
      </c>
      <c r="X458" s="9">
        <v>12</v>
      </c>
      <c r="Y458" s="9">
        <v>36</v>
      </c>
      <c r="Z458" s="8">
        <v>292</v>
      </c>
      <c r="AA458" s="8">
        <v>0</v>
      </c>
      <c r="AB458" s="8">
        <v>0</v>
      </c>
      <c r="AC458" s="7">
        <v>-2.1</v>
      </c>
      <c r="AD458" s="7">
        <v>97.2</v>
      </c>
      <c r="AE458" s="7">
        <v>109.8</v>
      </c>
      <c r="AF458" s="7">
        <v>-12.5</v>
      </c>
      <c r="AG458" s="7">
        <v>10.9</v>
      </c>
      <c r="AH458" s="7">
        <v>1.71</v>
      </c>
      <c r="AI458" s="7">
        <v>19.5</v>
      </c>
      <c r="AJ458" s="7">
        <v>8.4</v>
      </c>
      <c r="AK458" s="7">
        <v>27.1</v>
      </c>
      <c r="AL458" s="7">
        <v>17.7</v>
      </c>
      <c r="AM458" s="7">
        <v>11.4</v>
      </c>
      <c r="AN458" s="7">
        <v>43.7</v>
      </c>
      <c r="AO458" s="7">
        <v>41</v>
      </c>
      <c r="AP458" s="7">
        <v>12.3</v>
      </c>
      <c r="AQ458" s="7">
        <v>100.56</v>
      </c>
      <c r="AR458" s="7">
        <v>8.3000000000000007</v>
      </c>
      <c r="AS458" s="7">
        <v>688</v>
      </c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1"/>
    </row>
    <row r="459" spans="1:70" ht="13">
      <c r="A459" s="6" t="s">
        <v>955</v>
      </c>
      <c r="B459" s="6" t="s">
        <v>956</v>
      </c>
      <c r="C459" s="7">
        <v>20</v>
      </c>
      <c r="D459" s="7">
        <v>23</v>
      </c>
      <c r="E459" s="7">
        <v>12</v>
      </c>
      <c r="F459" s="7">
        <v>11</v>
      </c>
      <c r="G459" s="7">
        <v>5.3</v>
      </c>
      <c r="H459" s="8">
        <v>67</v>
      </c>
      <c r="I459" s="9">
        <v>23</v>
      </c>
      <c r="J459" s="9">
        <v>51</v>
      </c>
      <c r="K459" s="8">
        <v>48</v>
      </c>
      <c r="L459" s="9">
        <v>14</v>
      </c>
      <c r="M459" s="9">
        <v>30</v>
      </c>
      <c r="N459" s="8">
        <v>43.3</v>
      </c>
      <c r="O459" s="8">
        <v>7</v>
      </c>
      <c r="P459" s="8">
        <v>7</v>
      </c>
      <c r="Q459" s="8">
        <v>75</v>
      </c>
      <c r="R459" s="9">
        <v>7</v>
      </c>
      <c r="S459" s="9">
        <v>18</v>
      </c>
      <c r="T459" s="9">
        <v>25</v>
      </c>
      <c r="U459" s="9">
        <v>5</v>
      </c>
      <c r="V459" s="9">
        <v>7</v>
      </c>
      <c r="W459" s="9">
        <v>2</v>
      </c>
      <c r="X459" s="9">
        <v>5</v>
      </c>
      <c r="Y459" s="9">
        <v>12</v>
      </c>
      <c r="Z459" s="8">
        <v>115</v>
      </c>
      <c r="AA459" s="8">
        <v>0</v>
      </c>
      <c r="AB459" s="8">
        <v>0</v>
      </c>
      <c r="AC459" s="7">
        <v>0.3</v>
      </c>
      <c r="AD459" s="7">
        <v>103.4</v>
      </c>
      <c r="AE459" s="7">
        <v>96.3</v>
      </c>
      <c r="AF459" s="7">
        <v>7.1</v>
      </c>
      <c r="AG459" s="7">
        <v>5.6</v>
      </c>
      <c r="AH459" s="7">
        <v>0.5</v>
      </c>
      <c r="AI459" s="7">
        <v>6.2</v>
      </c>
      <c r="AJ459" s="7">
        <v>5</v>
      </c>
      <c r="AK459" s="7">
        <v>14.3</v>
      </c>
      <c r="AL459" s="7">
        <v>9.8000000000000007</v>
      </c>
      <c r="AM459" s="7">
        <v>12.3</v>
      </c>
      <c r="AN459" s="7">
        <v>61</v>
      </c>
      <c r="AO459" s="7">
        <v>62.6</v>
      </c>
      <c r="AP459" s="7">
        <v>20.5</v>
      </c>
      <c r="AQ459" s="7">
        <v>105.22</v>
      </c>
      <c r="AR459" s="7">
        <v>12.3</v>
      </c>
      <c r="AS459" s="7">
        <v>261</v>
      </c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1"/>
    </row>
    <row r="460" spans="1:70" ht="13">
      <c r="A460" s="6" t="s">
        <v>957</v>
      </c>
      <c r="B460" s="6" t="s">
        <v>958</v>
      </c>
      <c r="C460" s="7">
        <v>25</v>
      </c>
      <c r="D460" s="7">
        <v>8</v>
      </c>
      <c r="E460" s="7">
        <v>1</v>
      </c>
      <c r="F460" s="7">
        <v>7</v>
      </c>
      <c r="G460" s="7">
        <v>21</v>
      </c>
      <c r="H460" s="8">
        <v>67</v>
      </c>
      <c r="I460" s="9">
        <v>26</v>
      </c>
      <c r="J460" s="9">
        <v>73</v>
      </c>
      <c r="K460" s="8">
        <v>35.6</v>
      </c>
      <c r="L460" s="9">
        <v>8</v>
      </c>
      <c r="M460" s="9">
        <v>27</v>
      </c>
      <c r="N460" s="8">
        <v>29.6</v>
      </c>
      <c r="O460" s="8">
        <v>7</v>
      </c>
      <c r="P460" s="8">
        <v>11</v>
      </c>
      <c r="Q460" s="8">
        <v>63.6</v>
      </c>
      <c r="R460" s="9">
        <v>6</v>
      </c>
      <c r="S460" s="9">
        <v>14</v>
      </c>
      <c r="T460" s="9">
        <v>20</v>
      </c>
      <c r="U460" s="9">
        <v>18</v>
      </c>
      <c r="V460" s="9">
        <v>8</v>
      </c>
      <c r="W460" s="9">
        <v>1</v>
      </c>
      <c r="X460" s="9">
        <v>4</v>
      </c>
      <c r="Y460" s="9">
        <v>9</v>
      </c>
      <c r="Z460" s="8">
        <v>125</v>
      </c>
      <c r="AA460" s="8">
        <v>0</v>
      </c>
      <c r="AB460" s="8">
        <v>0</v>
      </c>
      <c r="AC460" s="7">
        <v>-5.3</v>
      </c>
      <c r="AD460" s="7">
        <v>100.9</v>
      </c>
      <c r="AE460" s="7">
        <v>114</v>
      </c>
      <c r="AF460" s="7">
        <v>-13.1</v>
      </c>
      <c r="AG460" s="7">
        <v>17.600000000000001</v>
      </c>
      <c r="AH460" s="7">
        <v>2.25</v>
      </c>
      <c r="AI460" s="7">
        <v>17.3</v>
      </c>
      <c r="AJ460" s="7">
        <v>3.2</v>
      </c>
      <c r="AK460" s="7">
        <v>8.6</v>
      </c>
      <c r="AL460" s="7">
        <v>5.8</v>
      </c>
      <c r="AM460" s="7">
        <v>7.7</v>
      </c>
      <c r="AN460" s="7">
        <v>41.1</v>
      </c>
      <c r="AO460" s="7">
        <v>43</v>
      </c>
      <c r="AP460" s="7">
        <v>21.5</v>
      </c>
      <c r="AQ460" s="7">
        <v>96.24</v>
      </c>
      <c r="AR460" s="7">
        <v>6</v>
      </c>
      <c r="AS460" s="7">
        <v>338</v>
      </c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1"/>
    </row>
    <row r="461" spans="1:70" ht="13">
      <c r="A461" s="6" t="s">
        <v>959</v>
      </c>
      <c r="B461" s="6" t="s">
        <v>960</v>
      </c>
      <c r="C461" s="7">
        <v>25</v>
      </c>
      <c r="D461" s="7">
        <v>37</v>
      </c>
      <c r="E461" s="7">
        <v>34</v>
      </c>
      <c r="F461" s="7">
        <v>3</v>
      </c>
      <c r="G461" s="7">
        <v>5.5</v>
      </c>
      <c r="H461" s="8">
        <v>67</v>
      </c>
      <c r="I461" s="9">
        <v>26</v>
      </c>
      <c r="J461" s="9">
        <v>96</v>
      </c>
      <c r="K461" s="8">
        <v>26</v>
      </c>
      <c r="L461" s="9">
        <v>15</v>
      </c>
      <c r="M461" s="9">
        <v>70</v>
      </c>
      <c r="N461" s="8">
        <v>19.399999999999999</v>
      </c>
      <c r="O461" s="8">
        <v>0</v>
      </c>
      <c r="P461" s="8">
        <v>4</v>
      </c>
      <c r="Q461" s="8">
        <v>50</v>
      </c>
      <c r="R461" s="9">
        <v>7</v>
      </c>
      <c r="S461" s="9">
        <v>19</v>
      </c>
      <c r="T461" s="9">
        <v>26</v>
      </c>
      <c r="U461" s="9">
        <v>11</v>
      </c>
      <c r="V461" s="9">
        <v>4</v>
      </c>
      <c r="W461" s="9">
        <v>7</v>
      </c>
      <c r="X461" s="9">
        <v>4</v>
      </c>
      <c r="Y461" s="9">
        <v>15</v>
      </c>
      <c r="Z461" s="8">
        <v>144</v>
      </c>
      <c r="AA461" s="8">
        <v>0</v>
      </c>
      <c r="AB461" s="8">
        <v>0</v>
      </c>
      <c r="AC461" s="7">
        <v>0.2</v>
      </c>
      <c r="AD461" s="7">
        <v>99.1</v>
      </c>
      <c r="AE461" s="7">
        <v>96.7</v>
      </c>
      <c r="AF461" s="7">
        <v>2.2999999999999998</v>
      </c>
      <c r="AG461" s="7">
        <v>9.4</v>
      </c>
      <c r="AH461" s="7">
        <v>3</v>
      </c>
      <c r="AI461" s="7">
        <v>10.6</v>
      </c>
      <c r="AJ461" s="7">
        <v>2.9</v>
      </c>
      <c r="AK461" s="7">
        <v>8.6</v>
      </c>
      <c r="AL461" s="7">
        <v>5.7</v>
      </c>
      <c r="AM461" s="7">
        <v>3.5</v>
      </c>
      <c r="AN461" s="7">
        <v>33.299999999999997</v>
      </c>
      <c r="AO461" s="7">
        <v>33.5</v>
      </c>
      <c r="AP461" s="7">
        <v>20.7</v>
      </c>
      <c r="AQ461" s="7">
        <v>100.16</v>
      </c>
      <c r="AR461" s="7">
        <v>2.5</v>
      </c>
      <c r="AS461" s="7">
        <v>422</v>
      </c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1"/>
    </row>
    <row r="462" spans="1:70" ht="13">
      <c r="A462" s="6" t="s">
        <v>961</v>
      </c>
      <c r="B462" s="6" t="s">
        <v>962</v>
      </c>
      <c r="C462" s="7">
        <v>23</v>
      </c>
      <c r="D462" s="7">
        <v>10</v>
      </c>
      <c r="E462" s="7">
        <v>1</v>
      </c>
      <c r="F462" s="7">
        <v>9</v>
      </c>
      <c r="G462" s="7">
        <v>25.3</v>
      </c>
      <c r="H462" s="8">
        <v>67</v>
      </c>
      <c r="I462" s="9">
        <v>27</v>
      </c>
      <c r="J462" s="9">
        <v>69</v>
      </c>
      <c r="K462" s="8">
        <v>39.1</v>
      </c>
      <c r="L462" s="9">
        <v>5</v>
      </c>
      <c r="M462" s="9">
        <v>32</v>
      </c>
      <c r="N462" s="8">
        <v>15.6</v>
      </c>
      <c r="O462" s="8">
        <v>8</v>
      </c>
      <c r="P462" s="8">
        <v>10</v>
      </c>
      <c r="Q462" s="8">
        <v>80</v>
      </c>
      <c r="R462" s="9">
        <v>23</v>
      </c>
      <c r="S462" s="9">
        <v>47</v>
      </c>
      <c r="T462" s="9">
        <v>70</v>
      </c>
      <c r="U462" s="9">
        <v>10</v>
      </c>
      <c r="V462" s="9">
        <v>7</v>
      </c>
      <c r="W462" s="9">
        <v>9</v>
      </c>
      <c r="X462" s="9">
        <v>12</v>
      </c>
      <c r="Y462" s="9">
        <v>16</v>
      </c>
      <c r="Z462" s="8">
        <v>222</v>
      </c>
      <c r="AA462" s="8">
        <v>2</v>
      </c>
      <c r="AB462" s="8">
        <v>0</v>
      </c>
      <c r="AC462" s="7">
        <v>-8.4</v>
      </c>
      <c r="AD462" s="7">
        <v>101.1</v>
      </c>
      <c r="AE462" s="7">
        <v>117</v>
      </c>
      <c r="AF462" s="7">
        <v>-15.9</v>
      </c>
      <c r="AG462" s="7">
        <v>5.6</v>
      </c>
      <c r="AH462" s="7">
        <v>1.43</v>
      </c>
      <c r="AI462" s="7">
        <v>11</v>
      </c>
      <c r="AJ462" s="7">
        <v>7.8</v>
      </c>
      <c r="AK462" s="7">
        <v>17.5</v>
      </c>
      <c r="AL462" s="7">
        <v>12.4</v>
      </c>
      <c r="AM462" s="7">
        <v>7.7</v>
      </c>
      <c r="AN462" s="7">
        <v>42.8</v>
      </c>
      <c r="AO462" s="7">
        <v>45.6</v>
      </c>
      <c r="AP462" s="7">
        <v>12.8</v>
      </c>
      <c r="AQ462" s="7">
        <v>102.58</v>
      </c>
      <c r="AR462" s="7">
        <v>7.7</v>
      </c>
      <c r="AS462" s="7">
        <v>542</v>
      </c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1"/>
    </row>
    <row r="463" spans="1:70" ht="13">
      <c r="A463" s="6" t="s">
        <v>963</v>
      </c>
      <c r="B463" s="6" t="s">
        <v>964</v>
      </c>
      <c r="C463" s="7">
        <v>26</v>
      </c>
      <c r="D463" s="7">
        <v>20</v>
      </c>
      <c r="E463" s="7">
        <v>14</v>
      </c>
      <c r="F463" s="7">
        <v>6</v>
      </c>
      <c r="G463" s="7">
        <v>7.3</v>
      </c>
      <c r="H463" s="8">
        <v>66</v>
      </c>
      <c r="I463" s="9">
        <v>28</v>
      </c>
      <c r="J463" s="9">
        <v>62</v>
      </c>
      <c r="K463" s="8">
        <v>43.5</v>
      </c>
      <c r="L463" s="9">
        <v>6</v>
      </c>
      <c r="M463" s="9">
        <v>26</v>
      </c>
      <c r="N463" s="8">
        <v>23.1</v>
      </c>
      <c r="O463" s="8">
        <v>6</v>
      </c>
      <c r="P463" s="8">
        <v>8</v>
      </c>
      <c r="Q463" s="8">
        <v>62.5</v>
      </c>
      <c r="R463" s="9">
        <v>6</v>
      </c>
      <c r="S463" s="9">
        <v>8</v>
      </c>
      <c r="T463" s="9">
        <v>14</v>
      </c>
      <c r="U463" s="9">
        <v>10</v>
      </c>
      <c r="V463" s="9">
        <v>14</v>
      </c>
      <c r="W463" s="9">
        <v>8</v>
      </c>
      <c r="X463" s="9">
        <v>4</v>
      </c>
      <c r="Y463" s="9">
        <v>16</v>
      </c>
      <c r="Z463" s="8">
        <v>116</v>
      </c>
      <c r="AA463" s="8">
        <v>0</v>
      </c>
      <c r="AB463" s="8">
        <v>0</v>
      </c>
      <c r="AC463" s="7">
        <v>-1.2</v>
      </c>
      <c r="AD463" s="7">
        <v>110.6</v>
      </c>
      <c r="AE463" s="7">
        <v>116.8</v>
      </c>
      <c r="AF463" s="7">
        <v>-6.2</v>
      </c>
      <c r="AG463" s="7">
        <v>7.9</v>
      </c>
      <c r="AH463" s="7">
        <v>0.64</v>
      </c>
      <c r="AI463" s="7">
        <v>10.1</v>
      </c>
      <c r="AJ463" s="7">
        <v>3.3</v>
      </c>
      <c r="AK463" s="7">
        <v>5.3</v>
      </c>
      <c r="AL463" s="7">
        <v>4.3</v>
      </c>
      <c r="AM463" s="7">
        <v>15.7</v>
      </c>
      <c r="AN463" s="7">
        <v>48.4</v>
      </c>
      <c r="AO463" s="7">
        <v>49.6</v>
      </c>
      <c r="AP463" s="7">
        <v>21.2</v>
      </c>
      <c r="AQ463" s="7">
        <v>108.85</v>
      </c>
      <c r="AR463" s="7">
        <v>3.8</v>
      </c>
      <c r="AS463" s="7">
        <v>331</v>
      </c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1"/>
    </row>
    <row r="464" spans="1:70" ht="13">
      <c r="A464" s="6" t="s">
        <v>965</v>
      </c>
      <c r="B464" s="6" t="s">
        <v>966</v>
      </c>
      <c r="C464" s="7">
        <v>27</v>
      </c>
      <c r="D464" s="7">
        <v>6</v>
      </c>
      <c r="E464" s="7">
        <v>4</v>
      </c>
      <c r="F464" s="7">
        <v>2</v>
      </c>
      <c r="G464" s="7">
        <v>20.2</v>
      </c>
      <c r="H464" s="8">
        <v>62</v>
      </c>
      <c r="I464" s="9">
        <v>22</v>
      </c>
      <c r="J464" s="9">
        <v>54</v>
      </c>
      <c r="K464" s="8">
        <v>40.700000000000003</v>
      </c>
      <c r="L464" s="9">
        <v>13</v>
      </c>
      <c r="M464" s="9">
        <v>35</v>
      </c>
      <c r="N464" s="8">
        <v>37.1</v>
      </c>
      <c r="O464" s="8">
        <v>5</v>
      </c>
      <c r="P464" s="8">
        <v>8</v>
      </c>
      <c r="Q464" s="8">
        <v>62.5</v>
      </c>
      <c r="R464" s="9">
        <v>6</v>
      </c>
      <c r="S464" s="9">
        <v>14</v>
      </c>
      <c r="T464" s="9">
        <v>20</v>
      </c>
      <c r="U464" s="9">
        <v>17</v>
      </c>
      <c r="V464" s="9">
        <v>10</v>
      </c>
      <c r="W464" s="9">
        <v>7</v>
      </c>
      <c r="X464" s="9">
        <v>2</v>
      </c>
      <c r="Y464" s="9">
        <v>18</v>
      </c>
      <c r="Z464" s="8">
        <v>128</v>
      </c>
      <c r="AA464" s="8">
        <v>1</v>
      </c>
      <c r="AB464" s="8">
        <v>0</v>
      </c>
      <c r="AC464" s="7">
        <v>4.5</v>
      </c>
      <c r="AD464" s="7">
        <v>108.3</v>
      </c>
      <c r="AE464" s="7">
        <v>97.4</v>
      </c>
      <c r="AF464" s="7">
        <v>10.9</v>
      </c>
      <c r="AG464" s="7">
        <v>20.5</v>
      </c>
      <c r="AH464" s="7">
        <v>1.7</v>
      </c>
      <c r="AI464" s="7">
        <v>20</v>
      </c>
      <c r="AJ464" s="7">
        <v>4.5999999999999996</v>
      </c>
      <c r="AK464" s="7">
        <v>10.4</v>
      </c>
      <c r="AL464" s="7">
        <v>7.5</v>
      </c>
      <c r="AM464" s="7">
        <v>11.8</v>
      </c>
      <c r="AN464" s="7">
        <v>52.8</v>
      </c>
      <c r="AO464" s="7">
        <v>53.9</v>
      </c>
      <c r="AP464" s="7">
        <v>22.3</v>
      </c>
      <c r="AQ464" s="7">
        <v>105.54</v>
      </c>
      <c r="AR464" s="7">
        <v>9.1</v>
      </c>
      <c r="AS464" s="7">
        <v>265</v>
      </c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1"/>
    </row>
    <row r="465" spans="1:70" ht="13">
      <c r="A465" s="6" t="s">
        <v>967</v>
      </c>
      <c r="B465" s="6" t="s">
        <v>968</v>
      </c>
      <c r="C465" s="7">
        <v>27</v>
      </c>
      <c r="D465" s="7">
        <v>14</v>
      </c>
      <c r="E465" s="7">
        <v>11</v>
      </c>
      <c r="F465" s="7">
        <v>3</v>
      </c>
      <c r="G465" s="7">
        <v>8.1</v>
      </c>
      <c r="H465" s="8">
        <v>62</v>
      </c>
      <c r="I465" s="9">
        <v>29</v>
      </c>
      <c r="J465" s="9">
        <v>45</v>
      </c>
      <c r="K465" s="8">
        <v>64.400000000000006</v>
      </c>
      <c r="L465" s="9">
        <v>1</v>
      </c>
      <c r="M465" s="9">
        <v>3</v>
      </c>
      <c r="N465" s="8">
        <v>33.299999999999997</v>
      </c>
      <c r="O465" s="8">
        <v>1</v>
      </c>
      <c r="P465" s="8">
        <v>6</v>
      </c>
      <c r="Q465" s="8">
        <v>33.299999999999997</v>
      </c>
      <c r="R465" s="9">
        <v>18</v>
      </c>
      <c r="S465" s="9">
        <v>24</v>
      </c>
      <c r="T465" s="9">
        <v>42</v>
      </c>
      <c r="U465" s="9">
        <v>6</v>
      </c>
      <c r="V465" s="9">
        <v>6</v>
      </c>
      <c r="W465" s="9">
        <v>1</v>
      </c>
      <c r="X465" s="9">
        <v>8</v>
      </c>
      <c r="Y465" s="9">
        <v>11</v>
      </c>
      <c r="Z465" s="8">
        <v>148</v>
      </c>
      <c r="AA465" s="8">
        <v>1</v>
      </c>
      <c r="AB465" s="8">
        <v>0</v>
      </c>
      <c r="AC465" s="7">
        <v>3.1</v>
      </c>
      <c r="AD465" s="7">
        <v>112.6</v>
      </c>
      <c r="AE465" s="7">
        <v>93.6</v>
      </c>
      <c r="AF465" s="7">
        <v>19</v>
      </c>
      <c r="AG465" s="7">
        <v>8</v>
      </c>
      <c r="AH465" s="7">
        <v>1.2</v>
      </c>
      <c r="AI465" s="7">
        <v>10.199999999999999</v>
      </c>
      <c r="AJ465" s="7">
        <v>15.1</v>
      </c>
      <c r="AK465" s="7">
        <v>19.2</v>
      </c>
      <c r="AL465" s="7">
        <v>17.2</v>
      </c>
      <c r="AM465" s="7">
        <v>8.5</v>
      </c>
      <c r="AN465" s="7">
        <v>65.599999999999994</v>
      </c>
      <c r="AO465" s="7">
        <v>64</v>
      </c>
      <c r="AP465" s="7">
        <v>18.2</v>
      </c>
      <c r="AQ465" s="7">
        <v>105.38</v>
      </c>
      <c r="AR465" s="7">
        <v>16</v>
      </c>
      <c r="AS465" s="7">
        <v>246</v>
      </c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1"/>
    </row>
    <row r="466" spans="1:70" ht="13">
      <c r="A466" s="6" t="s">
        <v>969</v>
      </c>
      <c r="B466" s="6" t="s">
        <v>970</v>
      </c>
      <c r="C466" s="7">
        <v>20</v>
      </c>
      <c r="D466" s="7">
        <v>27</v>
      </c>
      <c r="E466" s="7">
        <v>17</v>
      </c>
      <c r="F466" s="7">
        <v>10</v>
      </c>
      <c r="G466" s="7">
        <v>6.7</v>
      </c>
      <c r="H466" s="8">
        <v>62</v>
      </c>
      <c r="I466" s="9">
        <v>22</v>
      </c>
      <c r="J466" s="9">
        <v>68</v>
      </c>
      <c r="K466" s="8">
        <v>31.3</v>
      </c>
      <c r="L466" s="9">
        <v>8</v>
      </c>
      <c r="M466" s="9">
        <v>32</v>
      </c>
      <c r="N466" s="8">
        <v>28.1</v>
      </c>
      <c r="O466" s="8">
        <v>11</v>
      </c>
      <c r="P466" s="8">
        <v>14</v>
      </c>
      <c r="Q466" s="8">
        <v>78.599999999999994</v>
      </c>
      <c r="R466" s="9">
        <v>3</v>
      </c>
      <c r="S466" s="9">
        <v>14</v>
      </c>
      <c r="T466" s="9">
        <v>19</v>
      </c>
      <c r="U466" s="9">
        <v>22</v>
      </c>
      <c r="V466" s="9">
        <v>14</v>
      </c>
      <c r="W466" s="9">
        <v>8</v>
      </c>
      <c r="X466" s="9">
        <v>3</v>
      </c>
      <c r="Y466" s="9">
        <v>14</v>
      </c>
      <c r="Z466" s="8">
        <v>140</v>
      </c>
      <c r="AA466" s="8">
        <v>0</v>
      </c>
      <c r="AB466" s="8">
        <v>0</v>
      </c>
      <c r="AC466" s="7">
        <v>-2.6</v>
      </c>
      <c r="AD466" s="7">
        <v>95.5</v>
      </c>
      <c r="AE466" s="7">
        <v>114.1</v>
      </c>
      <c r="AF466" s="7">
        <v>-18.600000000000001</v>
      </c>
      <c r="AG466" s="7">
        <v>19.100000000000001</v>
      </c>
      <c r="AH466" s="7">
        <v>1.69</v>
      </c>
      <c r="AI466" s="7">
        <v>20.399999999999999</v>
      </c>
      <c r="AJ466" s="7">
        <v>2.1</v>
      </c>
      <c r="AK466" s="7">
        <v>7.6</v>
      </c>
      <c r="AL466" s="7">
        <v>4.8</v>
      </c>
      <c r="AM466" s="7">
        <v>12</v>
      </c>
      <c r="AN466" s="7">
        <v>38.1</v>
      </c>
      <c r="AO466" s="7">
        <v>42.4</v>
      </c>
      <c r="AP466" s="7">
        <v>19.899999999999999</v>
      </c>
      <c r="AQ466" s="7">
        <v>99.45</v>
      </c>
      <c r="AR466" s="7">
        <v>5</v>
      </c>
      <c r="AS466" s="7">
        <v>375</v>
      </c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1"/>
    </row>
    <row r="467" spans="1:70" ht="13">
      <c r="A467" s="6" t="s">
        <v>971</v>
      </c>
      <c r="B467" s="6" t="s">
        <v>972</v>
      </c>
      <c r="C467" s="7">
        <v>27</v>
      </c>
      <c r="D467" s="7">
        <v>21</v>
      </c>
      <c r="E467" s="7">
        <v>9</v>
      </c>
      <c r="F467" s="7">
        <v>12</v>
      </c>
      <c r="G467" s="7">
        <v>8.8000000000000007</v>
      </c>
      <c r="H467" s="8">
        <v>61</v>
      </c>
      <c r="I467" s="9">
        <v>27</v>
      </c>
      <c r="J467" s="9">
        <v>67</v>
      </c>
      <c r="K467" s="8">
        <v>41.8</v>
      </c>
      <c r="L467" s="9">
        <v>4</v>
      </c>
      <c r="M467" s="9">
        <v>8</v>
      </c>
      <c r="N467" s="8">
        <v>50</v>
      </c>
      <c r="O467" s="8">
        <v>0</v>
      </c>
      <c r="P467" s="8">
        <v>0</v>
      </c>
      <c r="Q467" s="8">
        <v>100</v>
      </c>
      <c r="R467" s="9">
        <v>6</v>
      </c>
      <c r="S467" s="9">
        <v>15</v>
      </c>
      <c r="T467" s="9">
        <v>21</v>
      </c>
      <c r="U467" s="9">
        <v>27</v>
      </c>
      <c r="V467" s="9">
        <v>15</v>
      </c>
      <c r="W467" s="9">
        <v>11</v>
      </c>
      <c r="X467" s="9">
        <v>2</v>
      </c>
      <c r="Y467" s="9">
        <v>13</v>
      </c>
      <c r="Z467" s="8">
        <v>147</v>
      </c>
      <c r="AA467" s="8">
        <v>0</v>
      </c>
      <c r="AB467" s="8">
        <v>0</v>
      </c>
      <c r="AC467" s="7">
        <v>0.2</v>
      </c>
      <c r="AD467" s="7">
        <v>109.3</v>
      </c>
      <c r="AE467" s="7">
        <v>105.7</v>
      </c>
      <c r="AF467" s="7">
        <v>3.6</v>
      </c>
      <c r="AG467" s="7">
        <v>20.8</v>
      </c>
      <c r="AH467" s="7">
        <v>1.8</v>
      </c>
      <c r="AI467" s="7">
        <v>24.8</v>
      </c>
      <c r="AJ467" s="7">
        <v>3.6</v>
      </c>
      <c r="AK467" s="7">
        <v>7.7</v>
      </c>
      <c r="AL467" s="7">
        <v>5.8</v>
      </c>
      <c r="AM467" s="7">
        <v>13.8</v>
      </c>
      <c r="AN467" s="7">
        <v>44.8</v>
      </c>
      <c r="AO467" s="7">
        <v>45.2</v>
      </c>
      <c r="AP467" s="7">
        <v>19.600000000000001</v>
      </c>
      <c r="AQ467" s="7">
        <v>99.36</v>
      </c>
      <c r="AR467" s="7">
        <v>6.5</v>
      </c>
      <c r="AS467" s="7">
        <v>377</v>
      </c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1"/>
    </row>
    <row r="468" spans="1:70" ht="13">
      <c r="A468" s="6" t="s">
        <v>973</v>
      </c>
      <c r="B468" s="6" t="s">
        <v>974</v>
      </c>
      <c r="C468" s="7">
        <v>26</v>
      </c>
      <c r="D468" s="7">
        <v>10</v>
      </c>
      <c r="E468" s="7">
        <v>5</v>
      </c>
      <c r="F468" s="7">
        <v>5</v>
      </c>
      <c r="G468" s="7">
        <v>17</v>
      </c>
      <c r="H468" s="8">
        <v>59</v>
      </c>
      <c r="I468" s="9">
        <v>22</v>
      </c>
      <c r="J468" s="9">
        <v>63</v>
      </c>
      <c r="K468" s="8">
        <v>34.9</v>
      </c>
      <c r="L468" s="9">
        <v>15</v>
      </c>
      <c r="M468" s="9">
        <v>47</v>
      </c>
      <c r="N468" s="8">
        <v>31.9</v>
      </c>
      <c r="O468" s="8">
        <v>0</v>
      </c>
      <c r="P468" s="8">
        <v>1</v>
      </c>
      <c r="Q468" s="8">
        <v>0</v>
      </c>
      <c r="R468" s="9">
        <v>5</v>
      </c>
      <c r="S468" s="9">
        <v>22</v>
      </c>
      <c r="T468" s="9">
        <v>27</v>
      </c>
      <c r="U468" s="9">
        <v>3</v>
      </c>
      <c r="V468" s="9">
        <v>4</v>
      </c>
      <c r="W468" s="9">
        <v>4</v>
      </c>
      <c r="X468" s="9">
        <v>2</v>
      </c>
      <c r="Y468" s="9">
        <v>12</v>
      </c>
      <c r="Z468" s="8">
        <v>110</v>
      </c>
      <c r="AA468" s="8">
        <v>0</v>
      </c>
      <c r="AB468" s="8">
        <v>0</v>
      </c>
      <c r="AC468" s="7">
        <v>5.4</v>
      </c>
      <c r="AD468" s="7">
        <v>114.2</v>
      </c>
      <c r="AE468" s="7">
        <v>100.5</v>
      </c>
      <c r="AF468" s="7">
        <v>13.7</v>
      </c>
      <c r="AG468" s="7">
        <v>2.2000000000000002</v>
      </c>
      <c r="AH468" s="7">
        <v>0.75</v>
      </c>
      <c r="AI468" s="7">
        <v>4.3</v>
      </c>
      <c r="AJ468" s="7">
        <v>2.6</v>
      </c>
      <c r="AK468" s="7">
        <v>11.9</v>
      </c>
      <c r="AL468" s="7">
        <v>7.2</v>
      </c>
      <c r="AM468" s="7">
        <v>5.7</v>
      </c>
      <c r="AN468" s="7">
        <v>46.8</v>
      </c>
      <c r="AO468" s="7">
        <v>46.5</v>
      </c>
      <c r="AP468" s="7">
        <v>15.5</v>
      </c>
      <c r="AQ468" s="7">
        <v>104.92</v>
      </c>
      <c r="AR468" s="7">
        <v>4.5999999999999996</v>
      </c>
      <c r="AS468" s="7">
        <v>372</v>
      </c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1"/>
    </row>
    <row r="469" spans="1:70" ht="13">
      <c r="A469" s="6" t="s">
        <v>975</v>
      </c>
      <c r="B469" s="6" t="s">
        <v>976</v>
      </c>
      <c r="C469" s="7">
        <v>26</v>
      </c>
      <c r="D469" s="7">
        <v>17</v>
      </c>
      <c r="E469" s="7">
        <v>2</v>
      </c>
      <c r="F469" s="7">
        <v>15</v>
      </c>
      <c r="G469" s="7">
        <v>8.6</v>
      </c>
      <c r="H469" s="8">
        <v>58</v>
      </c>
      <c r="I469" s="9">
        <v>26</v>
      </c>
      <c r="J469" s="9">
        <v>49</v>
      </c>
      <c r="K469" s="8">
        <v>53.1</v>
      </c>
      <c r="L469" s="8">
        <v>0</v>
      </c>
      <c r="M469" s="8">
        <v>0</v>
      </c>
      <c r="N469" s="8">
        <v>0</v>
      </c>
      <c r="O469" s="8">
        <v>7</v>
      </c>
      <c r="P469" s="8">
        <v>9</v>
      </c>
      <c r="Q469" s="8">
        <v>75</v>
      </c>
      <c r="R469" s="9">
        <v>20</v>
      </c>
      <c r="S469" s="9">
        <v>31</v>
      </c>
      <c r="T469" s="9">
        <v>51</v>
      </c>
      <c r="U469" s="9">
        <v>19</v>
      </c>
      <c r="V469" s="9">
        <v>14</v>
      </c>
      <c r="W469" s="9">
        <v>3</v>
      </c>
      <c r="X469" s="9">
        <v>9</v>
      </c>
      <c r="Y469" s="9">
        <v>27</v>
      </c>
      <c r="Z469" s="8">
        <v>172</v>
      </c>
      <c r="AA469" s="8">
        <v>0</v>
      </c>
      <c r="AB469" s="8">
        <v>0</v>
      </c>
      <c r="AC469" s="7">
        <v>-1.3</v>
      </c>
      <c r="AD469" s="7">
        <v>103.9</v>
      </c>
      <c r="AE469" s="7">
        <v>110.1</v>
      </c>
      <c r="AF469" s="7">
        <v>-6.1</v>
      </c>
      <c r="AG469" s="7">
        <v>19.399999999999999</v>
      </c>
      <c r="AH469" s="7">
        <v>1.29</v>
      </c>
      <c r="AI469" s="7">
        <v>21.2</v>
      </c>
      <c r="AJ469" s="7">
        <v>12.7</v>
      </c>
      <c r="AK469" s="7">
        <v>21</v>
      </c>
      <c r="AL469" s="7">
        <v>16.5</v>
      </c>
      <c r="AM469" s="7">
        <v>16.5</v>
      </c>
      <c r="AN469" s="7">
        <v>53.1</v>
      </c>
      <c r="AO469" s="7">
        <v>55.2</v>
      </c>
      <c r="AP469" s="7">
        <v>18.2</v>
      </c>
      <c r="AQ469" s="7">
        <v>100.37</v>
      </c>
      <c r="AR469" s="7">
        <v>10</v>
      </c>
      <c r="AS469" s="7">
        <v>305</v>
      </c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1"/>
    </row>
    <row r="470" spans="1:70" ht="13">
      <c r="A470" s="6" t="s">
        <v>977</v>
      </c>
      <c r="B470" s="6" t="s">
        <v>978</v>
      </c>
      <c r="C470" s="7">
        <v>31</v>
      </c>
      <c r="D470" s="7">
        <v>16</v>
      </c>
      <c r="E470" s="7">
        <v>7</v>
      </c>
      <c r="F470" s="7">
        <v>9</v>
      </c>
      <c r="G470" s="7">
        <v>13.1</v>
      </c>
      <c r="H470" s="8">
        <v>56</v>
      </c>
      <c r="I470" s="9">
        <v>21</v>
      </c>
      <c r="J470" s="9">
        <v>58</v>
      </c>
      <c r="K470" s="8">
        <v>36.200000000000003</v>
      </c>
      <c r="L470" s="9">
        <v>6</v>
      </c>
      <c r="M470" s="9">
        <v>26</v>
      </c>
      <c r="N470" s="8">
        <v>26.9</v>
      </c>
      <c r="O470" s="8">
        <v>6</v>
      </c>
      <c r="P470" s="8">
        <v>10</v>
      </c>
      <c r="Q470" s="8">
        <v>70</v>
      </c>
      <c r="R470" s="9">
        <v>14</v>
      </c>
      <c r="S470" s="9">
        <v>37</v>
      </c>
      <c r="T470" s="9">
        <v>50</v>
      </c>
      <c r="U470" s="9">
        <v>22</v>
      </c>
      <c r="V470" s="9">
        <v>14</v>
      </c>
      <c r="W470" s="9">
        <v>6</v>
      </c>
      <c r="X470" s="9">
        <v>2</v>
      </c>
      <c r="Y470" s="9">
        <v>19</v>
      </c>
      <c r="Z470" s="8">
        <v>160</v>
      </c>
      <c r="AA470" s="8">
        <v>1</v>
      </c>
      <c r="AB470" s="8">
        <v>0</v>
      </c>
      <c r="AC470" s="7">
        <v>-3.1</v>
      </c>
      <c r="AD470" s="7">
        <v>97.3</v>
      </c>
      <c r="AE470" s="7">
        <v>108.7</v>
      </c>
      <c r="AF470" s="7">
        <v>-11.5</v>
      </c>
      <c r="AG470" s="7">
        <v>17</v>
      </c>
      <c r="AH470" s="7">
        <v>1.53</v>
      </c>
      <c r="AI470" s="7">
        <v>22.8</v>
      </c>
      <c r="AJ470" s="7">
        <v>5.9</v>
      </c>
      <c r="AK470" s="7">
        <v>15.8</v>
      </c>
      <c r="AL470" s="7">
        <v>10.7</v>
      </c>
      <c r="AM470" s="7">
        <v>14.9</v>
      </c>
      <c r="AN470" s="7">
        <v>42.2</v>
      </c>
      <c r="AO470" s="7">
        <v>44.9</v>
      </c>
      <c r="AP470" s="7">
        <v>15.7</v>
      </c>
      <c r="AQ470" s="7">
        <v>99.59</v>
      </c>
      <c r="AR470" s="7">
        <v>6.7</v>
      </c>
      <c r="AS470" s="7">
        <v>437</v>
      </c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1"/>
    </row>
    <row r="471" spans="1:70" ht="13">
      <c r="A471" s="6" t="s">
        <v>979</v>
      </c>
      <c r="B471" s="6" t="s">
        <v>980</v>
      </c>
      <c r="C471" s="7">
        <v>35</v>
      </c>
      <c r="D471" s="7">
        <v>15</v>
      </c>
      <c r="E471" s="7">
        <v>7</v>
      </c>
      <c r="F471" s="7">
        <v>8</v>
      </c>
      <c r="G471" s="7">
        <v>11</v>
      </c>
      <c r="H471" s="8">
        <v>56</v>
      </c>
      <c r="I471" s="9">
        <v>21</v>
      </c>
      <c r="J471" s="9">
        <v>71</v>
      </c>
      <c r="K471" s="8">
        <v>30</v>
      </c>
      <c r="L471" s="9">
        <v>9</v>
      </c>
      <c r="M471" s="9">
        <v>36</v>
      </c>
      <c r="N471" s="8">
        <v>25</v>
      </c>
      <c r="O471" s="8">
        <v>5</v>
      </c>
      <c r="P471" s="8">
        <v>6</v>
      </c>
      <c r="Q471" s="8">
        <v>83.3</v>
      </c>
      <c r="R471" s="9">
        <v>3</v>
      </c>
      <c r="S471" s="9">
        <v>20</v>
      </c>
      <c r="T471" s="9">
        <v>23</v>
      </c>
      <c r="U471" s="9">
        <v>21</v>
      </c>
      <c r="V471" s="9">
        <v>5</v>
      </c>
      <c r="W471" s="9">
        <v>2</v>
      </c>
      <c r="X471" s="9">
        <v>3</v>
      </c>
      <c r="Y471" s="9">
        <v>17</v>
      </c>
      <c r="Z471" s="8">
        <v>125</v>
      </c>
      <c r="AA471" s="8">
        <v>0</v>
      </c>
      <c r="AB471" s="8">
        <v>0</v>
      </c>
      <c r="AC471" s="7">
        <v>-1.9</v>
      </c>
      <c r="AD471" s="7">
        <v>106.1</v>
      </c>
      <c r="AE471" s="7">
        <v>113.9</v>
      </c>
      <c r="AF471" s="7">
        <v>-7.8</v>
      </c>
      <c r="AG471" s="7">
        <v>19.100000000000001</v>
      </c>
      <c r="AH471" s="7">
        <v>4.2</v>
      </c>
      <c r="AI471" s="7">
        <v>21.2</v>
      </c>
      <c r="AJ471" s="7">
        <v>1.7</v>
      </c>
      <c r="AK471" s="7">
        <v>11.4</v>
      </c>
      <c r="AL471" s="7">
        <v>6.6</v>
      </c>
      <c r="AM471" s="7">
        <v>5.0999999999999996</v>
      </c>
      <c r="AN471" s="7">
        <v>36.4</v>
      </c>
      <c r="AO471" s="7">
        <v>38.5</v>
      </c>
      <c r="AP471" s="7">
        <v>20.2</v>
      </c>
      <c r="AQ471" s="7">
        <v>100.86</v>
      </c>
      <c r="AR471" s="7">
        <v>4.5</v>
      </c>
      <c r="AS471" s="7">
        <v>345</v>
      </c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1"/>
    </row>
    <row r="472" spans="1:70" ht="13">
      <c r="A472" s="6" t="s">
        <v>981</v>
      </c>
      <c r="B472" s="6" t="s">
        <v>982</v>
      </c>
      <c r="C472" s="7">
        <v>25</v>
      </c>
      <c r="D472" s="7">
        <v>7</v>
      </c>
      <c r="E472" s="7">
        <v>1</v>
      </c>
      <c r="F472" s="7">
        <v>6</v>
      </c>
      <c r="G472" s="7">
        <v>21.6</v>
      </c>
      <c r="H472" s="8">
        <v>55</v>
      </c>
      <c r="I472" s="9">
        <v>17</v>
      </c>
      <c r="J472" s="9">
        <v>52</v>
      </c>
      <c r="K472" s="8">
        <v>32.700000000000003</v>
      </c>
      <c r="L472" s="9">
        <v>13</v>
      </c>
      <c r="M472" s="9">
        <v>44</v>
      </c>
      <c r="N472" s="8">
        <v>29.5</v>
      </c>
      <c r="O472" s="8">
        <v>8</v>
      </c>
      <c r="P472" s="8">
        <v>10</v>
      </c>
      <c r="Q472" s="8">
        <v>80</v>
      </c>
      <c r="R472" s="9">
        <v>3</v>
      </c>
      <c r="S472" s="9">
        <v>6</v>
      </c>
      <c r="T472" s="9">
        <v>9</v>
      </c>
      <c r="U472" s="9">
        <v>12</v>
      </c>
      <c r="V472" s="9">
        <v>8</v>
      </c>
      <c r="W472" s="9">
        <v>3</v>
      </c>
      <c r="X472" s="9">
        <v>1</v>
      </c>
      <c r="Y472" s="9">
        <v>17</v>
      </c>
      <c r="Z472" s="8">
        <v>88</v>
      </c>
      <c r="AA472" s="8">
        <v>0</v>
      </c>
      <c r="AB472" s="8">
        <v>0</v>
      </c>
      <c r="AC472" s="7">
        <v>-10</v>
      </c>
      <c r="AD472" s="7">
        <v>98.8</v>
      </c>
      <c r="AE472" s="7">
        <v>119.3</v>
      </c>
      <c r="AF472" s="7">
        <v>-20.5</v>
      </c>
      <c r="AG472" s="7">
        <v>12.6</v>
      </c>
      <c r="AH472" s="7">
        <v>1.5</v>
      </c>
      <c r="AI472" s="7">
        <v>15.6</v>
      </c>
      <c r="AJ472" s="7">
        <v>1.8</v>
      </c>
      <c r="AK472" s="7">
        <v>4.5999999999999996</v>
      </c>
      <c r="AL472" s="7">
        <v>3</v>
      </c>
      <c r="AM472" s="7">
        <v>10.4</v>
      </c>
      <c r="AN472" s="7">
        <v>45.2</v>
      </c>
      <c r="AO472" s="7">
        <v>48.8</v>
      </c>
      <c r="AP472" s="7">
        <v>17.7</v>
      </c>
      <c r="AQ472" s="7">
        <v>105.16</v>
      </c>
      <c r="AR472" s="7">
        <v>2.4</v>
      </c>
      <c r="AS472" s="7">
        <v>330</v>
      </c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1"/>
    </row>
    <row r="473" spans="1:70" ht="13">
      <c r="A473" s="6" t="s">
        <v>983</v>
      </c>
      <c r="B473" s="6" t="s">
        <v>984</v>
      </c>
      <c r="C473" s="7">
        <v>25</v>
      </c>
      <c r="D473" s="7">
        <v>25</v>
      </c>
      <c r="E473" s="7">
        <v>17</v>
      </c>
      <c r="F473" s="7">
        <v>8</v>
      </c>
      <c r="G473" s="7">
        <v>7.4</v>
      </c>
      <c r="H473" s="8">
        <v>55</v>
      </c>
      <c r="I473" s="9">
        <v>18</v>
      </c>
      <c r="J473" s="9">
        <v>40</v>
      </c>
      <c r="K473" s="8">
        <v>41.5</v>
      </c>
      <c r="L473" s="9">
        <v>13</v>
      </c>
      <c r="M473" s="9">
        <v>33</v>
      </c>
      <c r="N473" s="8">
        <v>39.4</v>
      </c>
      <c r="O473" s="8">
        <v>8</v>
      </c>
      <c r="P473" s="8">
        <v>10</v>
      </c>
      <c r="Q473" s="8">
        <v>77.8</v>
      </c>
      <c r="R473" s="9">
        <v>10</v>
      </c>
      <c r="S473" s="9">
        <v>30</v>
      </c>
      <c r="T473" s="9">
        <v>40</v>
      </c>
      <c r="U473" s="9">
        <v>13</v>
      </c>
      <c r="V473" s="9">
        <v>8</v>
      </c>
      <c r="W473" s="9">
        <v>5</v>
      </c>
      <c r="X473" s="9">
        <v>3</v>
      </c>
      <c r="Y473" s="9">
        <v>18</v>
      </c>
      <c r="Z473" s="8">
        <v>135</v>
      </c>
      <c r="AA473" s="8">
        <v>0</v>
      </c>
      <c r="AB473" s="8">
        <v>0</v>
      </c>
      <c r="AC473" s="7">
        <v>1.8</v>
      </c>
      <c r="AD473" s="7">
        <v>115.7</v>
      </c>
      <c r="AE473" s="7">
        <v>102.9</v>
      </c>
      <c r="AF473" s="7">
        <v>12.8</v>
      </c>
      <c r="AG473" s="7">
        <v>9.5</v>
      </c>
      <c r="AH473" s="7">
        <v>1.63</v>
      </c>
      <c r="AI473" s="7">
        <v>19.7</v>
      </c>
      <c r="AJ473" s="7">
        <v>5.0999999999999996</v>
      </c>
      <c r="AK473" s="7">
        <v>16.100000000000001</v>
      </c>
      <c r="AL473" s="7">
        <v>10.8</v>
      </c>
      <c r="AM473" s="7">
        <v>12.1</v>
      </c>
      <c r="AN473" s="7">
        <v>57.3</v>
      </c>
      <c r="AO473" s="7">
        <v>60.1</v>
      </c>
      <c r="AP473" s="7">
        <v>12.1</v>
      </c>
      <c r="AQ473" s="7">
        <v>96.96</v>
      </c>
      <c r="AR473" s="7">
        <v>7.8</v>
      </c>
      <c r="AS473" s="7">
        <v>375</v>
      </c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1"/>
    </row>
    <row r="474" spans="1:70" ht="13">
      <c r="A474" s="6" t="s">
        <v>985</v>
      </c>
      <c r="B474" s="6" t="s">
        <v>986</v>
      </c>
      <c r="C474" s="7">
        <v>23</v>
      </c>
      <c r="D474" s="7">
        <v>6</v>
      </c>
      <c r="E474" s="7">
        <v>1</v>
      </c>
      <c r="F474" s="7">
        <v>5</v>
      </c>
      <c r="G474" s="7">
        <v>27.1</v>
      </c>
      <c r="H474" s="8">
        <v>54</v>
      </c>
      <c r="I474" s="9">
        <v>18</v>
      </c>
      <c r="J474" s="9">
        <v>43</v>
      </c>
      <c r="K474" s="8">
        <v>41.9</v>
      </c>
      <c r="L474" s="9">
        <v>8</v>
      </c>
      <c r="M474" s="9">
        <v>21</v>
      </c>
      <c r="N474" s="8">
        <v>38.1</v>
      </c>
      <c r="O474" s="8">
        <v>10</v>
      </c>
      <c r="P474" s="8">
        <v>12</v>
      </c>
      <c r="Q474" s="8">
        <v>83.3</v>
      </c>
      <c r="R474" s="9">
        <v>5</v>
      </c>
      <c r="S474" s="9">
        <v>13</v>
      </c>
      <c r="T474" s="9">
        <v>18</v>
      </c>
      <c r="U474" s="9">
        <v>31</v>
      </c>
      <c r="V474" s="9">
        <v>9</v>
      </c>
      <c r="W474" s="9">
        <v>4</v>
      </c>
      <c r="X474" s="9">
        <v>4</v>
      </c>
      <c r="Y474" s="9">
        <v>13</v>
      </c>
      <c r="Z474" s="8">
        <v>137</v>
      </c>
      <c r="AA474" s="8">
        <v>0</v>
      </c>
      <c r="AB474" s="8">
        <v>0</v>
      </c>
      <c r="AC474" s="7">
        <v>-4</v>
      </c>
      <c r="AD474" s="7">
        <v>109.9</v>
      </c>
      <c r="AE474" s="7">
        <v>115.6</v>
      </c>
      <c r="AF474" s="7">
        <v>-5.7</v>
      </c>
      <c r="AG474" s="7">
        <v>27.4</v>
      </c>
      <c r="AH474" s="7">
        <v>3.44</v>
      </c>
      <c r="AI474" s="7">
        <v>34.799999999999997</v>
      </c>
      <c r="AJ474" s="7">
        <v>2.8</v>
      </c>
      <c r="AK474" s="7">
        <v>8.6999999999999993</v>
      </c>
      <c r="AL474" s="7">
        <v>5.5</v>
      </c>
      <c r="AM474" s="7">
        <v>10.1</v>
      </c>
      <c r="AN474" s="7">
        <v>51.2</v>
      </c>
      <c r="AO474" s="7">
        <v>55.9</v>
      </c>
      <c r="AP474" s="7">
        <v>14.5</v>
      </c>
      <c r="AQ474" s="7">
        <v>101.72</v>
      </c>
      <c r="AR474" s="7">
        <v>8.5</v>
      </c>
      <c r="AS474" s="7">
        <v>342</v>
      </c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1"/>
    </row>
    <row r="475" spans="1:70" ht="13">
      <c r="A475" s="6" t="s">
        <v>987</v>
      </c>
      <c r="B475" s="6" t="s">
        <v>988</v>
      </c>
      <c r="C475" s="7">
        <v>21</v>
      </c>
      <c r="D475" s="7">
        <v>10</v>
      </c>
      <c r="E475" s="7">
        <v>6</v>
      </c>
      <c r="F475" s="7">
        <v>4</v>
      </c>
      <c r="G475" s="7">
        <v>12.4</v>
      </c>
      <c r="H475" s="8">
        <v>53</v>
      </c>
      <c r="I475" s="9">
        <v>18</v>
      </c>
      <c r="J475" s="9">
        <v>47</v>
      </c>
      <c r="K475" s="8">
        <v>38.299999999999997</v>
      </c>
      <c r="L475" s="9">
        <v>4</v>
      </c>
      <c r="M475" s="9">
        <v>19</v>
      </c>
      <c r="N475" s="8">
        <v>21.1</v>
      </c>
      <c r="O475" s="8">
        <v>13</v>
      </c>
      <c r="P475" s="8">
        <v>18</v>
      </c>
      <c r="Q475" s="8">
        <v>72.2</v>
      </c>
      <c r="R475" s="9">
        <v>5</v>
      </c>
      <c r="S475" s="9">
        <v>16</v>
      </c>
      <c r="T475" s="9">
        <v>21</v>
      </c>
      <c r="U475" s="9">
        <v>17</v>
      </c>
      <c r="V475" s="9">
        <v>8</v>
      </c>
      <c r="W475" s="9">
        <v>3</v>
      </c>
      <c r="X475" s="9">
        <v>2</v>
      </c>
      <c r="Y475" s="9">
        <v>9</v>
      </c>
      <c r="Z475" s="8">
        <v>111</v>
      </c>
      <c r="AA475" s="8">
        <v>0</v>
      </c>
      <c r="AB475" s="8">
        <v>0</v>
      </c>
      <c r="AC475" s="7">
        <v>-2.2999999999999998</v>
      </c>
      <c r="AD475" s="7">
        <v>95.3</v>
      </c>
      <c r="AE475" s="7">
        <v>103.3</v>
      </c>
      <c r="AF475" s="7">
        <v>-8</v>
      </c>
      <c r="AG475" s="7">
        <v>21.3</v>
      </c>
      <c r="AH475" s="7">
        <v>2.13</v>
      </c>
      <c r="AI475" s="7">
        <v>21.3</v>
      </c>
      <c r="AJ475" s="7">
        <v>3.5</v>
      </c>
      <c r="AK475" s="7">
        <v>12.3</v>
      </c>
      <c r="AL475" s="7">
        <v>7.7</v>
      </c>
      <c r="AM475" s="7">
        <v>10</v>
      </c>
      <c r="AN475" s="7">
        <v>42.6</v>
      </c>
      <c r="AO475" s="7">
        <v>48.3</v>
      </c>
      <c r="AP475" s="7">
        <v>20.3</v>
      </c>
      <c r="AQ475" s="7">
        <v>106.96</v>
      </c>
      <c r="AR475" s="7">
        <v>8.6</v>
      </c>
      <c r="AS475" s="7">
        <v>275</v>
      </c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1"/>
    </row>
    <row r="476" spans="1:70" ht="13">
      <c r="A476" s="6" t="s">
        <v>989</v>
      </c>
      <c r="B476" s="6" t="s">
        <v>990</v>
      </c>
      <c r="C476" s="7">
        <v>26</v>
      </c>
      <c r="D476" s="7">
        <v>9</v>
      </c>
      <c r="E476" s="7">
        <v>2</v>
      </c>
      <c r="F476" s="7">
        <v>7</v>
      </c>
      <c r="G476" s="7">
        <v>21.9</v>
      </c>
      <c r="H476" s="8">
        <v>53</v>
      </c>
      <c r="I476" s="9">
        <v>20</v>
      </c>
      <c r="J476" s="9">
        <v>40</v>
      </c>
      <c r="K476" s="8">
        <v>50</v>
      </c>
      <c r="L476" s="9">
        <v>11</v>
      </c>
      <c r="M476" s="9">
        <v>28</v>
      </c>
      <c r="N476" s="8">
        <v>39.299999999999997</v>
      </c>
      <c r="O476" s="8">
        <v>2</v>
      </c>
      <c r="P476" s="8">
        <v>3</v>
      </c>
      <c r="Q476" s="8">
        <v>66.7</v>
      </c>
      <c r="R476" s="9">
        <v>21</v>
      </c>
      <c r="S476" s="9">
        <v>26</v>
      </c>
      <c r="T476" s="9">
        <v>47</v>
      </c>
      <c r="U476" s="9">
        <v>15</v>
      </c>
      <c r="V476" s="9">
        <v>3</v>
      </c>
      <c r="W476" s="9">
        <v>5</v>
      </c>
      <c r="X476" s="9">
        <v>4</v>
      </c>
      <c r="Y476" s="9">
        <v>5</v>
      </c>
      <c r="Z476" s="8">
        <v>156</v>
      </c>
      <c r="AA476" s="8">
        <v>1</v>
      </c>
      <c r="AB476" s="8">
        <v>0</v>
      </c>
      <c r="AC476" s="7">
        <v>-3.1</v>
      </c>
      <c r="AD476" s="7">
        <v>115.8</v>
      </c>
      <c r="AE476" s="7">
        <v>122.1</v>
      </c>
      <c r="AF476" s="7">
        <v>-6.3</v>
      </c>
      <c r="AG476" s="7">
        <v>10.1</v>
      </c>
      <c r="AH476" s="7">
        <v>5</v>
      </c>
      <c r="AI476" s="7">
        <v>25.4</v>
      </c>
      <c r="AJ476" s="7">
        <v>9.9</v>
      </c>
      <c r="AK476" s="7">
        <v>14.1</v>
      </c>
      <c r="AL476" s="7">
        <v>11.8</v>
      </c>
      <c r="AM476" s="7">
        <v>5.0999999999999996</v>
      </c>
      <c r="AN476" s="7">
        <v>63.8</v>
      </c>
      <c r="AO476" s="7">
        <v>64.099999999999994</v>
      </c>
      <c r="AP476" s="7">
        <v>9.3000000000000007</v>
      </c>
      <c r="AQ476" s="7">
        <v>99.08</v>
      </c>
      <c r="AR476" s="7">
        <v>8.9</v>
      </c>
      <c r="AS476" s="7">
        <v>405</v>
      </c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1"/>
    </row>
    <row r="477" spans="1:70" ht="13">
      <c r="A477" s="13" t="s">
        <v>991</v>
      </c>
      <c r="B477" s="6" t="s">
        <v>992</v>
      </c>
      <c r="C477" s="7">
        <v>22</v>
      </c>
      <c r="D477" s="7">
        <v>24</v>
      </c>
      <c r="E477" s="7">
        <v>3</v>
      </c>
      <c r="F477" s="7">
        <v>21</v>
      </c>
      <c r="G477" s="7">
        <v>4.4000000000000004</v>
      </c>
      <c r="H477" s="8">
        <v>53</v>
      </c>
      <c r="I477" s="9">
        <v>19</v>
      </c>
      <c r="J477" s="9">
        <v>36</v>
      </c>
      <c r="K477" s="8">
        <v>54.3</v>
      </c>
      <c r="L477" s="9">
        <v>12</v>
      </c>
      <c r="M477" s="9">
        <v>24</v>
      </c>
      <c r="N477" s="8">
        <v>56.5</v>
      </c>
      <c r="O477" s="8">
        <v>2</v>
      </c>
      <c r="P477" s="8">
        <v>5</v>
      </c>
      <c r="Q477" s="8">
        <v>50</v>
      </c>
      <c r="R477" s="9">
        <v>5</v>
      </c>
      <c r="S477" s="9">
        <v>19</v>
      </c>
      <c r="T477" s="9">
        <v>24</v>
      </c>
      <c r="U477" s="9">
        <v>2</v>
      </c>
      <c r="V477" s="9">
        <v>5</v>
      </c>
      <c r="W477" s="9">
        <v>2</v>
      </c>
      <c r="X477" s="9">
        <v>2</v>
      </c>
      <c r="Y477" s="9">
        <v>7</v>
      </c>
      <c r="Z477" s="8">
        <v>98</v>
      </c>
      <c r="AA477" s="8">
        <v>0</v>
      </c>
      <c r="AB477" s="8">
        <v>0</v>
      </c>
      <c r="AC477" s="7">
        <v>1.2</v>
      </c>
      <c r="AD477" s="7">
        <v>114.6</v>
      </c>
      <c r="AE477" s="7">
        <v>102.1</v>
      </c>
      <c r="AF477" s="7">
        <v>12.4</v>
      </c>
      <c r="AG477" s="7">
        <v>4.2</v>
      </c>
      <c r="AH477" s="7">
        <v>0.6</v>
      </c>
      <c r="AI477" s="7">
        <v>6.7</v>
      </c>
      <c r="AJ477" s="7">
        <v>3.8</v>
      </c>
      <c r="AK477" s="7">
        <v>18.899999999999999</v>
      </c>
      <c r="AL477" s="7">
        <v>10.5</v>
      </c>
      <c r="AM477" s="7">
        <v>11.1</v>
      </c>
      <c r="AN477" s="7">
        <v>72.900000000000006</v>
      </c>
      <c r="AO477" s="7">
        <v>72.099999999999994</v>
      </c>
      <c r="AP477" s="7">
        <v>15.1</v>
      </c>
      <c r="AQ477" s="7">
        <v>104.77</v>
      </c>
      <c r="AR477" s="7">
        <v>12.2</v>
      </c>
      <c r="AS477" s="7">
        <v>233</v>
      </c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1"/>
    </row>
    <row r="478" spans="1:70" ht="13">
      <c r="A478" s="6" t="s">
        <v>993</v>
      </c>
      <c r="B478" s="6" t="s">
        <v>994</v>
      </c>
      <c r="C478" s="7">
        <v>39</v>
      </c>
      <c r="D478" s="7">
        <v>28</v>
      </c>
      <c r="E478" s="7">
        <v>11</v>
      </c>
      <c r="F478" s="7">
        <v>17</v>
      </c>
      <c r="G478" s="7">
        <v>8.1</v>
      </c>
      <c r="H478" s="8">
        <v>53</v>
      </c>
      <c r="I478" s="9">
        <v>17</v>
      </c>
      <c r="J478" s="9">
        <v>59</v>
      </c>
      <c r="K478" s="8">
        <v>30</v>
      </c>
      <c r="L478" s="9">
        <v>6</v>
      </c>
      <c r="M478" s="9">
        <v>28</v>
      </c>
      <c r="N478" s="8">
        <v>21.4</v>
      </c>
      <c r="O478" s="8">
        <v>11</v>
      </c>
      <c r="P478" s="8">
        <v>11</v>
      </c>
      <c r="Q478" s="8">
        <v>91.7</v>
      </c>
      <c r="R478" s="9">
        <v>8</v>
      </c>
      <c r="S478" s="9">
        <v>20</v>
      </c>
      <c r="T478" s="9">
        <v>28</v>
      </c>
      <c r="U478" s="9">
        <v>31</v>
      </c>
      <c r="V478" s="9">
        <v>11</v>
      </c>
      <c r="W478" s="9">
        <v>17</v>
      </c>
      <c r="X478" s="9">
        <v>3</v>
      </c>
      <c r="Y478" s="9">
        <v>22</v>
      </c>
      <c r="Z478" s="8">
        <v>182</v>
      </c>
      <c r="AA478" s="8">
        <v>0</v>
      </c>
      <c r="AB478" s="8">
        <v>0</v>
      </c>
      <c r="AC478" s="7">
        <v>-1</v>
      </c>
      <c r="AD478" s="7">
        <v>106.6</v>
      </c>
      <c r="AE478" s="7">
        <v>111.1</v>
      </c>
      <c r="AF478" s="7">
        <v>-4.5</v>
      </c>
      <c r="AG478" s="7">
        <v>17.100000000000001</v>
      </c>
      <c r="AH478" s="7">
        <v>3.1</v>
      </c>
      <c r="AI478" s="7">
        <v>29</v>
      </c>
      <c r="AJ478" s="7">
        <v>3.6</v>
      </c>
      <c r="AK478" s="7">
        <v>9</v>
      </c>
      <c r="AL478" s="7">
        <v>6.1</v>
      </c>
      <c r="AM478" s="7">
        <v>9.3000000000000007</v>
      </c>
      <c r="AN478" s="7">
        <v>35</v>
      </c>
      <c r="AO478" s="7">
        <v>40.6</v>
      </c>
      <c r="AP478" s="7">
        <v>12.9</v>
      </c>
      <c r="AQ478" s="7">
        <v>105.94</v>
      </c>
      <c r="AR478" s="7">
        <v>5.0999999999999996</v>
      </c>
      <c r="AS478" s="7">
        <v>498</v>
      </c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1"/>
    </row>
    <row r="479" spans="1:70" ht="13">
      <c r="A479" s="6" t="s">
        <v>995</v>
      </c>
      <c r="B479" s="6" t="s">
        <v>996</v>
      </c>
      <c r="C479" s="7">
        <v>26</v>
      </c>
      <c r="D479" s="7">
        <v>6</v>
      </c>
      <c r="E479" s="7">
        <v>1</v>
      </c>
      <c r="F479" s="7">
        <v>5</v>
      </c>
      <c r="G479" s="7">
        <v>23.7</v>
      </c>
      <c r="H479" s="8">
        <v>52</v>
      </c>
      <c r="I479" s="9">
        <v>19</v>
      </c>
      <c r="J479" s="9">
        <v>39</v>
      </c>
      <c r="K479" s="8">
        <v>48.7</v>
      </c>
      <c r="L479" s="9">
        <v>6</v>
      </c>
      <c r="M479" s="9">
        <v>18</v>
      </c>
      <c r="N479" s="8">
        <v>33.299999999999997</v>
      </c>
      <c r="O479" s="8">
        <v>8</v>
      </c>
      <c r="P479" s="8">
        <v>14</v>
      </c>
      <c r="Q479" s="8">
        <v>57.1</v>
      </c>
      <c r="R479" s="9">
        <v>7</v>
      </c>
      <c r="S479" s="9">
        <v>15</v>
      </c>
      <c r="T479" s="9">
        <v>22</v>
      </c>
      <c r="U479" s="9">
        <v>4</v>
      </c>
      <c r="V479" s="9">
        <v>8</v>
      </c>
      <c r="W479" s="9">
        <v>4</v>
      </c>
      <c r="X479" s="9">
        <v>3</v>
      </c>
      <c r="Y479" s="9">
        <v>14</v>
      </c>
      <c r="Z479" s="8">
        <v>97</v>
      </c>
      <c r="AA479" s="8">
        <v>0</v>
      </c>
      <c r="AB479" s="8">
        <v>0</v>
      </c>
      <c r="AC479" s="7">
        <v>-5.2</v>
      </c>
      <c r="AD479" s="7">
        <v>113.6</v>
      </c>
      <c r="AE479" s="7">
        <v>124.3</v>
      </c>
      <c r="AF479" s="7">
        <v>-10.7</v>
      </c>
      <c r="AG479" s="7">
        <v>4</v>
      </c>
      <c r="AH479" s="7">
        <v>0.5</v>
      </c>
      <c r="AI479" s="7">
        <v>7.1</v>
      </c>
      <c r="AJ479" s="7">
        <v>4.7</v>
      </c>
      <c r="AK479" s="7">
        <v>11.5</v>
      </c>
      <c r="AL479" s="7">
        <v>7.9</v>
      </c>
      <c r="AM479" s="7">
        <v>14.3</v>
      </c>
      <c r="AN479" s="7">
        <v>56.4</v>
      </c>
      <c r="AO479" s="7">
        <v>57.6</v>
      </c>
      <c r="AP479" s="7">
        <v>15.4</v>
      </c>
      <c r="AQ479" s="7">
        <v>101.4</v>
      </c>
      <c r="AR479" s="7">
        <v>5</v>
      </c>
      <c r="AS479" s="7">
        <v>301</v>
      </c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1"/>
    </row>
    <row r="480" spans="1:70" ht="13">
      <c r="A480" s="6" t="s">
        <v>997</v>
      </c>
      <c r="B480" s="6" t="s">
        <v>998</v>
      </c>
      <c r="C480" s="7">
        <v>23</v>
      </c>
      <c r="D480" s="7">
        <v>25</v>
      </c>
      <c r="E480" s="7">
        <v>17</v>
      </c>
      <c r="F480" s="7">
        <v>8</v>
      </c>
      <c r="G480" s="7">
        <v>8.6999999999999993</v>
      </c>
      <c r="H480" s="8">
        <v>48</v>
      </c>
      <c r="I480" s="9">
        <v>20</v>
      </c>
      <c r="J480" s="9">
        <v>30</v>
      </c>
      <c r="K480" s="8">
        <v>67.7</v>
      </c>
      <c r="L480" s="8">
        <v>0</v>
      </c>
      <c r="M480" s="8">
        <v>0</v>
      </c>
      <c r="N480" s="8">
        <v>0</v>
      </c>
      <c r="O480" s="8">
        <v>5</v>
      </c>
      <c r="P480" s="8">
        <v>13</v>
      </c>
      <c r="Q480" s="8">
        <v>46.2</v>
      </c>
      <c r="R480" s="9">
        <v>15</v>
      </c>
      <c r="S480" s="9">
        <v>38</v>
      </c>
      <c r="T480" s="9">
        <v>50</v>
      </c>
      <c r="U480" s="9">
        <v>10</v>
      </c>
      <c r="V480" s="9">
        <v>20</v>
      </c>
      <c r="W480" s="8">
        <v>0</v>
      </c>
      <c r="X480" s="9">
        <v>15</v>
      </c>
      <c r="Y480" s="9">
        <v>33</v>
      </c>
      <c r="Z480" s="8">
        <v>153</v>
      </c>
      <c r="AA480" s="8">
        <v>0</v>
      </c>
      <c r="AB480" s="8">
        <v>0</v>
      </c>
      <c r="AC480" s="7">
        <v>-2.5</v>
      </c>
      <c r="AD480" s="7">
        <v>97.6</v>
      </c>
      <c r="AE480" s="7">
        <v>110.1</v>
      </c>
      <c r="AF480" s="7">
        <v>-12.4</v>
      </c>
      <c r="AG480" s="7">
        <v>7.5</v>
      </c>
      <c r="AH480" s="7">
        <v>0.52</v>
      </c>
      <c r="AI480" s="7">
        <v>15.9</v>
      </c>
      <c r="AJ480" s="7">
        <v>6.6</v>
      </c>
      <c r="AK480" s="7">
        <v>15.1</v>
      </c>
      <c r="AL480" s="7">
        <v>11.2</v>
      </c>
      <c r="AM480" s="7">
        <v>30.4</v>
      </c>
      <c r="AN480" s="7">
        <v>67.7</v>
      </c>
      <c r="AO480" s="7">
        <v>65.400000000000006</v>
      </c>
      <c r="AP480" s="7">
        <v>11.3</v>
      </c>
      <c r="AQ480" s="7">
        <v>102.57</v>
      </c>
      <c r="AR480" s="7">
        <v>4.8</v>
      </c>
      <c r="AS480" s="7">
        <v>462</v>
      </c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1"/>
    </row>
    <row r="481" spans="1:70" ht="13">
      <c r="A481" s="6" t="s">
        <v>999</v>
      </c>
      <c r="B481" s="6" t="s">
        <v>1000</v>
      </c>
      <c r="C481" s="7">
        <v>25</v>
      </c>
      <c r="D481" s="7">
        <v>14</v>
      </c>
      <c r="E481" s="7">
        <v>11</v>
      </c>
      <c r="F481" s="7">
        <v>3</v>
      </c>
      <c r="G481" s="7">
        <v>6</v>
      </c>
      <c r="H481" s="8">
        <v>46</v>
      </c>
      <c r="I481" s="9">
        <v>18</v>
      </c>
      <c r="J481" s="9">
        <v>36</v>
      </c>
      <c r="K481" s="8">
        <v>50</v>
      </c>
      <c r="L481" s="9">
        <v>4</v>
      </c>
      <c r="M481" s="9">
        <v>15</v>
      </c>
      <c r="N481" s="8">
        <v>26.7</v>
      </c>
      <c r="O481" s="8">
        <v>6</v>
      </c>
      <c r="P481" s="8">
        <v>8</v>
      </c>
      <c r="Q481" s="8">
        <v>75</v>
      </c>
      <c r="R481" s="9">
        <v>7</v>
      </c>
      <c r="S481" s="9">
        <v>10</v>
      </c>
      <c r="T481" s="9">
        <v>17</v>
      </c>
      <c r="U481" s="9">
        <v>6</v>
      </c>
      <c r="V481" s="9">
        <v>4</v>
      </c>
      <c r="W481" s="9">
        <v>1</v>
      </c>
      <c r="X481" s="9">
        <v>4</v>
      </c>
      <c r="Y481" s="9">
        <v>6</v>
      </c>
      <c r="Z481" s="8">
        <v>88</v>
      </c>
      <c r="AA481" s="8">
        <v>0</v>
      </c>
      <c r="AB481" s="8">
        <v>0</v>
      </c>
      <c r="AC481" s="7">
        <v>-0.2</v>
      </c>
      <c r="AD481" s="7">
        <v>112.7</v>
      </c>
      <c r="AE481" s="7">
        <v>115.6</v>
      </c>
      <c r="AF481" s="7">
        <v>-2.9</v>
      </c>
      <c r="AG481" s="7">
        <v>8.6</v>
      </c>
      <c r="AH481" s="7">
        <v>1.25</v>
      </c>
      <c r="AI481" s="7">
        <v>10.199999999999999</v>
      </c>
      <c r="AJ481" s="7">
        <v>6.9</v>
      </c>
      <c r="AK481" s="7">
        <v>14.9</v>
      </c>
      <c r="AL481" s="7">
        <v>10.1</v>
      </c>
      <c r="AM481" s="7">
        <v>8.1999999999999993</v>
      </c>
      <c r="AN481" s="7">
        <v>55.6</v>
      </c>
      <c r="AO481" s="7">
        <v>58.2</v>
      </c>
      <c r="AP481" s="7">
        <v>20.2</v>
      </c>
      <c r="AQ481" s="7">
        <v>103.28</v>
      </c>
      <c r="AR481" s="7">
        <v>10.4</v>
      </c>
      <c r="AS481" s="7">
        <v>181</v>
      </c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1"/>
    </row>
    <row r="482" spans="1:70" ht="13">
      <c r="A482" s="6" t="s">
        <v>1001</v>
      </c>
      <c r="B482" s="6" t="s">
        <v>1002</v>
      </c>
      <c r="C482" s="7">
        <v>24</v>
      </c>
      <c r="D482" s="7">
        <v>22</v>
      </c>
      <c r="E482" s="7">
        <v>7</v>
      </c>
      <c r="F482" s="7">
        <v>15</v>
      </c>
      <c r="G482" s="7">
        <v>8.1999999999999993</v>
      </c>
      <c r="H482" s="8">
        <v>46</v>
      </c>
      <c r="I482" s="9">
        <v>15</v>
      </c>
      <c r="J482" s="9">
        <v>37</v>
      </c>
      <c r="K482" s="8">
        <v>43.2</v>
      </c>
      <c r="L482" s="8">
        <v>0</v>
      </c>
      <c r="M482" s="9">
        <v>11</v>
      </c>
      <c r="N482" s="8">
        <v>10</v>
      </c>
      <c r="O482" s="8">
        <v>13</v>
      </c>
      <c r="P482" s="8">
        <v>20</v>
      </c>
      <c r="Q482" s="8">
        <v>68.400000000000006</v>
      </c>
      <c r="R482" s="9">
        <v>11</v>
      </c>
      <c r="S482" s="9">
        <v>20</v>
      </c>
      <c r="T482" s="9">
        <v>31</v>
      </c>
      <c r="U482" s="9">
        <v>9</v>
      </c>
      <c r="V482" s="9">
        <v>7</v>
      </c>
      <c r="W482" s="9">
        <v>2</v>
      </c>
      <c r="X482" s="9">
        <v>2</v>
      </c>
      <c r="Y482" s="9">
        <v>22</v>
      </c>
      <c r="Z482" s="8">
        <v>108</v>
      </c>
      <c r="AA482" s="8">
        <v>0</v>
      </c>
      <c r="AB482" s="8">
        <v>0</v>
      </c>
      <c r="AC482" s="7">
        <v>-0.9</v>
      </c>
      <c r="AD482" s="7">
        <v>104.4</v>
      </c>
      <c r="AE482" s="7">
        <v>110.7</v>
      </c>
      <c r="AF482" s="7">
        <v>-6.3</v>
      </c>
      <c r="AG482" s="7">
        <v>6.2</v>
      </c>
      <c r="AH482" s="7">
        <v>1.5</v>
      </c>
      <c r="AI482" s="7">
        <v>15</v>
      </c>
      <c r="AJ482" s="7">
        <v>5.4</v>
      </c>
      <c r="AK482" s="7">
        <v>10.6</v>
      </c>
      <c r="AL482" s="7">
        <v>7.8</v>
      </c>
      <c r="AM482" s="7">
        <v>10</v>
      </c>
      <c r="AN482" s="7">
        <v>44.6</v>
      </c>
      <c r="AO482" s="7">
        <v>50.7</v>
      </c>
      <c r="AP482" s="7">
        <v>10.9</v>
      </c>
      <c r="AQ482" s="7">
        <v>107.55</v>
      </c>
      <c r="AR482" s="7">
        <v>4</v>
      </c>
      <c r="AS482" s="7">
        <v>409</v>
      </c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1"/>
    </row>
    <row r="483" spans="1:70" ht="13">
      <c r="A483" s="6" t="s">
        <v>1003</v>
      </c>
      <c r="B483" s="6" t="s">
        <v>1004</v>
      </c>
      <c r="C483" s="7">
        <v>26</v>
      </c>
      <c r="D483" s="7">
        <v>6</v>
      </c>
      <c r="E483" s="7">
        <v>3</v>
      </c>
      <c r="F483" s="7">
        <v>3</v>
      </c>
      <c r="G483" s="7">
        <v>11.9</v>
      </c>
      <c r="H483" s="8">
        <v>43</v>
      </c>
      <c r="I483" s="9">
        <v>16</v>
      </c>
      <c r="J483" s="9">
        <v>25</v>
      </c>
      <c r="K483" s="8">
        <v>64</v>
      </c>
      <c r="L483" s="9">
        <v>9</v>
      </c>
      <c r="M483" s="9">
        <v>17</v>
      </c>
      <c r="N483" s="8">
        <v>52.9</v>
      </c>
      <c r="O483" s="8">
        <v>2</v>
      </c>
      <c r="P483" s="8">
        <v>2</v>
      </c>
      <c r="Q483" s="8">
        <v>100</v>
      </c>
      <c r="R483" s="9">
        <v>4</v>
      </c>
      <c r="S483" s="9">
        <v>7</v>
      </c>
      <c r="T483" s="9">
        <v>11</v>
      </c>
      <c r="U483" s="9">
        <v>2</v>
      </c>
      <c r="V483" s="9">
        <v>4</v>
      </c>
      <c r="W483" s="8">
        <v>0</v>
      </c>
      <c r="X483" s="8">
        <v>0</v>
      </c>
      <c r="Y483" s="9">
        <v>10</v>
      </c>
      <c r="Z483" s="8">
        <v>55</v>
      </c>
      <c r="AA483" s="8">
        <v>0</v>
      </c>
      <c r="AB483" s="8">
        <v>0</v>
      </c>
      <c r="AC483" s="7">
        <v>4.8</v>
      </c>
      <c r="AD483" s="7">
        <v>104</v>
      </c>
      <c r="AE483" s="7">
        <v>84.2</v>
      </c>
      <c r="AF483" s="7">
        <v>19.8</v>
      </c>
      <c r="AG483" s="7">
        <v>4.7</v>
      </c>
      <c r="AH483" s="7">
        <v>0.5</v>
      </c>
      <c r="AI483" s="7">
        <v>6.3</v>
      </c>
      <c r="AJ483" s="7">
        <v>5.7</v>
      </c>
      <c r="AK483" s="7">
        <v>9.3000000000000007</v>
      </c>
      <c r="AL483" s="7">
        <v>7.6</v>
      </c>
      <c r="AM483" s="7">
        <v>12.5</v>
      </c>
      <c r="AN483" s="7">
        <v>82</v>
      </c>
      <c r="AO483" s="7">
        <v>83.1</v>
      </c>
      <c r="AP483" s="7">
        <v>18.100000000000001</v>
      </c>
      <c r="AQ483" s="7">
        <v>101.64</v>
      </c>
      <c r="AR483" s="7">
        <v>12.2</v>
      </c>
      <c r="AS483" s="7">
        <v>151</v>
      </c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1"/>
    </row>
    <row r="484" spans="1:70" ht="13">
      <c r="A484" s="6" t="s">
        <v>1005</v>
      </c>
      <c r="B484" s="6" t="s">
        <v>1006</v>
      </c>
      <c r="C484" s="7">
        <v>23</v>
      </c>
      <c r="D484" s="7">
        <v>16</v>
      </c>
      <c r="E484" s="7">
        <v>10</v>
      </c>
      <c r="F484" s="7">
        <v>6</v>
      </c>
      <c r="G484" s="7">
        <v>6.1</v>
      </c>
      <c r="H484" s="8">
        <v>43</v>
      </c>
      <c r="I484" s="9">
        <v>18</v>
      </c>
      <c r="J484" s="9">
        <v>26</v>
      </c>
      <c r="K484" s="8">
        <v>69.2</v>
      </c>
      <c r="L484" s="9">
        <v>3</v>
      </c>
      <c r="M484" s="9">
        <v>6</v>
      </c>
      <c r="N484" s="8">
        <v>42.9</v>
      </c>
      <c r="O484" s="8">
        <v>5</v>
      </c>
      <c r="P484" s="8">
        <v>10</v>
      </c>
      <c r="Q484" s="8">
        <v>44.4</v>
      </c>
      <c r="R484" s="9">
        <v>6</v>
      </c>
      <c r="S484" s="9">
        <v>22</v>
      </c>
      <c r="T484" s="9">
        <v>29</v>
      </c>
      <c r="U484" s="9">
        <v>5</v>
      </c>
      <c r="V484" s="9">
        <v>5</v>
      </c>
      <c r="W484" s="9">
        <v>5</v>
      </c>
      <c r="X484" s="9">
        <v>5</v>
      </c>
      <c r="Y484" s="9">
        <v>11</v>
      </c>
      <c r="Z484" s="8">
        <v>106</v>
      </c>
      <c r="AA484" s="8">
        <v>0</v>
      </c>
      <c r="AB484" s="8">
        <v>0</v>
      </c>
      <c r="AC484" s="7">
        <v>0.3</v>
      </c>
      <c r="AD484" s="7">
        <v>105.5</v>
      </c>
      <c r="AE484" s="7">
        <v>104.1</v>
      </c>
      <c r="AF484" s="7">
        <v>1.3</v>
      </c>
      <c r="AG484" s="7">
        <v>5.8</v>
      </c>
      <c r="AH484" s="7">
        <v>1</v>
      </c>
      <c r="AI484" s="7">
        <v>10.5</v>
      </c>
      <c r="AJ484" s="7">
        <v>6.7</v>
      </c>
      <c r="AK484" s="7">
        <v>18.8</v>
      </c>
      <c r="AL484" s="7">
        <v>13.6</v>
      </c>
      <c r="AM484" s="7">
        <v>10.5</v>
      </c>
      <c r="AN484" s="7">
        <v>75</v>
      </c>
      <c r="AO484" s="7">
        <v>71.8</v>
      </c>
      <c r="AP484" s="7">
        <v>14.5</v>
      </c>
      <c r="AQ484" s="7">
        <v>106.64</v>
      </c>
      <c r="AR484" s="7">
        <v>11.4</v>
      </c>
      <c r="AS484" s="7">
        <v>219</v>
      </c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1"/>
    </row>
    <row r="485" spans="1:70" ht="13">
      <c r="A485" s="6" t="s">
        <v>1007</v>
      </c>
      <c r="B485" s="6" t="s">
        <v>1008</v>
      </c>
      <c r="C485" s="7">
        <v>26</v>
      </c>
      <c r="D485" s="7">
        <v>6</v>
      </c>
      <c r="E485" s="7">
        <v>0</v>
      </c>
      <c r="F485" s="7">
        <v>6</v>
      </c>
      <c r="G485" s="7">
        <v>18.600000000000001</v>
      </c>
      <c r="H485" s="8">
        <v>42</v>
      </c>
      <c r="I485" s="9">
        <v>12</v>
      </c>
      <c r="J485" s="9">
        <v>28</v>
      </c>
      <c r="K485" s="8">
        <v>42.9</v>
      </c>
      <c r="L485" s="9">
        <v>6</v>
      </c>
      <c r="M485" s="9">
        <v>15</v>
      </c>
      <c r="N485" s="8">
        <v>40</v>
      </c>
      <c r="O485" s="8">
        <v>12</v>
      </c>
      <c r="P485" s="8">
        <v>15</v>
      </c>
      <c r="Q485" s="8">
        <v>80</v>
      </c>
      <c r="R485" s="9">
        <v>3</v>
      </c>
      <c r="S485" s="9">
        <v>3</v>
      </c>
      <c r="T485" s="9">
        <v>6</v>
      </c>
      <c r="U485" s="9">
        <v>12</v>
      </c>
      <c r="V485" s="9">
        <v>8</v>
      </c>
      <c r="W485" s="9">
        <v>3</v>
      </c>
      <c r="X485" s="9">
        <v>1</v>
      </c>
      <c r="Y485" s="9">
        <v>10</v>
      </c>
      <c r="Z485" s="8">
        <v>71</v>
      </c>
      <c r="AA485" s="8">
        <v>0</v>
      </c>
      <c r="AB485" s="8">
        <v>0</v>
      </c>
      <c r="AC485" s="7">
        <v>-7.8</v>
      </c>
      <c r="AD485" s="7">
        <v>100.4</v>
      </c>
      <c r="AE485" s="7">
        <v>120.4</v>
      </c>
      <c r="AF485" s="7">
        <v>-20</v>
      </c>
      <c r="AG485" s="7">
        <v>17.600000000000001</v>
      </c>
      <c r="AH485" s="7">
        <v>1.5</v>
      </c>
      <c r="AI485" s="7">
        <v>21.8</v>
      </c>
      <c r="AJ485" s="7">
        <v>2.5</v>
      </c>
      <c r="AK485" s="7">
        <v>2.5</v>
      </c>
      <c r="AL485" s="7">
        <v>2.5</v>
      </c>
      <c r="AM485" s="7">
        <v>14.5</v>
      </c>
      <c r="AN485" s="7">
        <v>53.6</v>
      </c>
      <c r="AO485" s="7">
        <v>60.7</v>
      </c>
      <c r="AP485" s="7">
        <v>15.9</v>
      </c>
      <c r="AQ485" s="7">
        <v>100.89</v>
      </c>
      <c r="AR485" s="7">
        <v>5.7</v>
      </c>
      <c r="AS485" s="7">
        <v>235</v>
      </c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1"/>
    </row>
    <row r="486" spans="1:70" ht="13">
      <c r="A486" s="6" t="s">
        <v>1009</v>
      </c>
      <c r="B486" s="6" t="s">
        <v>1010</v>
      </c>
      <c r="C486" s="7">
        <v>25</v>
      </c>
      <c r="D486" s="7">
        <v>13</v>
      </c>
      <c r="E486" s="7">
        <v>8</v>
      </c>
      <c r="F486" s="7">
        <v>5</v>
      </c>
      <c r="G486" s="7">
        <v>10.6</v>
      </c>
      <c r="H486" s="8">
        <v>38</v>
      </c>
      <c r="I486" s="9">
        <v>14</v>
      </c>
      <c r="J486" s="9">
        <v>33</v>
      </c>
      <c r="K486" s="8">
        <v>43.8</v>
      </c>
      <c r="L486" s="9">
        <v>9</v>
      </c>
      <c r="M486" s="9">
        <v>23</v>
      </c>
      <c r="N486" s="8">
        <v>37.5</v>
      </c>
      <c r="O486" s="8">
        <v>1</v>
      </c>
      <c r="P486" s="8">
        <v>3</v>
      </c>
      <c r="Q486" s="8">
        <v>50</v>
      </c>
      <c r="R486" s="9">
        <v>5</v>
      </c>
      <c r="S486" s="9">
        <v>16</v>
      </c>
      <c r="T486" s="9">
        <v>21</v>
      </c>
      <c r="U486" s="9">
        <v>10</v>
      </c>
      <c r="V486" s="9">
        <v>4</v>
      </c>
      <c r="W486" s="9">
        <v>3</v>
      </c>
      <c r="X486" s="9">
        <v>3</v>
      </c>
      <c r="Y486" s="9">
        <v>17</v>
      </c>
      <c r="Z486" s="8">
        <v>86</v>
      </c>
      <c r="AA486" s="8">
        <v>0</v>
      </c>
      <c r="AB486" s="8">
        <v>0</v>
      </c>
      <c r="AC486" s="7">
        <v>-1.1000000000000001</v>
      </c>
      <c r="AD486" s="7">
        <v>107.8</v>
      </c>
      <c r="AE486" s="7">
        <v>114.8</v>
      </c>
      <c r="AF486" s="7">
        <v>-7</v>
      </c>
      <c r="AG486" s="7">
        <v>10.6</v>
      </c>
      <c r="AH486" s="7">
        <v>2.5</v>
      </c>
      <c r="AI486" s="7">
        <v>21.3</v>
      </c>
      <c r="AJ486" s="7">
        <v>3.6</v>
      </c>
      <c r="AK486" s="7">
        <v>11.5</v>
      </c>
      <c r="AL486" s="7">
        <v>7.6</v>
      </c>
      <c r="AM486" s="7">
        <v>8.5</v>
      </c>
      <c r="AN486" s="7">
        <v>57.8</v>
      </c>
      <c r="AO486" s="7">
        <v>57.8</v>
      </c>
      <c r="AP486" s="7">
        <v>11.6</v>
      </c>
      <c r="AQ486" s="7">
        <v>97.1</v>
      </c>
      <c r="AR486" s="7">
        <v>5.4</v>
      </c>
      <c r="AS486" s="7">
        <v>282</v>
      </c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1"/>
    </row>
    <row r="487" spans="1:70" ht="13">
      <c r="A487" s="6" t="s">
        <v>1011</v>
      </c>
      <c r="B487" s="6" t="s">
        <v>1012</v>
      </c>
      <c r="C487" s="7">
        <v>21</v>
      </c>
      <c r="D487" s="7">
        <v>10</v>
      </c>
      <c r="E487" s="7">
        <v>9</v>
      </c>
      <c r="F487" s="7">
        <v>1</v>
      </c>
      <c r="G487" s="7">
        <v>7.5</v>
      </c>
      <c r="H487" s="8">
        <v>37</v>
      </c>
      <c r="I487" s="9">
        <v>13</v>
      </c>
      <c r="J487" s="9">
        <v>38</v>
      </c>
      <c r="K487" s="8">
        <v>34.200000000000003</v>
      </c>
      <c r="L487" s="9">
        <v>11</v>
      </c>
      <c r="M487" s="9">
        <v>30</v>
      </c>
      <c r="N487" s="8">
        <v>36.700000000000003</v>
      </c>
      <c r="O487" s="8">
        <v>0</v>
      </c>
      <c r="P487" s="8">
        <v>0</v>
      </c>
      <c r="Q487" s="8">
        <v>0</v>
      </c>
      <c r="R487" s="8">
        <v>0</v>
      </c>
      <c r="S487" s="9">
        <v>7</v>
      </c>
      <c r="T487" s="9">
        <v>7</v>
      </c>
      <c r="U487" s="9">
        <v>8</v>
      </c>
      <c r="V487" s="9">
        <v>2</v>
      </c>
      <c r="W487" s="9">
        <v>1</v>
      </c>
      <c r="X487" s="9">
        <v>1</v>
      </c>
      <c r="Y487" s="9">
        <v>4</v>
      </c>
      <c r="Z487" s="8">
        <v>61</v>
      </c>
      <c r="AA487" s="8">
        <v>0</v>
      </c>
      <c r="AB487" s="8">
        <v>0</v>
      </c>
      <c r="AC487" s="7">
        <v>-3.4</v>
      </c>
      <c r="AD487" s="16">
        <v>89</v>
      </c>
      <c r="AE487" s="16">
        <v>110.5</v>
      </c>
      <c r="AF487" s="16">
        <v>-21.5</v>
      </c>
      <c r="AG487" s="16">
        <v>20</v>
      </c>
      <c r="AH487" s="16">
        <v>4</v>
      </c>
      <c r="AI487" s="16">
        <v>16.7</v>
      </c>
      <c r="AJ487" s="16">
        <v>0</v>
      </c>
      <c r="AK487" s="16">
        <v>7.5</v>
      </c>
      <c r="AL487" s="16">
        <v>3.6</v>
      </c>
      <c r="AM487" s="16">
        <v>4.2</v>
      </c>
      <c r="AN487" s="16">
        <v>48.7</v>
      </c>
      <c r="AO487" s="16">
        <v>48.7</v>
      </c>
      <c r="AP487" s="16">
        <v>20.100000000000001</v>
      </c>
      <c r="AQ487" s="16">
        <v>104.3</v>
      </c>
      <c r="AR487" s="16">
        <v>8</v>
      </c>
      <c r="AS487" s="16">
        <v>163</v>
      </c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1"/>
    </row>
    <row r="488" spans="1:70" ht="13">
      <c r="A488" s="6" t="s">
        <v>1013</v>
      </c>
      <c r="B488" s="6" t="s">
        <v>1014</v>
      </c>
      <c r="C488" s="7">
        <v>27</v>
      </c>
      <c r="D488" s="7">
        <v>17</v>
      </c>
      <c r="E488" s="7">
        <v>4</v>
      </c>
      <c r="F488" s="7">
        <v>13</v>
      </c>
      <c r="G488" s="7">
        <v>4.4000000000000004</v>
      </c>
      <c r="H488" s="8">
        <v>36</v>
      </c>
      <c r="I488" s="9">
        <v>12</v>
      </c>
      <c r="J488" s="9">
        <v>26</v>
      </c>
      <c r="K488" s="8">
        <v>46.2</v>
      </c>
      <c r="L488" s="9">
        <v>7</v>
      </c>
      <c r="M488" s="9">
        <v>15</v>
      </c>
      <c r="N488" s="8">
        <v>40</v>
      </c>
      <c r="O488" s="8">
        <v>7</v>
      </c>
      <c r="P488" s="8">
        <v>9</v>
      </c>
      <c r="Q488" s="8">
        <v>75</v>
      </c>
      <c r="R488" s="9">
        <v>5</v>
      </c>
      <c r="S488" s="9">
        <v>15</v>
      </c>
      <c r="T488" s="9">
        <v>20</v>
      </c>
      <c r="U488" s="9">
        <v>9</v>
      </c>
      <c r="V488" s="9">
        <v>2</v>
      </c>
      <c r="W488" s="8">
        <v>0</v>
      </c>
      <c r="X488" s="8">
        <v>0</v>
      </c>
      <c r="Y488" s="9">
        <v>7</v>
      </c>
      <c r="Z488" s="8">
        <v>73</v>
      </c>
      <c r="AA488" s="8">
        <v>0</v>
      </c>
      <c r="AB488" s="8">
        <v>0</v>
      </c>
      <c r="AC488" s="7">
        <v>0.7</v>
      </c>
      <c r="AD488" s="7">
        <v>105.2</v>
      </c>
      <c r="AE488" s="7">
        <v>102.4</v>
      </c>
      <c r="AF488" s="7">
        <v>2.8</v>
      </c>
      <c r="AG488" s="7">
        <v>17.3</v>
      </c>
      <c r="AH488" s="7">
        <v>9</v>
      </c>
      <c r="AI488" s="7">
        <v>23.1</v>
      </c>
      <c r="AJ488" s="7">
        <v>6</v>
      </c>
      <c r="AK488" s="7">
        <v>16.5</v>
      </c>
      <c r="AL488" s="7">
        <v>11.5</v>
      </c>
      <c r="AM488" s="7">
        <v>2.6</v>
      </c>
      <c r="AN488" s="7">
        <v>57.7</v>
      </c>
      <c r="AO488" s="7">
        <v>61</v>
      </c>
      <c r="AP488" s="7">
        <v>15.1</v>
      </c>
      <c r="AQ488" s="7">
        <v>108.61</v>
      </c>
      <c r="AR488" s="7">
        <v>12.7</v>
      </c>
      <c r="AS488" s="7">
        <v>172</v>
      </c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1"/>
    </row>
    <row r="489" spans="1:70" ht="13">
      <c r="A489" s="6" t="s">
        <v>1015</v>
      </c>
      <c r="B489" s="6" t="s">
        <v>1016</v>
      </c>
      <c r="C489" s="7">
        <v>24</v>
      </c>
      <c r="D489" s="7">
        <v>5</v>
      </c>
      <c r="E489" s="7">
        <v>4</v>
      </c>
      <c r="F489" s="7">
        <v>1</v>
      </c>
      <c r="G489" s="7">
        <v>12.7</v>
      </c>
      <c r="H489" s="8">
        <v>36</v>
      </c>
      <c r="I489" s="9">
        <v>13</v>
      </c>
      <c r="J489" s="9">
        <v>32</v>
      </c>
      <c r="K489" s="8">
        <v>40.6</v>
      </c>
      <c r="L489" s="9">
        <v>2</v>
      </c>
      <c r="M489" s="9">
        <v>10</v>
      </c>
      <c r="N489" s="8">
        <v>20</v>
      </c>
      <c r="O489" s="8">
        <v>8</v>
      </c>
      <c r="P489" s="8">
        <v>11</v>
      </c>
      <c r="Q489" s="8">
        <v>72.7</v>
      </c>
      <c r="R489" s="9">
        <v>9</v>
      </c>
      <c r="S489" s="9">
        <v>12</v>
      </c>
      <c r="T489" s="9">
        <v>21</v>
      </c>
      <c r="U489" s="9">
        <v>2</v>
      </c>
      <c r="V489" s="9">
        <v>2</v>
      </c>
      <c r="W489" s="8">
        <v>0</v>
      </c>
      <c r="X489" s="9">
        <v>1</v>
      </c>
      <c r="Y489" s="9">
        <v>9</v>
      </c>
      <c r="Z489" s="8">
        <v>65</v>
      </c>
      <c r="AA489" s="8">
        <v>1</v>
      </c>
      <c r="AB489" s="8">
        <v>0</v>
      </c>
      <c r="AC489" s="7">
        <v>1.4</v>
      </c>
      <c r="AD489" s="7">
        <v>96.4</v>
      </c>
      <c r="AE489" s="7">
        <v>92</v>
      </c>
      <c r="AF489" s="7">
        <v>4.4000000000000004</v>
      </c>
      <c r="AG489" s="7">
        <v>5.3</v>
      </c>
      <c r="AH489" s="7">
        <v>1</v>
      </c>
      <c r="AI489" s="7">
        <v>5</v>
      </c>
      <c r="AJ489" s="7">
        <v>11.7</v>
      </c>
      <c r="AK489" s="7">
        <v>14.5</v>
      </c>
      <c r="AL489" s="7">
        <v>13.1</v>
      </c>
      <c r="AM489" s="7">
        <v>5</v>
      </c>
      <c r="AN489" s="7">
        <v>43.8</v>
      </c>
      <c r="AO489" s="7">
        <v>48.9</v>
      </c>
      <c r="AP489" s="7">
        <v>23</v>
      </c>
      <c r="AQ489" s="7">
        <v>104.1</v>
      </c>
      <c r="AR489" s="7">
        <v>9.6</v>
      </c>
      <c r="AS489" s="7">
        <v>138</v>
      </c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1"/>
    </row>
    <row r="490" spans="1:70" ht="13">
      <c r="A490" s="6" t="s">
        <v>1017</v>
      </c>
      <c r="B490" s="6" t="s">
        <v>1018</v>
      </c>
      <c r="C490" s="7">
        <v>24</v>
      </c>
      <c r="D490" s="7">
        <v>21</v>
      </c>
      <c r="E490" s="7">
        <v>20</v>
      </c>
      <c r="F490" s="7">
        <v>1</v>
      </c>
      <c r="G490" s="7">
        <v>6</v>
      </c>
      <c r="H490" s="8">
        <v>36</v>
      </c>
      <c r="I490" s="9">
        <v>13</v>
      </c>
      <c r="J490" s="9">
        <v>29</v>
      </c>
      <c r="K490" s="8">
        <v>40</v>
      </c>
      <c r="L490" s="9">
        <v>11</v>
      </c>
      <c r="M490" s="9">
        <v>21</v>
      </c>
      <c r="N490" s="8">
        <v>47.6</v>
      </c>
      <c r="O490" s="8">
        <v>2</v>
      </c>
      <c r="P490" s="8">
        <v>2</v>
      </c>
      <c r="Q490" s="8">
        <v>100</v>
      </c>
      <c r="R490" s="9">
        <v>8</v>
      </c>
      <c r="S490" s="9">
        <v>17</v>
      </c>
      <c r="T490" s="9">
        <v>25</v>
      </c>
      <c r="U490" s="9">
        <v>4</v>
      </c>
      <c r="V490" s="9">
        <v>4</v>
      </c>
      <c r="W490" s="9">
        <v>4</v>
      </c>
      <c r="X490" s="8">
        <v>0</v>
      </c>
      <c r="Y490" s="9">
        <v>13</v>
      </c>
      <c r="Z490" s="8">
        <v>86</v>
      </c>
      <c r="AA490" s="8">
        <v>0</v>
      </c>
      <c r="AB490" s="8">
        <v>0</v>
      </c>
      <c r="AC490" s="7">
        <v>-1</v>
      </c>
      <c r="AD490" s="7">
        <v>99.6</v>
      </c>
      <c r="AE490" s="7">
        <v>106.3</v>
      </c>
      <c r="AF490" s="7">
        <v>-6.7</v>
      </c>
      <c r="AG490" s="7">
        <v>5.8</v>
      </c>
      <c r="AH490" s="7">
        <v>1.25</v>
      </c>
      <c r="AI490" s="7">
        <v>12.5</v>
      </c>
      <c r="AJ490" s="7">
        <v>6</v>
      </c>
      <c r="AK490" s="7">
        <v>11.9</v>
      </c>
      <c r="AL490" s="7">
        <v>8.8000000000000007</v>
      </c>
      <c r="AM490" s="7">
        <v>10</v>
      </c>
      <c r="AN490" s="7">
        <v>56.7</v>
      </c>
      <c r="AO490" s="7">
        <v>58.3</v>
      </c>
      <c r="AP490" s="7">
        <v>11.5</v>
      </c>
      <c r="AQ490" s="7">
        <v>102.63</v>
      </c>
      <c r="AR490" s="7">
        <v>6.5</v>
      </c>
      <c r="AS490" s="7">
        <v>266</v>
      </c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1"/>
    </row>
    <row r="491" spans="1:70" ht="13">
      <c r="A491" s="6" t="s">
        <v>1019</v>
      </c>
      <c r="B491" s="6" t="s">
        <v>1020</v>
      </c>
      <c r="C491" s="7">
        <v>23</v>
      </c>
      <c r="D491" s="7">
        <v>5</v>
      </c>
      <c r="E491" s="7">
        <v>1</v>
      </c>
      <c r="F491" s="7">
        <v>4</v>
      </c>
      <c r="G491" s="7">
        <v>16.8</v>
      </c>
      <c r="H491" s="8">
        <v>35</v>
      </c>
      <c r="I491" s="9">
        <v>14</v>
      </c>
      <c r="J491" s="9">
        <v>23</v>
      </c>
      <c r="K491" s="8">
        <v>60.9</v>
      </c>
      <c r="L491" s="8">
        <v>0</v>
      </c>
      <c r="M491" s="8">
        <v>0</v>
      </c>
      <c r="N491" s="8">
        <v>0</v>
      </c>
      <c r="O491" s="8">
        <v>7</v>
      </c>
      <c r="P491" s="8">
        <v>14</v>
      </c>
      <c r="Q491" s="8">
        <v>50</v>
      </c>
      <c r="R491" s="9">
        <v>11</v>
      </c>
      <c r="S491" s="9">
        <v>17</v>
      </c>
      <c r="T491" s="9">
        <v>28</v>
      </c>
      <c r="U491" s="9">
        <v>5</v>
      </c>
      <c r="V491" s="9">
        <v>5</v>
      </c>
      <c r="W491" s="9">
        <v>3</v>
      </c>
      <c r="X491" s="9">
        <v>8</v>
      </c>
      <c r="Y491" s="9">
        <v>14</v>
      </c>
      <c r="Z491" s="8">
        <v>104</v>
      </c>
      <c r="AA491" s="8">
        <v>0</v>
      </c>
      <c r="AB491" s="8">
        <v>0</v>
      </c>
      <c r="AC491" s="7">
        <v>2</v>
      </c>
      <c r="AD491" s="7">
        <v>112.5</v>
      </c>
      <c r="AE491" s="7">
        <v>107.1</v>
      </c>
      <c r="AF491" s="7">
        <v>5.4</v>
      </c>
      <c r="AG491" s="7">
        <v>7.9</v>
      </c>
      <c r="AH491" s="7">
        <v>1</v>
      </c>
      <c r="AI491" s="7">
        <v>12.5</v>
      </c>
      <c r="AJ491" s="7">
        <v>12.6</v>
      </c>
      <c r="AK491" s="7">
        <v>16.8</v>
      </c>
      <c r="AL491" s="7">
        <v>14.9</v>
      </c>
      <c r="AM491" s="7">
        <v>12.5</v>
      </c>
      <c r="AN491" s="7">
        <v>60.9</v>
      </c>
      <c r="AO491" s="7">
        <v>60</v>
      </c>
      <c r="AP491" s="7">
        <v>16.399999999999999</v>
      </c>
      <c r="AQ491" s="7">
        <v>105.29</v>
      </c>
      <c r="AR491" s="7">
        <v>9.5</v>
      </c>
      <c r="AS491" s="7">
        <v>184</v>
      </c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1"/>
    </row>
    <row r="492" spans="1:70" ht="13">
      <c r="A492" s="6" t="s">
        <v>1021</v>
      </c>
      <c r="B492" s="6" t="s">
        <v>1022</v>
      </c>
      <c r="C492" s="7">
        <v>24</v>
      </c>
      <c r="D492" s="7">
        <v>22</v>
      </c>
      <c r="E492" s="7">
        <v>17</v>
      </c>
      <c r="F492" s="7">
        <v>5</v>
      </c>
      <c r="G492" s="7">
        <v>4.2</v>
      </c>
      <c r="H492" s="8">
        <v>35</v>
      </c>
      <c r="I492" s="9">
        <v>11</v>
      </c>
      <c r="J492" s="9">
        <v>31</v>
      </c>
      <c r="K492" s="8">
        <v>36.700000000000003</v>
      </c>
      <c r="L492" s="9">
        <v>7</v>
      </c>
      <c r="M492" s="9">
        <v>22</v>
      </c>
      <c r="N492" s="8">
        <v>30.4</v>
      </c>
      <c r="O492" s="8">
        <v>7</v>
      </c>
      <c r="P492" s="8">
        <v>9</v>
      </c>
      <c r="Q492" s="8">
        <v>77.8</v>
      </c>
      <c r="R492" s="8">
        <v>0</v>
      </c>
      <c r="S492" s="9">
        <v>11</v>
      </c>
      <c r="T492" s="9">
        <v>11</v>
      </c>
      <c r="U492" s="9">
        <v>20</v>
      </c>
      <c r="V492" s="9">
        <v>4</v>
      </c>
      <c r="W492" s="9">
        <v>2</v>
      </c>
      <c r="X492" s="8">
        <v>0</v>
      </c>
      <c r="Y492" s="9">
        <v>9</v>
      </c>
      <c r="Z492" s="8">
        <v>79</v>
      </c>
      <c r="AA492" s="8">
        <v>0</v>
      </c>
      <c r="AB492" s="8">
        <v>0</v>
      </c>
      <c r="AC492" s="7">
        <v>1.2</v>
      </c>
      <c r="AD492" s="7">
        <v>114.6</v>
      </c>
      <c r="AE492" s="7">
        <v>102.5</v>
      </c>
      <c r="AF492" s="7">
        <v>12.1</v>
      </c>
      <c r="AG492" s="7">
        <v>25.7</v>
      </c>
      <c r="AH492" s="7">
        <v>3.8</v>
      </c>
      <c r="AI492" s="7">
        <v>32.799999999999997</v>
      </c>
      <c r="AJ492" s="7">
        <v>0</v>
      </c>
      <c r="AK492" s="7">
        <v>11.4</v>
      </c>
      <c r="AL492" s="7">
        <v>6.3</v>
      </c>
      <c r="AM492" s="7">
        <v>8.6</v>
      </c>
      <c r="AN492" s="7">
        <v>48.3</v>
      </c>
      <c r="AO492" s="7">
        <v>53</v>
      </c>
      <c r="AP492" s="7">
        <v>16.7</v>
      </c>
      <c r="AQ492" s="7">
        <v>106.19</v>
      </c>
      <c r="AR492" s="7">
        <v>8.6</v>
      </c>
      <c r="AS492" s="7">
        <v>206</v>
      </c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1"/>
    </row>
    <row r="493" spans="1:70" ht="13">
      <c r="A493" s="13" t="s">
        <v>1023</v>
      </c>
      <c r="B493" s="6" t="s">
        <v>1024</v>
      </c>
      <c r="C493" s="7">
        <v>23</v>
      </c>
      <c r="D493" s="7">
        <v>16</v>
      </c>
      <c r="E493" s="7">
        <v>4</v>
      </c>
      <c r="F493" s="7">
        <v>12</v>
      </c>
      <c r="G493" s="7">
        <v>7.4</v>
      </c>
      <c r="H493" s="8">
        <v>35</v>
      </c>
      <c r="I493" s="9">
        <v>14</v>
      </c>
      <c r="J493" s="9">
        <v>45</v>
      </c>
      <c r="K493" s="8">
        <v>31.1</v>
      </c>
      <c r="L493" s="9">
        <v>5</v>
      </c>
      <c r="M493" s="9">
        <v>21</v>
      </c>
      <c r="N493" s="8">
        <v>19</v>
      </c>
      <c r="O493" s="8">
        <v>3</v>
      </c>
      <c r="P493" s="8">
        <v>6</v>
      </c>
      <c r="Q493" s="8">
        <v>50</v>
      </c>
      <c r="R493" s="9">
        <v>5</v>
      </c>
      <c r="S493" s="9">
        <v>10</v>
      </c>
      <c r="T493" s="9">
        <v>13</v>
      </c>
      <c r="U493" s="9">
        <v>16</v>
      </c>
      <c r="V493" s="9">
        <v>3</v>
      </c>
      <c r="W493" s="9">
        <v>3</v>
      </c>
      <c r="X493" s="8">
        <v>0</v>
      </c>
      <c r="Y493" s="9">
        <v>5</v>
      </c>
      <c r="Z493" s="8">
        <v>80</v>
      </c>
      <c r="AA493" s="8">
        <v>0</v>
      </c>
      <c r="AB493" s="8">
        <v>0</v>
      </c>
      <c r="AC493" s="7">
        <v>0.1</v>
      </c>
      <c r="AD493" s="7">
        <v>109.2</v>
      </c>
      <c r="AE493" s="7">
        <v>105.7</v>
      </c>
      <c r="AF493" s="7">
        <v>3.5</v>
      </c>
      <c r="AG493" s="7">
        <v>18.8</v>
      </c>
      <c r="AH493" s="7">
        <v>5.33</v>
      </c>
      <c r="AI493" s="7">
        <v>23.9</v>
      </c>
      <c r="AJ493" s="7">
        <v>3.1</v>
      </c>
      <c r="AK493" s="7">
        <v>7</v>
      </c>
      <c r="AL493" s="7">
        <v>5</v>
      </c>
      <c r="AM493" s="7">
        <v>4.5</v>
      </c>
      <c r="AN493" s="7">
        <v>35.6</v>
      </c>
      <c r="AO493" s="7">
        <v>36.700000000000003</v>
      </c>
      <c r="AP493" s="7">
        <v>18.7</v>
      </c>
      <c r="AQ493" s="7">
        <v>98.56</v>
      </c>
      <c r="AR493" s="7">
        <v>4.9000000000000004</v>
      </c>
      <c r="AS493" s="7">
        <v>240</v>
      </c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1"/>
    </row>
    <row r="494" spans="1:70" ht="13">
      <c r="A494" s="6" t="s">
        <v>1025</v>
      </c>
      <c r="B494" s="6" t="s">
        <v>1026</v>
      </c>
      <c r="C494" s="7">
        <v>22</v>
      </c>
      <c r="D494" s="7">
        <v>16</v>
      </c>
      <c r="E494" s="7">
        <v>13</v>
      </c>
      <c r="F494" s="7">
        <v>3</v>
      </c>
      <c r="G494" s="7">
        <v>5.8</v>
      </c>
      <c r="H494" s="8">
        <v>34</v>
      </c>
      <c r="I494" s="9">
        <v>13</v>
      </c>
      <c r="J494" s="9">
        <v>34</v>
      </c>
      <c r="K494" s="8">
        <v>35.299999999999997</v>
      </c>
      <c r="L494" s="9">
        <v>5</v>
      </c>
      <c r="M494" s="9">
        <v>18</v>
      </c>
      <c r="N494" s="8">
        <v>22.2</v>
      </c>
      <c r="O494" s="8">
        <v>5</v>
      </c>
      <c r="P494" s="8">
        <v>6</v>
      </c>
      <c r="Q494" s="8">
        <v>71.400000000000006</v>
      </c>
      <c r="R494" s="9">
        <v>2</v>
      </c>
      <c r="S494" s="9">
        <v>11</v>
      </c>
      <c r="T494" s="9">
        <v>13</v>
      </c>
      <c r="U494" s="9">
        <v>13</v>
      </c>
      <c r="V494" s="9">
        <v>13</v>
      </c>
      <c r="W494" s="9">
        <v>5</v>
      </c>
      <c r="X494" s="9">
        <v>2</v>
      </c>
      <c r="Y494" s="9">
        <v>2</v>
      </c>
      <c r="Z494" s="8">
        <v>74</v>
      </c>
      <c r="AA494" s="8">
        <v>0</v>
      </c>
      <c r="AB494" s="8">
        <v>0</v>
      </c>
      <c r="AC494" s="7">
        <v>-1.8</v>
      </c>
      <c r="AD494" s="7">
        <v>91.7</v>
      </c>
      <c r="AE494" s="7">
        <v>105.4</v>
      </c>
      <c r="AF494" s="7">
        <v>-13.7</v>
      </c>
      <c r="AG494" s="7">
        <v>27.7</v>
      </c>
      <c r="AH494" s="7">
        <v>1</v>
      </c>
      <c r="AI494" s="7">
        <v>20.6</v>
      </c>
      <c r="AJ494" s="7">
        <v>2</v>
      </c>
      <c r="AK494" s="7">
        <v>11.8</v>
      </c>
      <c r="AL494" s="7">
        <v>6.7</v>
      </c>
      <c r="AM494" s="7">
        <v>20.6</v>
      </c>
      <c r="AN494" s="7">
        <v>41.2</v>
      </c>
      <c r="AO494" s="7">
        <v>44.5</v>
      </c>
      <c r="AP494" s="7">
        <v>22.8</v>
      </c>
      <c r="AQ494" s="7">
        <v>94.28</v>
      </c>
      <c r="AR494" s="7">
        <v>7.9</v>
      </c>
      <c r="AS494" s="7">
        <v>181</v>
      </c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1"/>
    </row>
    <row r="495" spans="1:70" ht="13">
      <c r="A495" s="6" t="s">
        <v>1027</v>
      </c>
      <c r="B495" s="6" t="s">
        <v>1028</v>
      </c>
      <c r="C495" s="7">
        <v>27</v>
      </c>
      <c r="D495" s="7">
        <v>11</v>
      </c>
      <c r="E495" s="7">
        <v>3</v>
      </c>
      <c r="F495" s="7">
        <v>8</v>
      </c>
      <c r="G495" s="7">
        <v>11.5</v>
      </c>
      <c r="H495" s="8">
        <v>34</v>
      </c>
      <c r="I495" s="9">
        <v>14</v>
      </c>
      <c r="J495" s="9">
        <v>22</v>
      </c>
      <c r="K495" s="8">
        <v>63.6</v>
      </c>
      <c r="L495" s="8">
        <v>0</v>
      </c>
      <c r="M495" s="8">
        <v>0</v>
      </c>
      <c r="N495" s="8">
        <v>0</v>
      </c>
      <c r="O495" s="8">
        <v>6</v>
      </c>
      <c r="P495" s="8">
        <v>10</v>
      </c>
      <c r="Q495" s="8">
        <v>60</v>
      </c>
      <c r="R495" s="9">
        <v>12</v>
      </c>
      <c r="S495" s="9">
        <v>28</v>
      </c>
      <c r="T495" s="9">
        <v>39</v>
      </c>
      <c r="U495" s="9">
        <v>6</v>
      </c>
      <c r="V495" s="9">
        <v>4</v>
      </c>
      <c r="W495" s="9">
        <v>1</v>
      </c>
      <c r="X495" s="9">
        <v>3</v>
      </c>
      <c r="Y495" s="9">
        <v>15</v>
      </c>
      <c r="Z495" s="8">
        <v>97</v>
      </c>
      <c r="AA495" s="8">
        <v>1</v>
      </c>
      <c r="AB495" s="8">
        <v>0</v>
      </c>
      <c r="AC495" s="7">
        <v>-6.8</v>
      </c>
      <c r="AD495" s="7">
        <v>101.4</v>
      </c>
      <c r="AE495" s="7">
        <v>130.5</v>
      </c>
      <c r="AF495" s="7">
        <v>-29.1</v>
      </c>
      <c r="AG495" s="7">
        <v>5.6</v>
      </c>
      <c r="AH495" s="7">
        <v>1.25</v>
      </c>
      <c r="AI495" s="7">
        <v>13.9</v>
      </c>
      <c r="AJ495" s="7">
        <v>7.9</v>
      </c>
      <c r="AK495" s="7">
        <v>19.399999999999999</v>
      </c>
      <c r="AL495" s="7">
        <v>13.4</v>
      </c>
      <c r="AM495" s="7">
        <v>11.1</v>
      </c>
      <c r="AN495" s="7">
        <v>63.6</v>
      </c>
      <c r="AO495" s="7">
        <v>64.400000000000006</v>
      </c>
      <c r="AP495" s="7">
        <v>9.6999999999999993</v>
      </c>
      <c r="AQ495" s="7">
        <v>104.42</v>
      </c>
      <c r="AR495" s="7">
        <v>7.2</v>
      </c>
      <c r="AS495" s="7">
        <v>276</v>
      </c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1"/>
    </row>
    <row r="496" spans="1:70" ht="13">
      <c r="A496" s="6" t="s">
        <v>1029</v>
      </c>
      <c r="B496" s="6" t="s">
        <v>1030</v>
      </c>
      <c r="C496" s="7">
        <v>26</v>
      </c>
      <c r="D496" s="7">
        <v>33</v>
      </c>
      <c r="E496" s="7">
        <v>26</v>
      </c>
      <c r="F496" s="7">
        <v>7</v>
      </c>
      <c r="G496" s="7">
        <v>7</v>
      </c>
      <c r="H496" s="8">
        <v>33</v>
      </c>
      <c r="I496" s="9">
        <v>13</v>
      </c>
      <c r="J496" s="9">
        <v>53</v>
      </c>
      <c r="K496" s="8">
        <v>24.5</v>
      </c>
      <c r="L496" s="9">
        <v>7</v>
      </c>
      <c r="M496" s="9">
        <v>33</v>
      </c>
      <c r="N496" s="8">
        <v>15.6</v>
      </c>
      <c r="O496" s="8">
        <v>3</v>
      </c>
      <c r="P496" s="8">
        <v>3</v>
      </c>
      <c r="Q496" s="8">
        <v>75</v>
      </c>
      <c r="R496" s="9">
        <v>10</v>
      </c>
      <c r="S496" s="9">
        <v>33</v>
      </c>
      <c r="T496" s="9">
        <v>43</v>
      </c>
      <c r="U496" s="9">
        <v>7</v>
      </c>
      <c r="V496" s="9">
        <v>13</v>
      </c>
      <c r="W496" s="9">
        <v>10</v>
      </c>
      <c r="X496" s="9">
        <v>7</v>
      </c>
      <c r="Y496" s="9">
        <v>17</v>
      </c>
      <c r="Z496" s="8">
        <v>129</v>
      </c>
      <c r="AA496" s="8">
        <v>0</v>
      </c>
      <c r="AB496" s="8">
        <v>0</v>
      </c>
      <c r="AC496" s="7">
        <v>-0.4</v>
      </c>
      <c r="AD496" s="7">
        <v>106.6</v>
      </c>
      <c r="AE496" s="7">
        <v>108.9</v>
      </c>
      <c r="AF496" s="7">
        <v>-2.2999999999999998</v>
      </c>
      <c r="AG496" s="7">
        <v>4.3</v>
      </c>
      <c r="AH496" s="7">
        <v>0.5</v>
      </c>
      <c r="AI496" s="7">
        <v>9.3000000000000007</v>
      </c>
      <c r="AJ496" s="7">
        <v>4.0999999999999996</v>
      </c>
      <c r="AK496" s="7">
        <v>14.6</v>
      </c>
      <c r="AL496" s="7">
        <v>9.1</v>
      </c>
      <c r="AM496" s="7">
        <v>18.7</v>
      </c>
      <c r="AN496" s="7">
        <v>29.2</v>
      </c>
      <c r="AO496" s="7">
        <v>31</v>
      </c>
      <c r="AP496" s="7">
        <v>12.5</v>
      </c>
      <c r="AQ496" s="7">
        <v>97.6</v>
      </c>
      <c r="AR496" s="7">
        <v>2.2000000000000002</v>
      </c>
      <c r="AS496" s="7">
        <v>469</v>
      </c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1"/>
    </row>
    <row r="497" spans="1:70" ht="13">
      <c r="A497" s="6" t="s">
        <v>1031</v>
      </c>
      <c r="B497" s="6" t="s">
        <v>1032</v>
      </c>
      <c r="C497" s="7">
        <v>21</v>
      </c>
      <c r="D497" s="7">
        <v>22</v>
      </c>
      <c r="E497" s="7">
        <v>11</v>
      </c>
      <c r="F497" s="7">
        <v>11</v>
      </c>
      <c r="G497" s="7">
        <v>5.2</v>
      </c>
      <c r="H497" s="8">
        <v>33</v>
      </c>
      <c r="I497" s="9">
        <v>13</v>
      </c>
      <c r="J497" s="9">
        <v>31</v>
      </c>
      <c r="K497" s="8">
        <v>43.3</v>
      </c>
      <c r="L497" s="9">
        <v>2</v>
      </c>
      <c r="M497" s="9">
        <v>13</v>
      </c>
      <c r="N497" s="8">
        <v>23.1</v>
      </c>
      <c r="O497" s="8">
        <v>2</v>
      </c>
      <c r="P497" s="8">
        <v>9</v>
      </c>
      <c r="Q497" s="8">
        <v>33.299999999999997</v>
      </c>
      <c r="R497" s="9">
        <v>9</v>
      </c>
      <c r="S497" s="9">
        <v>13</v>
      </c>
      <c r="T497" s="9">
        <v>22</v>
      </c>
      <c r="U497" s="9">
        <v>15</v>
      </c>
      <c r="V497" s="9">
        <v>11</v>
      </c>
      <c r="W497" s="9">
        <v>2</v>
      </c>
      <c r="X497" s="8">
        <v>0</v>
      </c>
      <c r="Y497" s="9">
        <v>11</v>
      </c>
      <c r="Z497" s="8">
        <v>77</v>
      </c>
      <c r="AA497" s="8">
        <v>0</v>
      </c>
      <c r="AB497" s="8">
        <v>0</v>
      </c>
      <c r="AC497" s="7">
        <v>0.4</v>
      </c>
      <c r="AD497" s="7">
        <v>91.2</v>
      </c>
      <c r="AE497" s="7">
        <v>89</v>
      </c>
      <c r="AF497" s="7">
        <v>2.1</v>
      </c>
      <c r="AG497" s="7">
        <v>19.7</v>
      </c>
      <c r="AH497" s="7">
        <v>1.36</v>
      </c>
      <c r="AI497" s="7">
        <v>25.4</v>
      </c>
      <c r="AJ497" s="7">
        <v>6.8</v>
      </c>
      <c r="AK497" s="7">
        <v>10</v>
      </c>
      <c r="AL497" s="7">
        <v>8.5</v>
      </c>
      <c r="AM497" s="7">
        <v>18.600000000000001</v>
      </c>
      <c r="AN497" s="7">
        <v>48.3</v>
      </c>
      <c r="AO497" s="7">
        <v>47.1</v>
      </c>
      <c r="AP497" s="7">
        <v>15.6</v>
      </c>
      <c r="AQ497" s="7">
        <v>103.79</v>
      </c>
      <c r="AR497" s="7">
        <v>5.7</v>
      </c>
      <c r="AS497" s="7">
        <v>249</v>
      </c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1"/>
    </row>
    <row r="498" spans="1:70" ht="13">
      <c r="A498" s="6" t="s">
        <v>1033</v>
      </c>
      <c r="B498" s="6" t="s">
        <v>1034</v>
      </c>
      <c r="C498" s="7">
        <v>23</v>
      </c>
      <c r="D498" s="7">
        <v>19</v>
      </c>
      <c r="E498" s="7">
        <v>12</v>
      </c>
      <c r="F498" s="7">
        <v>7</v>
      </c>
      <c r="G498" s="7">
        <v>3.5</v>
      </c>
      <c r="H498" s="8">
        <v>32</v>
      </c>
      <c r="I498" s="9">
        <v>13</v>
      </c>
      <c r="J498" s="9">
        <v>25</v>
      </c>
      <c r="K498" s="8">
        <v>58.3</v>
      </c>
      <c r="L498" s="9">
        <v>2</v>
      </c>
      <c r="M498" s="9">
        <v>8</v>
      </c>
      <c r="N498" s="8">
        <v>25</v>
      </c>
      <c r="O498" s="8">
        <v>4</v>
      </c>
      <c r="P498" s="8">
        <v>4</v>
      </c>
      <c r="Q498" s="8">
        <v>75</v>
      </c>
      <c r="R498" s="9">
        <v>6</v>
      </c>
      <c r="S498" s="9">
        <v>15</v>
      </c>
      <c r="T498" s="9">
        <v>23</v>
      </c>
      <c r="U498" s="9">
        <v>4</v>
      </c>
      <c r="V498" s="9">
        <v>2</v>
      </c>
      <c r="W498" s="8">
        <v>0</v>
      </c>
      <c r="X498" s="9">
        <v>4</v>
      </c>
      <c r="Y498" s="9">
        <v>11</v>
      </c>
      <c r="Z498" s="8">
        <v>76</v>
      </c>
      <c r="AA498" s="8">
        <v>0</v>
      </c>
      <c r="AB498" s="8">
        <v>0</v>
      </c>
      <c r="AC498" s="7">
        <v>-0.1</v>
      </c>
      <c r="AD498" s="7">
        <v>91.9</v>
      </c>
      <c r="AE498" s="7">
        <v>91.3</v>
      </c>
      <c r="AF498" s="7">
        <v>0.5</v>
      </c>
      <c r="AG498" s="7">
        <v>11.8</v>
      </c>
      <c r="AH498" s="7">
        <v>2</v>
      </c>
      <c r="AI498" s="7">
        <v>12.5</v>
      </c>
      <c r="AJ498" s="7">
        <v>7.9</v>
      </c>
      <c r="AK498" s="7">
        <v>21.9</v>
      </c>
      <c r="AL498" s="7">
        <v>14.8</v>
      </c>
      <c r="AM498" s="7">
        <v>6.3</v>
      </c>
      <c r="AN498" s="7">
        <v>62.5</v>
      </c>
      <c r="AO498" s="7">
        <v>64.099999999999994</v>
      </c>
      <c r="AP498" s="7">
        <v>17.600000000000001</v>
      </c>
      <c r="AQ498" s="7">
        <v>99</v>
      </c>
      <c r="AR498" s="7">
        <v>16.8</v>
      </c>
      <c r="AS498" s="7">
        <v>135</v>
      </c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1"/>
    </row>
    <row r="499" spans="1:70" ht="13">
      <c r="A499" s="6" t="s">
        <v>1035</v>
      </c>
      <c r="B499" s="6" t="s">
        <v>1036</v>
      </c>
      <c r="C499" s="7">
        <v>31</v>
      </c>
      <c r="D499" s="7">
        <v>8</v>
      </c>
      <c r="E499" s="7">
        <v>4</v>
      </c>
      <c r="F499" s="7">
        <v>4</v>
      </c>
      <c r="G499" s="7">
        <v>18.7</v>
      </c>
      <c r="H499" s="8">
        <v>32</v>
      </c>
      <c r="I499" s="9">
        <v>11</v>
      </c>
      <c r="J499" s="9">
        <v>38</v>
      </c>
      <c r="K499" s="8">
        <v>28.9</v>
      </c>
      <c r="L499" s="9">
        <v>6</v>
      </c>
      <c r="M499" s="9">
        <v>22</v>
      </c>
      <c r="N499" s="8">
        <v>27.3</v>
      </c>
      <c r="O499" s="8">
        <v>4</v>
      </c>
      <c r="P499" s="8">
        <v>4</v>
      </c>
      <c r="Q499" s="8">
        <v>100</v>
      </c>
      <c r="R499" s="9">
        <v>6</v>
      </c>
      <c r="S499" s="9">
        <v>6</v>
      </c>
      <c r="T499" s="9">
        <v>12</v>
      </c>
      <c r="U499" s="9">
        <v>12</v>
      </c>
      <c r="V499" s="9">
        <v>8</v>
      </c>
      <c r="W499" s="9">
        <v>8</v>
      </c>
      <c r="X499" s="9">
        <v>1</v>
      </c>
      <c r="Y499" s="9">
        <v>17</v>
      </c>
      <c r="Z499" s="8">
        <v>83</v>
      </c>
      <c r="AA499" s="8">
        <v>0</v>
      </c>
      <c r="AB499" s="8">
        <v>0</v>
      </c>
      <c r="AC499" s="7">
        <v>-3.9</v>
      </c>
      <c r="AD499" s="7">
        <v>104.1</v>
      </c>
      <c r="AE499" s="7">
        <v>114.7</v>
      </c>
      <c r="AF499" s="7">
        <v>-10.6</v>
      </c>
      <c r="AG499" s="7">
        <v>11.7</v>
      </c>
      <c r="AH499" s="7">
        <v>1.5</v>
      </c>
      <c r="AI499" s="7">
        <v>20</v>
      </c>
      <c r="AJ499" s="7">
        <v>3.8</v>
      </c>
      <c r="AK499" s="7">
        <v>4.8</v>
      </c>
      <c r="AL499" s="7">
        <v>4.2</v>
      </c>
      <c r="AM499" s="7">
        <v>13.3</v>
      </c>
      <c r="AN499" s="7">
        <v>36.799999999999997</v>
      </c>
      <c r="AO499" s="7">
        <v>40.200000000000003</v>
      </c>
      <c r="AP499" s="7">
        <v>13.4</v>
      </c>
      <c r="AQ499" s="7">
        <v>100.82</v>
      </c>
      <c r="AR499" s="7">
        <v>1.5</v>
      </c>
      <c r="AS499" s="7">
        <v>315</v>
      </c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1"/>
    </row>
    <row r="500" spans="1:70" ht="13">
      <c r="A500" s="6" t="s">
        <v>1037</v>
      </c>
      <c r="B500" s="6" t="s">
        <v>1038</v>
      </c>
      <c r="C500" s="7">
        <v>25</v>
      </c>
      <c r="D500" s="7">
        <v>10</v>
      </c>
      <c r="E500" s="7">
        <v>1</v>
      </c>
      <c r="F500" s="7">
        <v>9</v>
      </c>
      <c r="G500" s="7">
        <v>13.8</v>
      </c>
      <c r="H500" s="8">
        <v>32</v>
      </c>
      <c r="I500" s="9">
        <v>11</v>
      </c>
      <c r="J500" s="9">
        <v>35</v>
      </c>
      <c r="K500" s="8">
        <v>31.4</v>
      </c>
      <c r="L500" s="9">
        <v>7</v>
      </c>
      <c r="M500" s="9">
        <v>25</v>
      </c>
      <c r="N500" s="8">
        <v>28</v>
      </c>
      <c r="O500" s="8">
        <v>3</v>
      </c>
      <c r="P500" s="8">
        <v>6</v>
      </c>
      <c r="Q500" s="8">
        <v>50</v>
      </c>
      <c r="R500" s="9">
        <v>9</v>
      </c>
      <c r="S500" s="9">
        <v>12</v>
      </c>
      <c r="T500" s="9">
        <v>21</v>
      </c>
      <c r="U500" s="9">
        <v>8</v>
      </c>
      <c r="V500" s="9">
        <v>3</v>
      </c>
      <c r="W500" s="9">
        <v>10</v>
      </c>
      <c r="X500" s="9">
        <v>1</v>
      </c>
      <c r="Y500" s="9">
        <v>18</v>
      </c>
      <c r="Z500" s="8">
        <v>99</v>
      </c>
      <c r="AA500" s="8">
        <v>0</v>
      </c>
      <c r="AB500" s="8">
        <v>0</v>
      </c>
      <c r="AC500" s="7">
        <v>3.1</v>
      </c>
      <c r="AD500" s="7">
        <v>113.2</v>
      </c>
      <c r="AE500" s="7">
        <v>103.5</v>
      </c>
      <c r="AF500" s="7">
        <v>9.6999999999999993</v>
      </c>
      <c r="AG500" s="7">
        <v>7.3</v>
      </c>
      <c r="AH500" s="7">
        <v>2.67</v>
      </c>
      <c r="AI500" s="7">
        <v>16.3</v>
      </c>
      <c r="AJ500" s="7">
        <v>5.8</v>
      </c>
      <c r="AK500" s="7">
        <v>9.1999999999999993</v>
      </c>
      <c r="AL500" s="7">
        <v>7.4</v>
      </c>
      <c r="AM500" s="7">
        <v>6.1</v>
      </c>
      <c r="AN500" s="7">
        <v>41.4</v>
      </c>
      <c r="AO500" s="7">
        <v>42.5</v>
      </c>
      <c r="AP500" s="7">
        <v>12</v>
      </c>
      <c r="AQ500" s="7">
        <v>99.3</v>
      </c>
      <c r="AR500" s="7">
        <v>3.7</v>
      </c>
      <c r="AS500" s="7">
        <v>287</v>
      </c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1"/>
    </row>
    <row r="501" spans="1:70" ht="13">
      <c r="A501" s="6" t="s">
        <v>1039</v>
      </c>
      <c r="B501" s="6" t="s">
        <v>1040</v>
      </c>
      <c r="C501" s="7">
        <v>22</v>
      </c>
      <c r="D501" s="7">
        <v>24</v>
      </c>
      <c r="E501" s="7">
        <v>14</v>
      </c>
      <c r="F501" s="7">
        <v>10</v>
      </c>
      <c r="G501" s="7">
        <v>4.9000000000000004</v>
      </c>
      <c r="H501" s="8">
        <v>31</v>
      </c>
      <c r="I501" s="9">
        <v>12</v>
      </c>
      <c r="J501" s="9">
        <v>41</v>
      </c>
      <c r="K501" s="8">
        <v>31.7</v>
      </c>
      <c r="L501" s="9">
        <v>2</v>
      </c>
      <c r="M501" s="9">
        <v>17</v>
      </c>
      <c r="N501" s="8">
        <v>17.600000000000001</v>
      </c>
      <c r="O501" s="8">
        <v>2</v>
      </c>
      <c r="P501" s="8">
        <v>5</v>
      </c>
      <c r="Q501" s="8">
        <v>75</v>
      </c>
      <c r="R501" s="8">
        <v>0</v>
      </c>
      <c r="S501" s="9">
        <v>12</v>
      </c>
      <c r="T501" s="9">
        <v>12</v>
      </c>
      <c r="U501" s="9">
        <v>12</v>
      </c>
      <c r="V501" s="9">
        <v>5</v>
      </c>
      <c r="W501" s="9">
        <v>2</v>
      </c>
      <c r="X501" s="8">
        <v>0</v>
      </c>
      <c r="Y501" s="9">
        <v>10</v>
      </c>
      <c r="Z501" s="8">
        <v>67</v>
      </c>
      <c r="AA501" s="8">
        <v>0</v>
      </c>
      <c r="AB501" s="8">
        <v>0</v>
      </c>
      <c r="AC501" s="7">
        <v>-1</v>
      </c>
      <c r="AD501" s="7">
        <v>94.2</v>
      </c>
      <c r="AE501" s="7">
        <v>105.1</v>
      </c>
      <c r="AF501" s="7">
        <v>-10.9</v>
      </c>
      <c r="AG501" s="7">
        <v>13.6</v>
      </c>
      <c r="AH501" s="7">
        <v>2.2000000000000002</v>
      </c>
      <c r="AI501" s="7">
        <v>18.600000000000001</v>
      </c>
      <c r="AJ501" s="7">
        <v>0.8</v>
      </c>
      <c r="AK501" s="7">
        <v>8.6999999999999993</v>
      </c>
      <c r="AL501" s="7">
        <v>4.7</v>
      </c>
      <c r="AM501" s="7">
        <v>8.5</v>
      </c>
      <c r="AN501" s="7">
        <v>35.4</v>
      </c>
      <c r="AO501" s="7">
        <v>37.4</v>
      </c>
      <c r="AP501" s="7">
        <v>16.5</v>
      </c>
      <c r="AQ501" s="7">
        <v>105.44</v>
      </c>
      <c r="AR501" s="7">
        <v>2.9</v>
      </c>
      <c r="AS501" s="7">
        <v>259</v>
      </c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1"/>
    </row>
    <row r="502" spans="1:70" ht="13">
      <c r="A502" s="6" t="s">
        <v>1041</v>
      </c>
      <c r="B502" s="6" t="s">
        <v>1042</v>
      </c>
      <c r="C502" s="7">
        <v>19</v>
      </c>
      <c r="D502" s="7">
        <v>18</v>
      </c>
      <c r="E502" s="7">
        <v>14</v>
      </c>
      <c r="F502" s="7">
        <v>4</v>
      </c>
      <c r="G502" s="7">
        <v>6.2</v>
      </c>
      <c r="H502" s="8">
        <v>31</v>
      </c>
      <c r="I502" s="9">
        <v>11</v>
      </c>
      <c r="J502" s="9">
        <v>31</v>
      </c>
      <c r="K502" s="8">
        <v>32.299999999999997</v>
      </c>
      <c r="L502" s="9">
        <v>5</v>
      </c>
      <c r="M502" s="9">
        <v>20</v>
      </c>
      <c r="N502" s="8">
        <v>31.6</v>
      </c>
      <c r="O502" s="8">
        <v>4</v>
      </c>
      <c r="P502" s="8">
        <v>5</v>
      </c>
      <c r="Q502" s="8">
        <v>66.7</v>
      </c>
      <c r="R502" s="9">
        <v>4</v>
      </c>
      <c r="S502" s="9">
        <v>14</v>
      </c>
      <c r="T502" s="9">
        <v>18</v>
      </c>
      <c r="U502" s="9">
        <v>5</v>
      </c>
      <c r="V502" s="9">
        <v>4</v>
      </c>
      <c r="W502" s="9">
        <v>4</v>
      </c>
      <c r="X502" s="9">
        <v>2</v>
      </c>
      <c r="Y502" s="9">
        <v>7</v>
      </c>
      <c r="Z502" s="8">
        <v>70</v>
      </c>
      <c r="AA502" s="8">
        <v>0</v>
      </c>
      <c r="AB502" s="8">
        <v>0</v>
      </c>
      <c r="AC502" s="7">
        <v>-0.9</v>
      </c>
      <c r="AD502" s="7">
        <v>103.8</v>
      </c>
      <c r="AE502" s="7">
        <v>113</v>
      </c>
      <c r="AF502" s="7">
        <v>-9.1999999999999993</v>
      </c>
      <c r="AG502" s="7">
        <v>6.3</v>
      </c>
      <c r="AH502" s="7">
        <v>1.25</v>
      </c>
      <c r="AI502" s="7">
        <v>11.9</v>
      </c>
      <c r="AJ502" s="7">
        <v>2.8</v>
      </c>
      <c r="AK502" s="7">
        <v>12.8</v>
      </c>
      <c r="AL502" s="7">
        <v>8</v>
      </c>
      <c r="AM502" s="7">
        <v>9.5</v>
      </c>
      <c r="AN502" s="7">
        <v>41.9</v>
      </c>
      <c r="AO502" s="7">
        <v>44.6</v>
      </c>
      <c r="AP502" s="7">
        <v>14.2</v>
      </c>
      <c r="AQ502" s="7">
        <v>100.38</v>
      </c>
      <c r="AR502" s="7">
        <v>4.7</v>
      </c>
      <c r="AS502" s="7">
        <v>235</v>
      </c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1"/>
    </row>
    <row r="503" spans="1:70" ht="13">
      <c r="A503" s="6" t="s">
        <v>1043</v>
      </c>
      <c r="B503" s="6" t="s">
        <v>1044</v>
      </c>
      <c r="C503" s="7">
        <v>24</v>
      </c>
      <c r="D503" s="7">
        <v>11</v>
      </c>
      <c r="E503" s="7">
        <v>7</v>
      </c>
      <c r="F503" s="7">
        <v>4</v>
      </c>
      <c r="G503" s="7">
        <v>6.4</v>
      </c>
      <c r="H503" s="8">
        <v>30</v>
      </c>
      <c r="I503" s="9">
        <v>11</v>
      </c>
      <c r="J503" s="9">
        <v>33</v>
      </c>
      <c r="K503" s="8">
        <v>33.299999999999997</v>
      </c>
      <c r="L503" s="9">
        <v>6</v>
      </c>
      <c r="M503" s="9">
        <v>21</v>
      </c>
      <c r="N503" s="8">
        <v>28.6</v>
      </c>
      <c r="O503" s="8">
        <v>2</v>
      </c>
      <c r="P503" s="8">
        <v>2</v>
      </c>
      <c r="Q503" s="8">
        <v>100</v>
      </c>
      <c r="R503" s="9">
        <v>2</v>
      </c>
      <c r="S503" s="9">
        <v>10</v>
      </c>
      <c r="T503" s="9">
        <v>12</v>
      </c>
      <c r="U503" s="9">
        <v>14</v>
      </c>
      <c r="V503" s="9">
        <v>6</v>
      </c>
      <c r="W503" s="9">
        <v>7</v>
      </c>
      <c r="X503" s="9">
        <v>2</v>
      </c>
      <c r="Y503" s="9">
        <v>7</v>
      </c>
      <c r="Z503" s="8">
        <v>87</v>
      </c>
      <c r="AA503" s="8">
        <v>0</v>
      </c>
      <c r="AB503" s="8">
        <v>0</v>
      </c>
      <c r="AC503" s="7">
        <v>4</v>
      </c>
      <c r="AD503" s="7">
        <v>113.5</v>
      </c>
      <c r="AE503" s="7">
        <v>86.3</v>
      </c>
      <c r="AF503" s="7">
        <v>27.3</v>
      </c>
      <c r="AG503" s="7">
        <v>25.5</v>
      </c>
      <c r="AH503" s="7">
        <v>2.8</v>
      </c>
      <c r="AI503" s="7">
        <v>26.4</v>
      </c>
      <c r="AJ503" s="7">
        <v>2.5</v>
      </c>
      <c r="AK503" s="7">
        <v>11.6</v>
      </c>
      <c r="AL503" s="7">
        <v>7.3</v>
      </c>
      <c r="AM503" s="7">
        <v>9.4</v>
      </c>
      <c r="AN503" s="7">
        <v>42.4</v>
      </c>
      <c r="AO503" s="7">
        <v>44.3</v>
      </c>
      <c r="AP503" s="7">
        <v>21.2</v>
      </c>
      <c r="AQ503" s="7">
        <v>105.02</v>
      </c>
      <c r="AR503" s="7">
        <v>11</v>
      </c>
      <c r="AS503" s="7">
        <v>155</v>
      </c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1"/>
    </row>
    <row r="504" spans="1:70" ht="13">
      <c r="A504" s="6" t="s">
        <v>1045</v>
      </c>
      <c r="B504" s="6" t="s">
        <v>1046</v>
      </c>
      <c r="C504" s="7">
        <v>21</v>
      </c>
      <c r="D504" s="7">
        <v>21</v>
      </c>
      <c r="E504" s="7">
        <v>15</v>
      </c>
      <c r="F504" s="7">
        <v>6</v>
      </c>
      <c r="G504" s="7">
        <v>5</v>
      </c>
      <c r="H504" s="8">
        <v>29</v>
      </c>
      <c r="I504" s="9">
        <v>8</v>
      </c>
      <c r="J504" s="9">
        <v>27</v>
      </c>
      <c r="K504" s="8">
        <v>33.299999999999997</v>
      </c>
      <c r="L504" s="8">
        <v>0</v>
      </c>
      <c r="M504" s="9">
        <v>8</v>
      </c>
      <c r="N504" s="8">
        <v>0</v>
      </c>
      <c r="O504" s="8">
        <v>13</v>
      </c>
      <c r="P504" s="8">
        <v>17</v>
      </c>
      <c r="Q504" s="8">
        <v>75</v>
      </c>
      <c r="R504" s="9">
        <v>11</v>
      </c>
      <c r="S504" s="9">
        <v>25</v>
      </c>
      <c r="T504" s="9">
        <v>36</v>
      </c>
      <c r="U504" s="9">
        <v>4</v>
      </c>
      <c r="V504" s="9">
        <v>6</v>
      </c>
      <c r="W504" s="9">
        <v>4</v>
      </c>
      <c r="X504" s="8">
        <v>0</v>
      </c>
      <c r="Y504" s="9">
        <v>8</v>
      </c>
      <c r="Z504" s="8">
        <v>88</v>
      </c>
      <c r="AA504" s="8">
        <v>0</v>
      </c>
      <c r="AB504" s="8">
        <v>0</v>
      </c>
      <c r="AC504" s="7">
        <v>-1.4</v>
      </c>
      <c r="AD504" s="7">
        <v>89.6</v>
      </c>
      <c r="AE504" s="7">
        <v>102.2</v>
      </c>
      <c r="AF504" s="7">
        <v>-12.6</v>
      </c>
      <c r="AG504" s="7">
        <v>7.8</v>
      </c>
      <c r="AH504" s="7">
        <v>0.83</v>
      </c>
      <c r="AI504" s="7">
        <v>11.1</v>
      </c>
      <c r="AJ504" s="7">
        <v>9.1</v>
      </c>
      <c r="AK504" s="7">
        <v>19.8</v>
      </c>
      <c r="AL504" s="7">
        <v>14.8</v>
      </c>
      <c r="AM504" s="7">
        <v>13.3</v>
      </c>
      <c r="AN504" s="7">
        <v>33.299999999999997</v>
      </c>
      <c r="AO504" s="7">
        <v>44.1</v>
      </c>
      <c r="AP504" s="7">
        <v>15</v>
      </c>
      <c r="AQ504" s="7">
        <v>104.34</v>
      </c>
      <c r="AR504" s="7">
        <v>9.9</v>
      </c>
      <c r="AS504" s="7">
        <v>230</v>
      </c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1"/>
    </row>
    <row r="505" spans="1:70" ht="13">
      <c r="A505" s="6" t="s">
        <v>1047</v>
      </c>
      <c r="B505" s="6" t="s">
        <v>1048</v>
      </c>
      <c r="C505" s="7">
        <v>28</v>
      </c>
      <c r="D505" s="7">
        <v>19</v>
      </c>
      <c r="E505" s="7">
        <v>14</v>
      </c>
      <c r="F505" s="7">
        <v>5</v>
      </c>
      <c r="G505" s="7">
        <v>3.6</v>
      </c>
      <c r="H505" s="8">
        <v>29</v>
      </c>
      <c r="I505" s="9">
        <v>10</v>
      </c>
      <c r="J505" s="9">
        <v>30</v>
      </c>
      <c r="K505" s="8">
        <v>32.299999999999997</v>
      </c>
      <c r="L505" s="9">
        <v>6</v>
      </c>
      <c r="M505" s="9">
        <v>19</v>
      </c>
      <c r="N505" s="8">
        <v>31.6</v>
      </c>
      <c r="O505" s="8">
        <v>2</v>
      </c>
      <c r="P505" s="8">
        <v>2</v>
      </c>
      <c r="Q505" s="8">
        <v>100</v>
      </c>
      <c r="R505" s="8">
        <v>0</v>
      </c>
      <c r="S505" s="9">
        <v>8</v>
      </c>
      <c r="T505" s="9">
        <v>8</v>
      </c>
      <c r="U505" s="9">
        <v>4</v>
      </c>
      <c r="V505" s="9">
        <v>4</v>
      </c>
      <c r="W505" s="9">
        <v>2</v>
      </c>
      <c r="X505" s="8">
        <v>0</v>
      </c>
      <c r="Y505" s="9">
        <v>2</v>
      </c>
      <c r="Z505" s="8">
        <v>46</v>
      </c>
      <c r="AA505" s="8">
        <v>0</v>
      </c>
      <c r="AB505" s="8">
        <v>0</v>
      </c>
      <c r="AC505" s="7">
        <v>-2.1</v>
      </c>
      <c r="AD505" s="7">
        <v>80.5</v>
      </c>
      <c r="AE505" s="7">
        <v>108.8</v>
      </c>
      <c r="AF505" s="7">
        <v>-28.3</v>
      </c>
      <c r="AG505" s="7">
        <v>8.3000000000000007</v>
      </c>
      <c r="AH505" s="7">
        <v>1</v>
      </c>
      <c r="AI505" s="7">
        <v>7.9</v>
      </c>
      <c r="AJ505" s="7">
        <v>0</v>
      </c>
      <c r="AK505" s="7">
        <v>11.3</v>
      </c>
      <c r="AL505" s="7">
        <v>5.6</v>
      </c>
      <c r="AM505" s="7">
        <v>7.9</v>
      </c>
      <c r="AN505" s="7">
        <v>41.9</v>
      </c>
      <c r="AO505" s="7">
        <v>43.9</v>
      </c>
      <c r="AP505" s="7">
        <v>20.8</v>
      </c>
      <c r="AQ505" s="7">
        <v>104.75</v>
      </c>
      <c r="AR505" s="7">
        <v>6.2</v>
      </c>
      <c r="AS505" s="7">
        <v>149</v>
      </c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1"/>
    </row>
    <row r="506" spans="1:70" ht="13">
      <c r="A506" s="6" t="s">
        <v>1049</v>
      </c>
      <c r="B506" s="6" t="s">
        <v>1050</v>
      </c>
      <c r="C506" s="7">
        <v>26</v>
      </c>
      <c r="D506" s="7">
        <v>4</v>
      </c>
      <c r="E506" s="7">
        <v>1</v>
      </c>
      <c r="F506" s="7">
        <v>3</v>
      </c>
      <c r="G506" s="7">
        <v>19.8</v>
      </c>
      <c r="H506" s="8">
        <v>28</v>
      </c>
      <c r="I506" s="9">
        <v>11</v>
      </c>
      <c r="J506" s="9">
        <v>27</v>
      </c>
      <c r="K506" s="8">
        <v>40.700000000000003</v>
      </c>
      <c r="L506" s="9">
        <v>3</v>
      </c>
      <c r="M506" s="9">
        <v>8</v>
      </c>
      <c r="N506" s="8">
        <v>37.5</v>
      </c>
      <c r="O506" s="8">
        <v>3</v>
      </c>
      <c r="P506" s="8">
        <v>4</v>
      </c>
      <c r="Q506" s="8">
        <v>75</v>
      </c>
      <c r="R506" s="9">
        <v>1</v>
      </c>
      <c r="S506" s="9">
        <v>5</v>
      </c>
      <c r="T506" s="9">
        <v>6</v>
      </c>
      <c r="U506" s="9">
        <v>13</v>
      </c>
      <c r="V506" s="9">
        <v>6</v>
      </c>
      <c r="W506" s="9">
        <v>3</v>
      </c>
      <c r="X506" s="9">
        <v>2</v>
      </c>
      <c r="Y506" s="9">
        <v>10</v>
      </c>
      <c r="Z506" s="8">
        <v>64</v>
      </c>
      <c r="AA506" s="8">
        <v>0</v>
      </c>
      <c r="AB506" s="8">
        <v>0</v>
      </c>
      <c r="AC506" s="7">
        <v>-9.8000000000000007</v>
      </c>
      <c r="AD506" s="7">
        <v>95.6</v>
      </c>
      <c r="AE506" s="7">
        <v>119.3</v>
      </c>
      <c r="AF506" s="7">
        <v>-23.6</v>
      </c>
      <c r="AG506" s="7">
        <v>25.5</v>
      </c>
      <c r="AH506" s="7">
        <v>2.17</v>
      </c>
      <c r="AI506" s="7">
        <v>27.1</v>
      </c>
      <c r="AJ506" s="7">
        <v>1.3</v>
      </c>
      <c r="AK506" s="7">
        <v>5.7</v>
      </c>
      <c r="AL506" s="7">
        <v>3.6</v>
      </c>
      <c r="AM506" s="7">
        <v>12.5</v>
      </c>
      <c r="AN506" s="7">
        <v>46.3</v>
      </c>
      <c r="AO506" s="7">
        <v>48.7</v>
      </c>
      <c r="AP506" s="7">
        <v>19.3</v>
      </c>
      <c r="AQ506" s="7">
        <v>97.05</v>
      </c>
      <c r="AR506" s="7">
        <v>5.7</v>
      </c>
      <c r="AS506" s="7">
        <v>160</v>
      </c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1"/>
    </row>
    <row r="507" spans="1:70" ht="13">
      <c r="A507" s="6" t="s">
        <v>1051</v>
      </c>
      <c r="B507" s="6" t="s">
        <v>1052</v>
      </c>
      <c r="C507" s="7">
        <v>23</v>
      </c>
      <c r="D507" s="7">
        <v>14</v>
      </c>
      <c r="E507" s="7">
        <v>9</v>
      </c>
      <c r="F507" s="7">
        <v>5</v>
      </c>
      <c r="G507" s="7">
        <v>5</v>
      </c>
      <c r="H507" s="8">
        <v>28</v>
      </c>
      <c r="I507" s="9">
        <v>11</v>
      </c>
      <c r="J507" s="9">
        <v>31</v>
      </c>
      <c r="K507" s="8">
        <v>35.5</v>
      </c>
      <c r="L507" s="9">
        <v>1</v>
      </c>
      <c r="M507" s="9">
        <v>11</v>
      </c>
      <c r="N507" s="8">
        <v>18.2</v>
      </c>
      <c r="O507" s="8">
        <v>4</v>
      </c>
      <c r="P507" s="8">
        <v>6</v>
      </c>
      <c r="Q507" s="8">
        <v>66.7</v>
      </c>
      <c r="R507" s="8">
        <v>0</v>
      </c>
      <c r="S507" s="9">
        <v>8</v>
      </c>
      <c r="T507" s="9">
        <v>8</v>
      </c>
      <c r="U507" s="9">
        <v>8</v>
      </c>
      <c r="V507" s="9">
        <v>6</v>
      </c>
      <c r="W507" s="9">
        <v>6</v>
      </c>
      <c r="X507" s="9">
        <v>3</v>
      </c>
      <c r="Y507" s="9">
        <v>1</v>
      </c>
      <c r="Z507" s="8">
        <v>69</v>
      </c>
      <c r="AA507" s="8">
        <v>0</v>
      </c>
      <c r="AB507" s="8">
        <v>0</v>
      </c>
      <c r="AC507" s="7">
        <v>-0.4</v>
      </c>
      <c r="AD507" s="7">
        <v>105.7</v>
      </c>
      <c r="AE507" s="7">
        <v>108.2</v>
      </c>
      <c r="AF507" s="7">
        <v>-2.5</v>
      </c>
      <c r="AG507" s="7">
        <v>14.5</v>
      </c>
      <c r="AH507" s="7">
        <v>1.33</v>
      </c>
      <c r="AI507" s="7">
        <v>16.7</v>
      </c>
      <c r="AJ507" s="7">
        <v>0</v>
      </c>
      <c r="AK507" s="7">
        <v>11.5</v>
      </c>
      <c r="AL507" s="7">
        <v>6.3</v>
      </c>
      <c r="AM507" s="7">
        <v>12.5</v>
      </c>
      <c r="AN507" s="7">
        <v>38.700000000000003</v>
      </c>
      <c r="AO507" s="7">
        <v>41.6</v>
      </c>
      <c r="AP507" s="7">
        <v>23.5</v>
      </c>
      <c r="AQ507" s="7">
        <v>109.7</v>
      </c>
      <c r="AR507" s="7">
        <v>6.3</v>
      </c>
      <c r="AS507" s="7">
        <v>158</v>
      </c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1"/>
    </row>
    <row r="508" spans="1:70" ht="13">
      <c r="A508" s="6" t="s">
        <v>1053</v>
      </c>
      <c r="B508" s="6" t="s">
        <v>1054</v>
      </c>
      <c r="C508" s="7">
        <v>23</v>
      </c>
      <c r="D508" s="7">
        <v>20</v>
      </c>
      <c r="E508" s="7">
        <v>13</v>
      </c>
      <c r="F508" s="7">
        <v>7</v>
      </c>
      <c r="G508" s="7">
        <v>6.2</v>
      </c>
      <c r="H508" s="8">
        <v>26</v>
      </c>
      <c r="I508" s="9">
        <v>12</v>
      </c>
      <c r="J508" s="9">
        <v>34</v>
      </c>
      <c r="K508" s="8">
        <v>32.4</v>
      </c>
      <c r="L508" s="9">
        <v>2</v>
      </c>
      <c r="M508" s="9">
        <v>18</v>
      </c>
      <c r="N508" s="8">
        <v>5.9</v>
      </c>
      <c r="O508" s="8">
        <v>4</v>
      </c>
      <c r="P508" s="8">
        <v>4</v>
      </c>
      <c r="Q508" s="8">
        <v>100</v>
      </c>
      <c r="R508" s="9">
        <v>8</v>
      </c>
      <c r="S508" s="9">
        <v>10</v>
      </c>
      <c r="T508" s="9">
        <v>18</v>
      </c>
      <c r="U508" s="9">
        <v>6</v>
      </c>
      <c r="V508" s="9">
        <v>6</v>
      </c>
      <c r="W508" s="9">
        <v>6</v>
      </c>
      <c r="X508" s="9">
        <v>6</v>
      </c>
      <c r="Y508" s="9">
        <v>18</v>
      </c>
      <c r="Z508" s="8">
        <v>78</v>
      </c>
      <c r="AA508" s="8">
        <v>0</v>
      </c>
      <c r="AB508" s="8">
        <v>0</v>
      </c>
      <c r="AC508" s="7">
        <v>-2.2999999999999998</v>
      </c>
      <c r="AD508" s="7">
        <v>89.4</v>
      </c>
      <c r="AE508" s="7">
        <v>107.4</v>
      </c>
      <c r="AF508" s="7">
        <v>-18</v>
      </c>
      <c r="AG508" s="7">
        <v>6</v>
      </c>
      <c r="AH508" s="7">
        <v>1</v>
      </c>
      <c r="AI508" s="7">
        <v>11.1</v>
      </c>
      <c r="AJ508" s="7">
        <v>5.7</v>
      </c>
      <c r="AK508" s="7">
        <v>6.7</v>
      </c>
      <c r="AL508" s="7">
        <v>6.2</v>
      </c>
      <c r="AM508" s="7">
        <v>11.1</v>
      </c>
      <c r="AN508" s="7">
        <v>33.799999999999997</v>
      </c>
      <c r="AO508" s="7">
        <v>36.799999999999997</v>
      </c>
      <c r="AP508" s="7">
        <v>12.8</v>
      </c>
      <c r="AQ508" s="7">
        <v>104.76</v>
      </c>
      <c r="AR508" s="7">
        <v>1.3</v>
      </c>
      <c r="AS508" s="7">
        <v>274</v>
      </c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1"/>
    </row>
    <row r="509" spans="1:70" ht="13">
      <c r="A509" s="6" t="s">
        <v>1055</v>
      </c>
      <c r="B509" s="6" t="s">
        <v>1056</v>
      </c>
      <c r="C509" s="7">
        <v>25</v>
      </c>
      <c r="D509" s="7">
        <v>17</v>
      </c>
      <c r="E509" s="7">
        <v>13</v>
      </c>
      <c r="F509" s="7">
        <v>4</v>
      </c>
      <c r="G509" s="7">
        <v>4.4000000000000004</v>
      </c>
      <c r="H509" s="8">
        <v>24</v>
      </c>
      <c r="I509" s="9">
        <v>9</v>
      </c>
      <c r="J509" s="9">
        <v>22</v>
      </c>
      <c r="K509" s="8">
        <v>40.9</v>
      </c>
      <c r="L509" s="9">
        <v>5</v>
      </c>
      <c r="M509" s="9">
        <v>10</v>
      </c>
      <c r="N509" s="8">
        <v>50</v>
      </c>
      <c r="O509" s="8">
        <v>0</v>
      </c>
      <c r="P509" s="8">
        <v>0</v>
      </c>
      <c r="Q509" s="8">
        <v>0</v>
      </c>
      <c r="R509" s="9">
        <v>3</v>
      </c>
      <c r="S509" s="9">
        <v>12</v>
      </c>
      <c r="T509" s="9">
        <v>15</v>
      </c>
      <c r="U509" s="9">
        <v>7</v>
      </c>
      <c r="V509" s="9">
        <v>3</v>
      </c>
      <c r="W509" s="9">
        <v>2</v>
      </c>
      <c r="X509" s="8">
        <v>0</v>
      </c>
      <c r="Y509" s="9">
        <v>3</v>
      </c>
      <c r="Z509" s="8">
        <v>53</v>
      </c>
      <c r="AA509" s="8">
        <v>0</v>
      </c>
      <c r="AB509" s="8">
        <v>0</v>
      </c>
      <c r="AC509" s="7">
        <v>-1.5</v>
      </c>
      <c r="AD509" s="7">
        <v>89.9</v>
      </c>
      <c r="AE509" s="7">
        <v>104.4</v>
      </c>
      <c r="AF509" s="7">
        <v>-14.5</v>
      </c>
      <c r="AG509" s="7">
        <v>13.3</v>
      </c>
      <c r="AH509" s="7">
        <v>2</v>
      </c>
      <c r="AI509" s="7">
        <v>19.399999999999999</v>
      </c>
      <c r="AJ509" s="7">
        <v>4.0999999999999996</v>
      </c>
      <c r="AK509" s="7">
        <v>14.8</v>
      </c>
      <c r="AL509" s="7">
        <v>9.6999999999999993</v>
      </c>
      <c r="AM509" s="7">
        <v>9.6999999999999993</v>
      </c>
      <c r="AN509" s="7">
        <v>52.3</v>
      </c>
      <c r="AO509" s="7">
        <v>52.3</v>
      </c>
      <c r="AP509" s="7">
        <v>14</v>
      </c>
      <c r="AQ509" s="7">
        <v>101.56</v>
      </c>
      <c r="AR509" s="7">
        <v>9</v>
      </c>
      <c r="AS509" s="7">
        <v>158</v>
      </c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1"/>
    </row>
    <row r="510" spans="1:70" ht="13">
      <c r="A510" s="6" t="s">
        <v>1057</v>
      </c>
      <c r="B510" s="6" t="s">
        <v>1058</v>
      </c>
      <c r="C510" s="7">
        <v>22</v>
      </c>
      <c r="D510" s="7">
        <v>16</v>
      </c>
      <c r="E510" s="7">
        <v>8</v>
      </c>
      <c r="F510" s="7">
        <v>8</v>
      </c>
      <c r="G510" s="7">
        <v>3.5</v>
      </c>
      <c r="H510" s="8">
        <v>24</v>
      </c>
      <c r="I510" s="9">
        <v>10</v>
      </c>
      <c r="J510" s="9">
        <v>22</v>
      </c>
      <c r="K510" s="8">
        <v>39.1</v>
      </c>
      <c r="L510" s="9">
        <v>5</v>
      </c>
      <c r="M510" s="9">
        <v>11</v>
      </c>
      <c r="N510" s="8">
        <v>36.4</v>
      </c>
      <c r="O510" s="8">
        <v>2</v>
      </c>
      <c r="P510" s="8">
        <v>5</v>
      </c>
      <c r="Q510" s="8">
        <v>50</v>
      </c>
      <c r="R510" s="9">
        <v>2</v>
      </c>
      <c r="S510" s="9">
        <v>5</v>
      </c>
      <c r="T510" s="9">
        <v>5</v>
      </c>
      <c r="U510" s="9">
        <v>6</v>
      </c>
      <c r="V510" s="9">
        <v>5</v>
      </c>
      <c r="W510" s="9">
        <v>2</v>
      </c>
      <c r="X510" s="9">
        <v>2</v>
      </c>
      <c r="Y510" s="9">
        <v>10</v>
      </c>
      <c r="Z510" s="8">
        <v>43</v>
      </c>
      <c r="AA510" s="8">
        <v>0</v>
      </c>
      <c r="AB510" s="8">
        <v>0</v>
      </c>
      <c r="AC510" s="7">
        <v>0.7</v>
      </c>
      <c r="AD510" s="7">
        <v>103.8</v>
      </c>
      <c r="AE510" s="7">
        <v>99.2</v>
      </c>
      <c r="AF510" s="7">
        <v>4.5999999999999996</v>
      </c>
      <c r="AG510" s="7">
        <v>15.4</v>
      </c>
      <c r="AH510" s="7">
        <v>1.2</v>
      </c>
      <c r="AI510" s="7">
        <v>17.100000000000001</v>
      </c>
      <c r="AJ510" s="7">
        <v>1.6</v>
      </c>
      <c r="AK510" s="7">
        <v>6.5</v>
      </c>
      <c r="AL510" s="7">
        <v>4</v>
      </c>
      <c r="AM510" s="7">
        <v>14.3</v>
      </c>
      <c r="AN510" s="7">
        <v>47.8</v>
      </c>
      <c r="AO510" s="7">
        <v>48.5</v>
      </c>
      <c r="AP510" s="7">
        <v>19.5</v>
      </c>
      <c r="AQ510" s="7">
        <v>109.79</v>
      </c>
      <c r="AR510" s="7">
        <v>3.1</v>
      </c>
      <c r="AS510" s="7">
        <v>132</v>
      </c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1"/>
    </row>
    <row r="511" spans="1:70" ht="13">
      <c r="A511" s="6" t="s">
        <v>1059</v>
      </c>
      <c r="B511" s="6" t="s">
        <v>1060</v>
      </c>
      <c r="C511" s="7">
        <v>23</v>
      </c>
      <c r="D511" s="7">
        <v>4</v>
      </c>
      <c r="E511" s="7">
        <v>0</v>
      </c>
      <c r="F511" s="7">
        <v>4</v>
      </c>
      <c r="G511" s="7">
        <v>12.7</v>
      </c>
      <c r="H511" s="8">
        <v>24</v>
      </c>
      <c r="I511" s="9">
        <v>10</v>
      </c>
      <c r="J511" s="9">
        <v>13</v>
      </c>
      <c r="K511" s="8">
        <v>76.900000000000006</v>
      </c>
      <c r="L511" s="8">
        <v>0</v>
      </c>
      <c r="M511" s="8">
        <v>0</v>
      </c>
      <c r="N511" s="8">
        <v>0</v>
      </c>
      <c r="O511" s="8">
        <v>4</v>
      </c>
      <c r="P511" s="8">
        <v>5</v>
      </c>
      <c r="Q511" s="8">
        <v>80</v>
      </c>
      <c r="R511" s="9">
        <v>6</v>
      </c>
      <c r="S511" s="9">
        <v>15</v>
      </c>
      <c r="T511" s="9">
        <v>21</v>
      </c>
      <c r="U511" s="9">
        <v>2</v>
      </c>
      <c r="V511" s="9">
        <v>2</v>
      </c>
      <c r="W511" s="9">
        <v>1</v>
      </c>
      <c r="X511" s="9">
        <v>5</v>
      </c>
      <c r="Y511" s="9">
        <v>9</v>
      </c>
      <c r="Z511" s="8">
        <v>68</v>
      </c>
      <c r="AA511" s="8">
        <v>0</v>
      </c>
      <c r="AB511" s="8">
        <v>0</v>
      </c>
      <c r="AC511" s="7">
        <v>-2.8</v>
      </c>
      <c r="AD511" s="7">
        <v>114.9</v>
      </c>
      <c r="AE511" s="7">
        <v>123.5</v>
      </c>
      <c r="AF511" s="7">
        <v>-8.6</v>
      </c>
      <c r="AG511" s="7">
        <v>5</v>
      </c>
      <c r="AH511" s="7">
        <v>1</v>
      </c>
      <c r="AI511" s="7">
        <v>10.5</v>
      </c>
      <c r="AJ511" s="7">
        <v>12.2</v>
      </c>
      <c r="AK511" s="7">
        <v>26.8</v>
      </c>
      <c r="AL511" s="7">
        <v>20</v>
      </c>
      <c r="AM511" s="7">
        <v>10.5</v>
      </c>
      <c r="AN511" s="7">
        <v>76.900000000000006</v>
      </c>
      <c r="AO511" s="7">
        <v>78.900000000000006</v>
      </c>
      <c r="AP511" s="7">
        <v>13.3</v>
      </c>
      <c r="AQ511" s="7">
        <v>108.58</v>
      </c>
      <c r="AR511" s="7">
        <v>12.5</v>
      </c>
      <c r="AS511" s="7">
        <v>114</v>
      </c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1"/>
    </row>
    <row r="512" spans="1:70" ht="13">
      <c r="A512" s="6" t="s">
        <v>1061</v>
      </c>
      <c r="B512" s="6" t="s">
        <v>1062</v>
      </c>
      <c r="C512" s="7">
        <v>28</v>
      </c>
      <c r="D512" s="7">
        <v>13</v>
      </c>
      <c r="E512" s="7">
        <v>2</v>
      </c>
      <c r="F512" s="7">
        <v>11</v>
      </c>
      <c r="G512" s="7">
        <v>10.4</v>
      </c>
      <c r="H512" s="8">
        <v>23</v>
      </c>
      <c r="I512" s="9">
        <v>10</v>
      </c>
      <c r="J512" s="9">
        <v>26</v>
      </c>
      <c r="K512" s="8">
        <v>38.5</v>
      </c>
      <c r="L512" s="9">
        <v>4</v>
      </c>
      <c r="M512" s="9">
        <v>16</v>
      </c>
      <c r="N512" s="8">
        <v>26.7</v>
      </c>
      <c r="O512" s="8">
        <v>0</v>
      </c>
      <c r="P512" s="8">
        <v>0</v>
      </c>
      <c r="Q512" s="8">
        <v>0</v>
      </c>
      <c r="R512" s="9">
        <v>7</v>
      </c>
      <c r="S512" s="9">
        <v>26</v>
      </c>
      <c r="T512" s="9">
        <v>33</v>
      </c>
      <c r="U512" s="9">
        <v>9</v>
      </c>
      <c r="V512" s="9">
        <v>10</v>
      </c>
      <c r="W512" s="9">
        <v>3</v>
      </c>
      <c r="X512" s="9">
        <v>3</v>
      </c>
      <c r="Y512" s="9">
        <v>10</v>
      </c>
      <c r="Z512" s="8">
        <v>79</v>
      </c>
      <c r="AA512" s="8">
        <v>0</v>
      </c>
      <c r="AB512" s="8">
        <v>0</v>
      </c>
      <c r="AC512" s="7">
        <v>-1.4</v>
      </c>
      <c r="AD512" s="7">
        <v>93.5</v>
      </c>
      <c r="AE512" s="7">
        <v>100.3</v>
      </c>
      <c r="AF512" s="7">
        <v>-6.9</v>
      </c>
      <c r="AG512" s="7">
        <v>9.5</v>
      </c>
      <c r="AH512" s="7">
        <v>0.82</v>
      </c>
      <c r="AI512" s="7">
        <v>19.600000000000001</v>
      </c>
      <c r="AJ512" s="7">
        <v>3.8</v>
      </c>
      <c r="AK512" s="7">
        <v>17</v>
      </c>
      <c r="AL512" s="7">
        <v>10.199999999999999</v>
      </c>
      <c r="AM512" s="7">
        <v>23.9</v>
      </c>
      <c r="AN512" s="7">
        <v>46.2</v>
      </c>
      <c r="AO512" s="7">
        <v>46.2</v>
      </c>
      <c r="AP512" s="7">
        <v>10.9</v>
      </c>
      <c r="AQ512" s="7">
        <v>102.84</v>
      </c>
      <c r="AR512" s="7">
        <v>6.2</v>
      </c>
      <c r="AS512" s="7">
        <v>292</v>
      </c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1"/>
    </row>
    <row r="513" spans="1:70" ht="13">
      <c r="A513" s="6" t="s">
        <v>1063</v>
      </c>
      <c r="B513" s="6" t="s">
        <v>1064</v>
      </c>
      <c r="C513" s="7">
        <v>34</v>
      </c>
      <c r="D513" s="7">
        <v>9</v>
      </c>
      <c r="E513" s="7">
        <v>3</v>
      </c>
      <c r="F513" s="7">
        <v>6</v>
      </c>
      <c r="G513" s="7">
        <v>11.4</v>
      </c>
      <c r="H513" s="8">
        <v>23</v>
      </c>
      <c r="I513" s="9">
        <v>7</v>
      </c>
      <c r="J513" s="9">
        <v>22</v>
      </c>
      <c r="K513" s="8">
        <v>31.8</v>
      </c>
      <c r="L513" s="9">
        <v>4</v>
      </c>
      <c r="M513" s="9">
        <v>15</v>
      </c>
      <c r="N513" s="8">
        <v>26.7</v>
      </c>
      <c r="O513" s="8">
        <v>5</v>
      </c>
      <c r="P513" s="8">
        <v>6</v>
      </c>
      <c r="Q513" s="8">
        <v>83.3</v>
      </c>
      <c r="R513" s="9">
        <v>6</v>
      </c>
      <c r="S513" s="9">
        <v>14</v>
      </c>
      <c r="T513" s="9">
        <v>20</v>
      </c>
      <c r="U513" s="9">
        <v>6</v>
      </c>
      <c r="V513" s="9">
        <v>4</v>
      </c>
      <c r="W513" s="9">
        <v>3</v>
      </c>
      <c r="X513" s="8">
        <v>0</v>
      </c>
      <c r="Y513" s="9">
        <v>10</v>
      </c>
      <c r="Z513" s="8">
        <v>61</v>
      </c>
      <c r="AA513" s="8">
        <v>0</v>
      </c>
      <c r="AB513" s="8">
        <v>0</v>
      </c>
      <c r="AC513" s="7">
        <v>-2</v>
      </c>
      <c r="AD513" s="7">
        <v>101.9</v>
      </c>
      <c r="AE513" s="7">
        <v>109.2</v>
      </c>
      <c r="AF513" s="7">
        <v>-7.4</v>
      </c>
      <c r="AG513" s="7">
        <v>7.7</v>
      </c>
      <c r="AH513" s="7">
        <v>1.5</v>
      </c>
      <c r="AI513" s="7">
        <v>17.600000000000001</v>
      </c>
      <c r="AJ513" s="7">
        <v>5.5</v>
      </c>
      <c r="AK513" s="7">
        <v>13.3</v>
      </c>
      <c r="AL513" s="7">
        <v>9.3000000000000007</v>
      </c>
      <c r="AM513" s="7">
        <v>11.8</v>
      </c>
      <c r="AN513" s="7">
        <v>40.9</v>
      </c>
      <c r="AO513" s="7">
        <v>46.7</v>
      </c>
      <c r="AP513" s="7">
        <v>11.3</v>
      </c>
      <c r="AQ513" s="7">
        <v>100.89</v>
      </c>
      <c r="AR513" s="7">
        <v>4.8</v>
      </c>
      <c r="AS513" s="7">
        <v>215</v>
      </c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1"/>
    </row>
    <row r="514" spans="1:70" ht="13">
      <c r="A514" s="6" t="s">
        <v>1065</v>
      </c>
      <c r="B514" s="6" t="s">
        <v>1066</v>
      </c>
      <c r="C514" s="7">
        <v>26</v>
      </c>
      <c r="D514" s="7">
        <v>10</v>
      </c>
      <c r="E514" s="7">
        <v>4</v>
      </c>
      <c r="F514" s="7">
        <v>6</v>
      </c>
      <c r="G514" s="7">
        <v>4.5</v>
      </c>
      <c r="H514" s="8">
        <v>23</v>
      </c>
      <c r="I514" s="9">
        <v>9</v>
      </c>
      <c r="J514" s="9">
        <v>18</v>
      </c>
      <c r="K514" s="8">
        <v>50</v>
      </c>
      <c r="L514" s="9">
        <v>1</v>
      </c>
      <c r="M514" s="9">
        <v>8</v>
      </c>
      <c r="N514" s="8">
        <v>12.5</v>
      </c>
      <c r="O514" s="8">
        <v>4</v>
      </c>
      <c r="P514" s="8">
        <v>5</v>
      </c>
      <c r="Q514" s="8">
        <v>80</v>
      </c>
      <c r="R514" s="9">
        <v>2</v>
      </c>
      <c r="S514" s="9">
        <v>7</v>
      </c>
      <c r="T514" s="9">
        <v>9</v>
      </c>
      <c r="U514" s="9">
        <v>11</v>
      </c>
      <c r="V514" s="9">
        <v>1</v>
      </c>
      <c r="W514" s="8">
        <v>0</v>
      </c>
      <c r="X514" s="9">
        <v>1</v>
      </c>
      <c r="Y514" s="9">
        <v>3</v>
      </c>
      <c r="Z514" s="8">
        <v>52</v>
      </c>
      <c r="AA514" s="8">
        <v>0</v>
      </c>
      <c r="AB514" s="8">
        <v>0</v>
      </c>
      <c r="AC514" s="7">
        <v>0.1</v>
      </c>
      <c r="AD514" s="7">
        <v>107.4</v>
      </c>
      <c r="AE514" s="7">
        <v>105.3</v>
      </c>
      <c r="AF514" s="7">
        <v>2.2000000000000002</v>
      </c>
      <c r="AG514" s="7">
        <v>37.9</v>
      </c>
      <c r="AH514" s="7">
        <v>11</v>
      </c>
      <c r="AI514" s="7">
        <v>34.4</v>
      </c>
      <c r="AJ514" s="7">
        <v>4.5</v>
      </c>
      <c r="AK514" s="7">
        <v>14.9</v>
      </c>
      <c r="AL514" s="7">
        <v>9.9</v>
      </c>
      <c r="AM514" s="7">
        <v>3.1</v>
      </c>
      <c r="AN514" s="7">
        <v>52.8</v>
      </c>
      <c r="AO514" s="7">
        <v>56.9</v>
      </c>
      <c r="AP514" s="7">
        <v>19.3</v>
      </c>
      <c r="AQ514" s="7">
        <v>99.93</v>
      </c>
      <c r="AR514" s="7">
        <v>15.9</v>
      </c>
      <c r="AS514" s="7">
        <v>94</v>
      </c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1"/>
    </row>
    <row r="515" spans="1:70" ht="13">
      <c r="A515" s="13" t="s">
        <v>1067</v>
      </c>
      <c r="B515" s="6" t="s">
        <v>1068</v>
      </c>
      <c r="C515" s="7">
        <v>24</v>
      </c>
      <c r="D515" s="7">
        <v>12</v>
      </c>
      <c r="E515" s="7">
        <v>6</v>
      </c>
      <c r="F515" s="7">
        <v>6</v>
      </c>
      <c r="G515" s="7">
        <v>4.4000000000000004</v>
      </c>
      <c r="H515" s="8">
        <v>22</v>
      </c>
      <c r="I515" s="9">
        <v>8</v>
      </c>
      <c r="J515" s="9">
        <v>16</v>
      </c>
      <c r="K515" s="8">
        <v>53.3</v>
      </c>
      <c r="L515" s="9">
        <v>4</v>
      </c>
      <c r="M515" s="9">
        <v>10</v>
      </c>
      <c r="N515" s="8">
        <v>30</v>
      </c>
      <c r="O515" s="8">
        <v>2</v>
      </c>
      <c r="P515" s="8">
        <v>2</v>
      </c>
      <c r="Q515" s="8">
        <v>100</v>
      </c>
      <c r="R515" s="9">
        <v>4</v>
      </c>
      <c r="S515" s="9">
        <v>6</v>
      </c>
      <c r="T515" s="9">
        <v>10</v>
      </c>
      <c r="U515" s="9">
        <v>4</v>
      </c>
      <c r="V515" s="9">
        <v>2</v>
      </c>
      <c r="W515" s="9">
        <v>1</v>
      </c>
      <c r="X515" s="9">
        <v>1</v>
      </c>
      <c r="Y515" s="9">
        <v>11</v>
      </c>
      <c r="Z515" s="8">
        <v>41</v>
      </c>
      <c r="AA515" s="8">
        <v>0</v>
      </c>
      <c r="AB515" s="8">
        <v>0</v>
      </c>
      <c r="AC515" s="7">
        <v>-0.7</v>
      </c>
      <c r="AD515" s="7">
        <v>117.9</v>
      </c>
      <c r="AE515" s="7">
        <v>126.4</v>
      </c>
      <c r="AF515" s="7">
        <v>-8.6</v>
      </c>
      <c r="AG515" s="7">
        <v>6.4</v>
      </c>
      <c r="AH515" s="7">
        <v>1.5</v>
      </c>
      <c r="AI515" s="7">
        <v>14.3</v>
      </c>
      <c r="AJ515" s="7">
        <v>6.5</v>
      </c>
      <c r="AK515" s="7">
        <v>10.199999999999999</v>
      </c>
      <c r="AL515" s="7">
        <v>8.6</v>
      </c>
      <c r="AM515" s="7">
        <v>9.5</v>
      </c>
      <c r="AN515" s="7">
        <v>63.3</v>
      </c>
      <c r="AO515" s="7">
        <v>66.099999999999994</v>
      </c>
      <c r="AP515" s="7">
        <v>13</v>
      </c>
      <c r="AQ515" s="7">
        <v>110.79</v>
      </c>
      <c r="AR515" s="7">
        <v>4.7</v>
      </c>
      <c r="AS515" s="7">
        <v>123</v>
      </c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1"/>
    </row>
    <row r="516" spans="1:70" ht="13">
      <c r="A516" s="6" t="s">
        <v>1069</v>
      </c>
      <c r="B516" s="6" t="s">
        <v>1070</v>
      </c>
      <c r="C516" s="7">
        <v>28</v>
      </c>
      <c r="D516" s="7">
        <v>6</v>
      </c>
      <c r="E516" s="7">
        <v>4</v>
      </c>
      <c r="F516" s="7">
        <v>2</v>
      </c>
      <c r="G516" s="7">
        <v>8.6</v>
      </c>
      <c r="H516" s="8">
        <v>22</v>
      </c>
      <c r="I516" s="9">
        <v>8</v>
      </c>
      <c r="J516" s="9">
        <v>17</v>
      </c>
      <c r="K516" s="8">
        <v>47.1</v>
      </c>
      <c r="L516" s="9">
        <v>3</v>
      </c>
      <c r="M516" s="9">
        <v>10</v>
      </c>
      <c r="N516" s="8">
        <v>30</v>
      </c>
      <c r="O516" s="8">
        <v>3</v>
      </c>
      <c r="P516" s="8">
        <v>6</v>
      </c>
      <c r="Q516" s="8">
        <v>50</v>
      </c>
      <c r="R516" s="9">
        <v>3</v>
      </c>
      <c r="S516" s="9">
        <v>8</v>
      </c>
      <c r="T516" s="9">
        <v>11</v>
      </c>
      <c r="U516" s="9">
        <v>4</v>
      </c>
      <c r="V516" s="9">
        <v>1</v>
      </c>
      <c r="W516" s="9">
        <v>4</v>
      </c>
      <c r="X516" s="8">
        <v>0</v>
      </c>
      <c r="Y516" s="9">
        <v>4</v>
      </c>
      <c r="Z516" s="8">
        <v>52</v>
      </c>
      <c r="AA516" s="8">
        <v>0</v>
      </c>
      <c r="AB516" s="8">
        <v>0</v>
      </c>
      <c r="AC516" s="7">
        <v>3.8</v>
      </c>
      <c r="AD516" s="7">
        <v>116.4</v>
      </c>
      <c r="AE516" s="7">
        <v>103.5</v>
      </c>
      <c r="AF516" s="7">
        <v>12.9</v>
      </c>
      <c r="AG516" s="7">
        <v>10</v>
      </c>
      <c r="AH516" s="7">
        <v>4</v>
      </c>
      <c r="AI516" s="7">
        <v>16</v>
      </c>
      <c r="AJ516" s="7">
        <v>4.5999999999999996</v>
      </c>
      <c r="AK516" s="7">
        <v>16.7</v>
      </c>
      <c r="AL516" s="7">
        <v>9.6999999999999993</v>
      </c>
      <c r="AM516" s="7">
        <v>4</v>
      </c>
      <c r="AN516" s="7">
        <v>55.9</v>
      </c>
      <c r="AO516" s="7">
        <v>56</v>
      </c>
      <c r="AP516" s="7">
        <v>14.2</v>
      </c>
      <c r="AQ516" s="7">
        <v>109.95</v>
      </c>
      <c r="AR516" s="7">
        <v>10.1</v>
      </c>
      <c r="AS516" s="7">
        <v>122</v>
      </c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1"/>
    </row>
    <row r="517" spans="1:70" ht="13">
      <c r="A517" s="6" t="s">
        <v>1071</v>
      </c>
      <c r="B517" s="6" t="s">
        <v>1072</v>
      </c>
      <c r="C517" s="7">
        <v>21</v>
      </c>
      <c r="D517" s="7">
        <v>13</v>
      </c>
      <c r="E517" s="7">
        <v>11</v>
      </c>
      <c r="F517" s="7">
        <v>2</v>
      </c>
      <c r="G517" s="7">
        <v>2.4</v>
      </c>
      <c r="H517" s="8">
        <v>20</v>
      </c>
      <c r="I517" s="9">
        <v>7</v>
      </c>
      <c r="J517" s="9">
        <v>16</v>
      </c>
      <c r="K517" s="8">
        <v>40</v>
      </c>
      <c r="L517" s="8">
        <v>0</v>
      </c>
      <c r="M517" s="9">
        <v>5</v>
      </c>
      <c r="N517" s="8">
        <v>0</v>
      </c>
      <c r="O517" s="8">
        <v>8</v>
      </c>
      <c r="P517" s="8">
        <v>8</v>
      </c>
      <c r="Q517" s="8">
        <v>100</v>
      </c>
      <c r="R517" s="9">
        <v>3</v>
      </c>
      <c r="S517" s="9">
        <v>8</v>
      </c>
      <c r="T517" s="9">
        <v>10</v>
      </c>
      <c r="U517" s="8">
        <v>0</v>
      </c>
      <c r="V517" s="9">
        <v>3</v>
      </c>
      <c r="W517" s="9">
        <v>3</v>
      </c>
      <c r="X517" s="9">
        <v>1</v>
      </c>
      <c r="Y517" s="9">
        <v>3</v>
      </c>
      <c r="Z517" s="8">
        <v>40</v>
      </c>
      <c r="AA517" s="8">
        <v>0</v>
      </c>
      <c r="AB517" s="8">
        <v>0</v>
      </c>
      <c r="AC517" s="7">
        <v>-0.9</v>
      </c>
      <c r="AD517" s="7">
        <v>79.2</v>
      </c>
      <c r="AE517" s="7">
        <v>98.6</v>
      </c>
      <c r="AF517" s="7">
        <v>-19.399999999999999</v>
      </c>
      <c r="AG517" s="7">
        <v>0</v>
      </c>
      <c r="AH517" s="7">
        <v>0</v>
      </c>
      <c r="AI517" s="7">
        <v>0</v>
      </c>
      <c r="AJ517" s="7">
        <v>7.3</v>
      </c>
      <c r="AK517" s="7">
        <v>22.9</v>
      </c>
      <c r="AL517" s="7">
        <v>14.5</v>
      </c>
      <c r="AM517" s="7">
        <v>9.5</v>
      </c>
      <c r="AN517" s="7">
        <v>40</v>
      </c>
      <c r="AO517" s="7">
        <v>54</v>
      </c>
      <c r="AP517" s="7">
        <v>23.9</v>
      </c>
      <c r="AQ517" s="7">
        <v>107.87</v>
      </c>
      <c r="AR517" s="7">
        <v>20.2</v>
      </c>
      <c r="AS517" s="7">
        <v>72</v>
      </c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1"/>
    </row>
    <row r="518" spans="1:70" ht="13">
      <c r="A518" s="6" t="s">
        <v>1073</v>
      </c>
      <c r="B518" s="6" t="s">
        <v>1074</v>
      </c>
      <c r="C518" s="7">
        <v>19</v>
      </c>
      <c r="D518" s="7">
        <v>13</v>
      </c>
      <c r="E518" s="7">
        <v>10</v>
      </c>
      <c r="F518" s="7">
        <v>3</v>
      </c>
      <c r="G518" s="7">
        <v>4.5</v>
      </c>
      <c r="H518" s="8">
        <v>18</v>
      </c>
      <c r="I518" s="9">
        <v>7</v>
      </c>
      <c r="J518" s="9">
        <v>23</v>
      </c>
      <c r="K518" s="8">
        <v>29.2</v>
      </c>
      <c r="L518" s="9">
        <v>3</v>
      </c>
      <c r="M518" s="9">
        <v>13</v>
      </c>
      <c r="N518" s="8">
        <v>15.4</v>
      </c>
      <c r="O518" s="8">
        <v>3</v>
      </c>
      <c r="P518" s="8">
        <v>4</v>
      </c>
      <c r="Q518" s="8">
        <v>50</v>
      </c>
      <c r="R518" s="9">
        <v>3</v>
      </c>
      <c r="S518" s="9">
        <v>9</v>
      </c>
      <c r="T518" s="9">
        <v>12</v>
      </c>
      <c r="U518" s="9">
        <v>7</v>
      </c>
      <c r="V518" s="9">
        <v>3</v>
      </c>
      <c r="W518" s="9">
        <v>5</v>
      </c>
      <c r="X518" s="9">
        <v>1</v>
      </c>
      <c r="Y518" s="9">
        <v>4</v>
      </c>
      <c r="Z518" s="8">
        <v>57</v>
      </c>
      <c r="AA518" s="8">
        <v>0</v>
      </c>
      <c r="AB518" s="8">
        <v>0</v>
      </c>
      <c r="AC518" s="7">
        <v>-0.8</v>
      </c>
      <c r="AD518" s="7">
        <v>97.6</v>
      </c>
      <c r="AE518" s="7">
        <v>105.6</v>
      </c>
      <c r="AF518" s="7">
        <v>-7.9</v>
      </c>
      <c r="AG518" s="7">
        <v>16.7</v>
      </c>
      <c r="AH518" s="7">
        <v>3</v>
      </c>
      <c r="AI518" s="7">
        <v>17.600000000000001</v>
      </c>
      <c r="AJ518" s="7">
        <v>5.0999999999999996</v>
      </c>
      <c r="AK518" s="7">
        <v>14.1</v>
      </c>
      <c r="AL518" s="7">
        <v>9.8000000000000007</v>
      </c>
      <c r="AM518" s="7">
        <v>5.9</v>
      </c>
      <c r="AN518" s="7">
        <v>33.299999999999997</v>
      </c>
      <c r="AO518" s="7">
        <v>34.9</v>
      </c>
      <c r="AP518" s="7">
        <v>19.2</v>
      </c>
      <c r="AQ518" s="7">
        <v>103.12</v>
      </c>
      <c r="AR518" s="7">
        <v>7</v>
      </c>
      <c r="AS518" s="7">
        <v>126</v>
      </c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1"/>
    </row>
    <row r="519" spans="1:70" ht="13">
      <c r="A519" s="6" t="s">
        <v>1075</v>
      </c>
      <c r="B519" s="6" t="s">
        <v>1076</v>
      </c>
      <c r="C519" s="7">
        <v>25</v>
      </c>
      <c r="D519" s="7">
        <v>5</v>
      </c>
      <c r="E519" s="7">
        <v>4</v>
      </c>
      <c r="F519" s="7">
        <v>1</v>
      </c>
      <c r="G519" s="7">
        <v>12.3</v>
      </c>
      <c r="H519" s="8">
        <v>17</v>
      </c>
      <c r="I519" s="9">
        <v>6</v>
      </c>
      <c r="J519" s="9">
        <v>12</v>
      </c>
      <c r="K519" s="8">
        <v>50</v>
      </c>
      <c r="L519" s="9">
        <v>1</v>
      </c>
      <c r="M519" s="9">
        <v>5</v>
      </c>
      <c r="N519" s="8">
        <v>20</v>
      </c>
      <c r="O519" s="8">
        <v>4</v>
      </c>
      <c r="P519" s="8">
        <v>6</v>
      </c>
      <c r="Q519" s="8">
        <v>66.7</v>
      </c>
      <c r="R519" s="9">
        <v>1</v>
      </c>
      <c r="S519" s="9">
        <v>4</v>
      </c>
      <c r="T519" s="9">
        <v>5</v>
      </c>
      <c r="U519" s="9">
        <v>10</v>
      </c>
      <c r="V519" s="9">
        <v>8</v>
      </c>
      <c r="W519" s="9">
        <v>4</v>
      </c>
      <c r="X519" s="9">
        <v>2</v>
      </c>
      <c r="Y519" s="9">
        <v>2</v>
      </c>
      <c r="Z519" s="8">
        <v>48</v>
      </c>
      <c r="AA519" s="8">
        <v>0</v>
      </c>
      <c r="AB519" s="8">
        <v>0</v>
      </c>
      <c r="AC519" s="7">
        <v>0.4</v>
      </c>
      <c r="AD519" s="7">
        <v>118.5</v>
      </c>
      <c r="AE519" s="7">
        <v>117.8</v>
      </c>
      <c r="AF519" s="7">
        <v>0.6</v>
      </c>
      <c r="AG519" s="7">
        <v>21.3</v>
      </c>
      <c r="AH519" s="7">
        <v>1.25</v>
      </c>
      <c r="AI519" s="7">
        <v>30.3</v>
      </c>
      <c r="AJ519" s="7">
        <v>1.9</v>
      </c>
      <c r="AK519" s="7">
        <v>5.8</v>
      </c>
      <c r="AL519" s="7">
        <v>4.0999999999999996</v>
      </c>
      <c r="AM519" s="7">
        <v>24.2</v>
      </c>
      <c r="AN519" s="7">
        <v>54.2</v>
      </c>
      <c r="AO519" s="7">
        <v>58.1</v>
      </c>
      <c r="AP519" s="7">
        <v>16.3</v>
      </c>
      <c r="AQ519" s="7">
        <v>100.75</v>
      </c>
      <c r="AR519" s="7">
        <v>6.7</v>
      </c>
      <c r="AS519" s="7">
        <v>130</v>
      </c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1"/>
    </row>
    <row r="520" spans="1:70" ht="13">
      <c r="A520" s="6" t="s">
        <v>1077</v>
      </c>
      <c r="B520" s="6" t="s">
        <v>1078</v>
      </c>
      <c r="C520" s="7">
        <v>26</v>
      </c>
      <c r="D520" s="7">
        <v>19</v>
      </c>
      <c r="E520" s="7">
        <v>8</v>
      </c>
      <c r="F520" s="7">
        <v>11</v>
      </c>
      <c r="G520" s="7">
        <v>5.3</v>
      </c>
      <c r="H520" s="8">
        <v>17</v>
      </c>
      <c r="I520" s="9">
        <v>8</v>
      </c>
      <c r="J520" s="9">
        <v>21</v>
      </c>
      <c r="K520" s="8">
        <v>38.1</v>
      </c>
      <c r="L520" s="9">
        <v>2</v>
      </c>
      <c r="M520" s="9">
        <v>10</v>
      </c>
      <c r="N520" s="8">
        <v>20</v>
      </c>
      <c r="O520" s="8">
        <v>0</v>
      </c>
      <c r="P520" s="8">
        <v>2</v>
      </c>
      <c r="Q520" s="8">
        <v>0</v>
      </c>
      <c r="R520" s="9">
        <v>6</v>
      </c>
      <c r="S520" s="9">
        <v>6</v>
      </c>
      <c r="T520" s="9">
        <v>10</v>
      </c>
      <c r="U520" s="9">
        <v>8</v>
      </c>
      <c r="V520" s="9">
        <v>6</v>
      </c>
      <c r="W520" s="9">
        <v>6</v>
      </c>
      <c r="X520" s="9">
        <v>2</v>
      </c>
      <c r="Y520" s="9">
        <v>11</v>
      </c>
      <c r="Z520" s="8">
        <v>57</v>
      </c>
      <c r="AA520" s="8">
        <v>0</v>
      </c>
      <c r="AB520" s="8">
        <v>0</v>
      </c>
      <c r="AC520" s="7">
        <v>-0.6</v>
      </c>
      <c r="AD520" s="7">
        <v>95</v>
      </c>
      <c r="AE520" s="7">
        <v>101.9</v>
      </c>
      <c r="AF520" s="7">
        <v>-6.9</v>
      </c>
      <c r="AG520" s="7">
        <v>10.8</v>
      </c>
      <c r="AH520" s="7">
        <v>1.4</v>
      </c>
      <c r="AI520" s="7">
        <v>20.6</v>
      </c>
      <c r="AJ520" s="7">
        <v>4.7</v>
      </c>
      <c r="AK520" s="7">
        <v>5.5</v>
      </c>
      <c r="AL520" s="7">
        <v>5.0999999999999996</v>
      </c>
      <c r="AM520" s="7">
        <v>14.7</v>
      </c>
      <c r="AN520" s="7">
        <v>42.9</v>
      </c>
      <c r="AO520" s="7">
        <v>41.1</v>
      </c>
      <c r="AP520" s="7">
        <v>10.7</v>
      </c>
      <c r="AQ520" s="7">
        <v>103.22</v>
      </c>
      <c r="AR520" s="7">
        <v>2</v>
      </c>
      <c r="AS520" s="7">
        <v>218</v>
      </c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1"/>
    </row>
    <row r="521" spans="1:70" ht="13">
      <c r="A521" s="6" t="s">
        <v>1079</v>
      </c>
      <c r="B521" s="6" t="s">
        <v>1080</v>
      </c>
      <c r="C521" s="7">
        <v>27</v>
      </c>
      <c r="D521" s="7">
        <v>4</v>
      </c>
      <c r="E521" s="7">
        <v>2</v>
      </c>
      <c r="F521" s="7">
        <v>2</v>
      </c>
      <c r="G521" s="7">
        <v>10.9</v>
      </c>
      <c r="H521" s="8">
        <v>16</v>
      </c>
      <c r="I521" s="9">
        <v>5</v>
      </c>
      <c r="J521" s="9">
        <v>13</v>
      </c>
      <c r="K521" s="8">
        <v>38.5</v>
      </c>
      <c r="L521" s="9">
        <v>1</v>
      </c>
      <c r="M521" s="9">
        <v>4</v>
      </c>
      <c r="N521" s="8">
        <v>25</v>
      </c>
      <c r="O521" s="8">
        <v>5</v>
      </c>
      <c r="P521" s="8">
        <v>6</v>
      </c>
      <c r="Q521" s="8">
        <v>83.3</v>
      </c>
      <c r="R521" s="9">
        <v>3</v>
      </c>
      <c r="S521" s="9">
        <v>4</v>
      </c>
      <c r="T521" s="9">
        <v>7</v>
      </c>
      <c r="U521" s="9">
        <v>7</v>
      </c>
      <c r="V521" s="9">
        <v>4</v>
      </c>
      <c r="W521" s="9">
        <v>3</v>
      </c>
      <c r="X521" s="8">
        <v>0</v>
      </c>
      <c r="Y521" s="9">
        <v>4</v>
      </c>
      <c r="Z521" s="8">
        <v>40</v>
      </c>
      <c r="AA521" s="8">
        <v>0</v>
      </c>
      <c r="AB521" s="8">
        <v>0</v>
      </c>
      <c r="AC521" s="7">
        <v>0.3</v>
      </c>
      <c r="AD521" s="7">
        <v>112.8</v>
      </c>
      <c r="AE521" s="7">
        <v>109.1</v>
      </c>
      <c r="AF521" s="7">
        <v>3.7</v>
      </c>
      <c r="AG521" s="7">
        <v>23.3</v>
      </c>
      <c r="AH521" s="7">
        <v>1.75</v>
      </c>
      <c r="AI521" s="7">
        <v>26.9</v>
      </c>
      <c r="AJ521" s="7">
        <v>7.7</v>
      </c>
      <c r="AK521" s="7">
        <v>8</v>
      </c>
      <c r="AL521" s="7">
        <v>7.9</v>
      </c>
      <c r="AM521" s="7">
        <v>15.4</v>
      </c>
      <c r="AN521" s="7">
        <v>42.3</v>
      </c>
      <c r="AO521" s="7">
        <v>51.2</v>
      </c>
      <c r="AP521" s="7">
        <v>19.600000000000001</v>
      </c>
      <c r="AQ521" s="7">
        <v>95.6</v>
      </c>
      <c r="AR521" s="7">
        <v>8.4</v>
      </c>
      <c r="AS521" s="7">
        <v>86</v>
      </c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1"/>
    </row>
    <row r="522" spans="1:70" ht="13">
      <c r="A522" s="13" t="s">
        <v>1081</v>
      </c>
      <c r="B522" s="6" t="s">
        <v>1082</v>
      </c>
      <c r="C522" s="7">
        <v>25</v>
      </c>
      <c r="D522" s="7">
        <v>6</v>
      </c>
      <c r="E522" s="7">
        <v>0</v>
      </c>
      <c r="F522" s="7">
        <v>6</v>
      </c>
      <c r="G522" s="7">
        <v>5.6</v>
      </c>
      <c r="H522" s="8">
        <v>16</v>
      </c>
      <c r="I522" s="9">
        <v>6</v>
      </c>
      <c r="J522" s="9">
        <v>14</v>
      </c>
      <c r="K522" s="8">
        <v>42.9</v>
      </c>
      <c r="L522" s="9">
        <v>3</v>
      </c>
      <c r="M522" s="9">
        <v>6</v>
      </c>
      <c r="N522" s="8">
        <v>50</v>
      </c>
      <c r="O522" s="8">
        <v>1</v>
      </c>
      <c r="P522" s="8">
        <v>2</v>
      </c>
      <c r="Q522" s="8">
        <v>50</v>
      </c>
      <c r="R522" s="9">
        <v>1</v>
      </c>
      <c r="S522" s="9">
        <v>4</v>
      </c>
      <c r="T522" s="9">
        <v>5</v>
      </c>
      <c r="U522" s="9">
        <v>4</v>
      </c>
      <c r="V522" s="9">
        <v>2</v>
      </c>
      <c r="W522" s="9">
        <v>1</v>
      </c>
      <c r="X522" s="8">
        <v>0</v>
      </c>
      <c r="Y522" s="9">
        <v>1</v>
      </c>
      <c r="Z522" s="8">
        <v>29</v>
      </c>
      <c r="AA522" s="8">
        <v>0</v>
      </c>
      <c r="AB522" s="8">
        <v>0</v>
      </c>
      <c r="AC522" s="7">
        <v>4.7</v>
      </c>
      <c r="AD522" s="7">
        <v>128.4</v>
      </c>
      <c r="AE522" s="7">
        <v>91.8</v>
      </c>
      <c r="AF522" s="7">
        <v>36.6</v>
      </c>
      <c r="AG522" s="7">
        <v>13.3</v>
      </c>
      <c r="AH522" s="7">
        <v>2</v>
      </c>
      <c r="AI522" s="7">
        <v>19</v>
      </c>
      <c r="AJ522" s="7">
        <v>3.2</v>
      </c>
      <c r="AK522" s="7">
        <v>10</v>
      </c>
      <c r="AL522" s="7">
        <v>7</v>
      </c>
      <c r="AM522" s="7">
        <v>9.5</v>
      </c>
      <c r="AN522" s="7">
        <v>53.6</v>
      </c>
      <c r="AO522" s="7">
        <v>53.8</v>
      </c>
      <c r="AP522" s="7">
        <v>20.7</v>
      </c>
      <c r="AQ522" s="7">
        <v>104.64</v>
      </c>
      <c r="AR522" s="7">
        <v>8.6999999999999993</v>
      </c>
      <c r="AS522" s="7">
        <v>74</v>
      </c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1"/>
    </row>
    <row r="523" spans="1:70" ht="13">
      <c r="A523" s="6" t="s">
        <v>1083</v>
      </c>
      <c r="B523" s="6" t="s">
        <v>1084</v>
      </c>
      <c r="C523" s="7">
        <v>22</v>
      </c>
      <c r="D523" s="7">
        <v>8</v>
      </c>
      <c r="E523" s="7">
        <v>4</v>
      </c>
      <c r="F523" s="7">
        <v>4</v>
      </c>
      <c r="G523" s="7">
        <v>5.3</v>
      </c>
      <c r="H523" s="8">
        <v>15</v>
      </c>
      <c r="I523" s="9">
        <v>6</v>
      </c>
      <c r="J523" s="9">
        <v>10</v>
      </c>
      <c r="K523" s="8">
        <v>60</v>
      </c>
      <c r="L523" s="9">
        <v>2</v>
      </c>
      <c r="M523" s="9">
        <v>5</v>
      </c>
      <c r="N523" s="8">
        <v>40</v>
      </c>
      <c r="O523" s="8">
        <v>1</v>
      </c>
      <c r="P523" s="8">
        <v>2</v>
      </c>
      <c r="Q523" s="8">
        <v>50</v>
      </c>
      <c r="R523" s="9">
        <v>1</v>
      </c>
      <c r="S523" s="9">
        <v>6</v>
      </c>
      <c r="T523" s="9">
        <v>7</v>
      </c>
      <c r="U523" s="9">
        <v>7</v>
      </c>
      <c r="V523" s="9">
        <v>1</v>
      </c>
      <c r="W523" s="9">
        <v>2</v>
      </c>
      <c r="X523" s="9">
        <v>1</v>
      </c>
      <c r="Y523" s="9">
        <v>8</v>
      </c>
      <c r="Z523" s="8">
        <v>42</v>
      </c>
      <c r="AA523" s="8">
        <v>0</v>
      </c>
      <c r="AB523" s="8">
        <v>0</v>
      </c>
      <c r="AC523" s="7">
        <v>0</v>
      </c>
      <c r="AD523" s="7">
        <v>121.4</v>
      </c>
      <c r="AE523" s="7">
        <v>117.2</v>
      </c>
      <c r="AF523" s="7">
        <v>4.2</v>
      </c>
      <c r="AG523" s="7">
        <v>21.2</v>
      </c>
      <c r="AH523" s="7">
        <v>7</v>
      </c>
      <c r="AI523" s="7">
        <v>36.799999999999997</v>
      </c>
      <c r="AJ523" s="7">
        <v>2.4</v>
      </c>
      <c r="AK523" s="7">
        <v>18.2</v>
      </c>
      <c r="AL523" s="7">
        <v>9.5</v>
      </c>
      <c r="AM523" s="7">
        <v>5.3</v>
      </c>
      <c r="AN523" s="7">
        <v>70</v>
      </c>
      <c r="AO523" s="7">
        <v>68.900000000000006</v>
      </c>
      <c r="AP523" s="7">
        <v>12.1</v>
      </c>
      <c r="AQ523" s="7">
        <v>96.83</v>
      </c>
      <c r="AR523" s="7">
        <v>9.5</v>
      </c>
      <c r="AS523" s="7">
        <v>84</v>
      </c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1"/>
    </row>
    <row r="524" spans="1:70" ht="13">
      <c r="A524" s="6" t="s">
        <v>1085</v>
      </c>
      <c r="B524" s="6" t="s">
        <v>1086</v>
      </c>
      <c r="C524" s="7">
        <v>26</v>
      </c>
      <c r="D524" s="7">
        <v>22</v>
      </c>
      <c r="E524" s="7">
        <v>15</v>
      </c>
      <c r="F524" s="7">
        <v>7</v>
      </c>
      <c r="G524" s="7">
        <v>3.9</v>
      </c>
      <c r="H524" s="8">
        <v>15</v>
      </c>
      <c r="I524" s="9">
        <v>4</v>
      </c>
      <c r="J524" s="9">
        <v>26</v>
      </c>
      <c r="K524" s="8">
        <v>19.2</v>
      </c>
      <c r="L524" s="9">
        <v>2</v>
      </c>
      <c r="M524" s="9">
        <v>15</v>
      </c>
      <c r="N524" s="8">
        <v>20</v>
      </c>
      <c r="O524" s="8">
        <v>2</v>
      </c>
      <c r="P524" s="8">
        <v>4</v>
      </c>
      <c r="Q524" s="8">
        <v>50</v>
      </c>
      <c r="R524" s="9">
        <v>4</v>
      </c>
      <c r="S524" s="9">
        <v>13</v>
      </c>
      <c r="T524" s="9">
        <v>18</v>
      </c>
      <c r="U524" s="9">
        <v>4</v>
      </c>
      <c r="V524" s="9">
        <v>2</v>
      </c>
      <c r="W524" s="9">
        <v>2</v>
      </c>
      <c r="X524" s="9">
        <v>7</v>
      </c>
      <c r="Y524" s="9">
        <v>9</v>
      </c>
      <c r="Z524" s="8">
        <v>66</v>
      </c>
      <c r="AA524" s="8">
        <v>0</v>
      </c>
      <c r="AB524" s="8">
        <v>0</v>
      </c>
      <c r="AC524" s="7">
        <v>-0.7</v>
      </c>
      <c r="AD524" s="7">
        <v>85.6</v>
      </c>
      <c r="AE524" s="7">
        <v>95.8</v>
      </c>
      <c r="AF524" s="7">
        <v>-10.1</v>
      </c>
      <c r="AG524" s="7">
        <v>7.1</v>
      </c>
      <c r="AH524" s="7">
        <v>1.33</v>
      </c>
      <c r="AI524" s="7">
        <v>11.4</v>
      </c>
      <c r="AJ524" s="7">
        <v>4.3</v>
      </c>
      <c r="AK524" s="7">
        <v>13.1</v>
      </c>
      <c r="AL524" s="7">
        <v>8.9</v>
      </c>
      <c r="AM524" s="7">
        <v>8.6</v>
      </c>
      <c r="AN524" s="7">
        <v>25</v>
      </c>
      <c r="AO524" s="7">
        <v>27</v>
      </c>
      <c r="AP524" s="7">
        <v>13.7</v>
      </c>
      <c r="AQ524" s="7">
        <v>107.72</v>
      </c>
      <c r="AR524" s="7">
        <v>2.2000000000000002</v>
      </c>
      <c r="AS524" s="7">
        <v>195</v>
      </c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1"/>
    </row>
    <row r="525" spans="1:70" ht="13">
      <c r="A525" s="6" t="s">
        <v>1087</v>
      </c>
      <c r="B525" s="6" t="s">
        <v>1088</v>
      </c>
      <c r="C525" s="7">
        <v>37</v>
      </c>
      <c r="D525" s="7">
        <v>19</v>
      </c>
      <c r="E525" s="7">
        <v>12</v>
      </c>
      <c r="F525" s="7">
        <v>7</v>
      </c>
      <c r="G525" s="7">
        <v>6</v>
      </c>
      <c r="H525" s="8">
        <v>15</v>
      </c>
      <c r="I525" s="9">
        <v>6</v>
      </c>
      <c r="J525" s="9">
        <v>23</v>
      </c>
      <c r="K525" s="8">
        <v>26.1</v>
      </c>
      <c r="L525" s="9">
        <v>4</v>
      </c>
      <c r="M525" s="9">
        <v>15</v>
      </c>
      <c r="N525" s="8">
        <v>20</v>
      </c>
      <c r="O525" s="8">
        <v>0</v>
      </c>
      <c r="P525" s="8">
        <v>0</v>
      </c>
      <c r="Q525" s="8">
        <v>0</v>
      </c>
      <c r="R525" s="9">
        <v>2</v>
      </c>
      <c r="S525" s="9">
        <v>10</v>
      </c>
      <c r="T525" s="9">
        <v>11</v>
      </c>
      <c r="U525" s="9">
        <v>23</v>
      </c>
      <c r="V525" s="9">
        <v>10</v>
      </c>
      <c r="W525" s="9">
        <v>2</v>
      </c>
      <c r="X525" s="8">
        <v>0</v>
      </c>
      <c r="Y525" s="9">
        <v>11</v>
      </c>
      <c r="Z525" s="8">
        <v>59</v>
      </c>
      <c r="AA525" s="8">
        <v>0</v>
      </c>
      <c r="AB525" s="8">
        <v>0</v>
      </c>
      <c r="AC525" s="7">
        <v>0.1</v>
      </c>
      <c r="AD525" s="7">
        <v>108.9</v>
      </c>
      <c r="AE525" s="7">
        <v>113.1</v>
      </c>
      <c r="AF525" s="7">
        <v>-4.2</v>
      </c>
      <c r="AG525" s="7">
        <v>26.1</v>
      </c>
      <c r="AH525" s="7">
        <v>2.56</v>
      </c>
      <c r="AI525" s="7">
        <v>41.8</v>
      </c>
      <c r="AJ525" s="7">
        <v>1.7</v>
      </c>
      <c r="AK525" s="7">
        <v>8</v>
      </c>
      <c r="AL525" s="7">
        <v>4.8</v>
      </c>
      <c r="AM525" s="7">
        <v>16.399999999999999</v>
      </c>
      <c r="AN525" s="7">
        <v>32.6</v>
      </c>
      <c r="AO525" s="7">
        <v>32.6</v>
      </c>
      <c r="AP525" s="7">
        <v>11.3</v>
      </c>
      <c r="AQ525" s="7">
        <v>102.03</v>
      </c>
      <c r="AR525" s="7">
        <v>2.5</v>
      </c>
      <c r="AS525" s="7">
        <v>248</v>
      </c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1"/>
    </row>
    <row r="526" spans="1:70" ht="13">
      <c r="A526" s="6" t="s">
        <v>1089</v>
      </c>
      <c r="B526" s="6" t="s">
        <v>1090</v>
      </c>
      <c r="C526" s="7">
        <v>24</v>
      </c>
      <c r="D526" s="7">
        <v>1</v>
      </c>
      <c r="E526" s="7">
        <v>0</v>
      </c>
      <c r="F526" s="7">
        <v>1</v>
      </c>
      <c r="G526" s="7">
        <v>22.4</v>
      </c>
      <c r="H526" s="8">
        <v>14</v>
      </c>
      <c r="I526" s="9">
        <v>6</v>
      </c>
      <c r="J526" s="9">
        <v>9</v>
      </c>
      <c r="K526" s="8">
        <v>66.7</v>
      </c>
      <c r="L526" s="8">
        <v>0</v>
      </c>
      <c r="M526" s="8">
        <v>0</v>
      </c>
      <c r="N526" s="8">
        <v>0</v>
      </c>
      <c r="O526" s="8">
        <v>2</v>
      </c>
      <c r="P526" s="8">
        <v>3</v>
      </c>
      <c r="Q526" s="8">
        <v>66.7</v>
      </c>
      <c r="R526" s="9">
        <v>4</v>
      </c>
      <c r="S526" s="9">
        <v>4</v>
      </c>
      <c r="T526" s="9">
        <v>8</v>
      </c>
      <c r="U526" s="8">
        <v>0</v>
      </c>
      <c r="V526" s="9">
        <v>2</v>
      </c>
      <c r="W526" s="8">
        <v>0</v>
      </c>
      <c r="X526" s="8">
        <v>0</v>
      </c>
      <c r="Y526" s="9">
        <v>3</v>
      </c>
      <c r="Z526" s="8">
        <v>22</v>
      </c>
      <c r="AA526" s="8">
        <v>0</v>
      </c>
      <c r="AB526" s="8">
        <v>0</v>
      </c>
      <c r="AC526" s="7">
        <v>7</v>
      </c>
      <c r="AD526" s="7">
        <v>117.4</v>
      </c>
      <c r="AE526" s="7">
        <v>104.4</v>
      </c>
      <c r="AF526" s="7">
        <v>12.9</v>
      </c>
      <c r="AG526" s="7">
        <v>0</v>
      </c>
      <c r="AH526" s="7">
        <v>0</v>
      </c>
      <c r="AI526" s="7">
        <v>0</v>
      </c>
      <c r="AJ526" s="7">
        <v>12.9</v>
      </c>
      <c r="AK526" s="7">
        <v>20</v>
      </c>
      <c r="AL526" s="7">
        <v>15.7</v>
      </c>
      <c r="AM526" s="7">
        <v>16.7</v>
      </c>
      <c r="AN526" s="7">
        <v>66.7</v>
      </c>
      <c r="AO526" s="7">
        <v>67.8</v>
      </c>
      <c r="AP526" s="7">
        <v>20</v>
      </c>
      <c r="AQ526" s="7">
        <v>97.72</v>
      </c>
      <c r="AR526" s="7">
        <v>14.9</v>
      </c>
      <c r="AS526" s="7">
        <v>46</v>
      </c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1"/>
    </row>
    <row r="527" spans="1:70" ht="13">
      <c r="A527" s="6" t="s">
        <v>1091</v>
      </c>
      <c r="B527" s="6" t="s">
        <v>1092</v>
      </c>
      <c r="C527" s="7">
        <v>28</v>
      </c>
      <c r="D527" s="7">
        <v>9</v>
      </c>
      <c r="E527" s="7">
        <v>5</v>
      </c>
      <c r="F527" s="7">
        <v>4</v>
      </c>
      <c r="G527" s="7">
        <v>4.8</v>
      </c>
      <c r="H527" s="8">
        <v>14</v>
      </c>
      <c r="I527" s="9">
        <v>5</v>
      </c>
      <c r="J527" s="9">
        <v>17</v>
      </c>
      <c r="K527" s="8">
        <v>29.4</v>
      </c>
      <c r="L527" s="9">
        <v>4</v>
      </c>
      <c r="M527" s="9">
        <v>13</v>
      </c>
      <c r="N527" s="8">
        <v>30.8</v>
      </c>
      <c r="O527" s="8">
        <v>0</v>
      </c>
      <c r="P527" s="8">
        <v>0</v>
      </c>
      <c r="Q527" s="8">
        <v>0</v>
      </c>
      <c r="R527" s="9">
        <v>2</v>
      </c>
      <c r="S527" s="9">
        <v>3</v>
      </c>
      <c r="T527" s="9">
        <v>5</v>
      </c>
      <c r="U527" s="9">
        <v>1</v>
      </c>
      <c r="V527" s="9">
        <v>2</v>
      </c>
      <c r="W527" s="8">
        <v>0</v>
      </c>
      <c r="X527" s="9">
        <v>2</v>
      </c>
      <c r="Y527" s="9">
        <v>3</v>
      </c>
      <c r="Z527" s="8">
        <v>25</v>
      </c>
      <c r="AA527" s="8">
        <v>0</v>
      </c>
      <c r="AB527" s="8">
        <v>0</v>
      </c>
      <c r="AC527" s="7">
        <v>-1.1000000000000001</v>
      </c>
      <c r="AD527" s="7">
        <v>84.7</v>
      </c>
      <c r="AE527" s="7">
        <v>93.9</v>
      </c>
      <c r="AF527" s="7">
        <v>-9.1999999999999993</v>
      </c>
      <c r="AG527" s="7">
        <v>3.8</v>
      </c>
      <c r="AH527" s="7">
        <v>0.5</v>
      </c>
      <c r="AI527" s="7">
        <v>5</v>
      </c>
      <c r="AJ527" s="7">
        <v>3.9</v>
      </c>
      <c r="AK527" s="7">
        <v>5.6</v>
      </c>
      <c r="AL527" s="7">
        <v>4.8</v>
      </c>
      <c r="AM527" s="7">
        <v>10</v>
      </c>
      <c r="AN527" s="7">
        <v>41.2</v>
      </c>
      <c r="AO527" s="7">
        <v>41.2</v>
      </c>
      <c r="AP527" s="7">
        <v>17.600000000000001</v>
      </c>
      <c r="AQ527" s="7">
        <v>109.32</v>
      </c>
      <c r="AR527" s="7">
        <v>2</v>
      </c>
      <c r="AS527" s="7">
        <v>98</v>
      </c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1"/>
    </row>
    <row r="528" spans="1:70" ht="13">
      <c r="A528" s="6" t="s">
        <v>1093</v>
      </c>
      <c r="B528" s="6" t="s">
        <v>1094</v>
      </c>
      <c r="C528" s="7">
        <v>22</v>
      </c>
      <c r="D528" s="7">
        <v>9</v>
      </c>
      <c r="E528" s="7">
        <v>5</v>
      </c>
      <c r="F528" s="7">
        <v>4</v>
      </c>
      <c r="G528" s="7">
        <v>7.4</v>
      </c>
      <c r="H528" s="8">
        <v>14</v>
      </c>
      <c r="I528" s="9">
        <v>6</v>
      </c>
      <c r="J528" s="9">
        <v>19</v>
      </c>
      <c r="K528" s="8">
        <v>31.6</v>
      </c>
      <c r="L528" s="8">
        <v>0</v>
      </c>
      <c r="M528" s="9">
        <v>7</v>
      </c>
      <c r="N528" s="8">
        <v>0</v>
      </c>
      <c r="O528" s="8">
        <v>2</v>
      </c>
      <c r="P528" s="8">
        <v>7</v>
      </c>
      <c r="Q528" s="8">
        <v>28.6</v>
      </c>
      <c r="R528" s="9">
        <v>2</v>
      </c>
      <c r="S528" s="9">
        <v>13</v>
      </c>
      <c r="T528" s="9">
        <v>15</v>
      </c>
      <c r="U528" s="9">
        <v>1</v>
      </c>
      <c r="V528" s="9">
        <v>3</v>
      </c>
      <c r="W528" s="9">
        <v>4</v>
      </c>
      <c r="X528" s="9">
        <v>2</v>
      </c>
      <c r="Y528" s="9">
        <v>6</v>
      </c>
      <c r="Z528" s="8">
        <v>49</v>
      </c>
      <c r="AA528" s="8">
        <v>0</v>
      </c>
      <c r="AB528" s="8">
        <v>0</v>
      </c>
      <c r="AC528" s="7">
        <v>-5.4</v>
      </c>
      <c r="AD528" s="7">
        <v>81.900000000000006</v>
      </c>
      <c r="AE528" s="7">
        <v>119.3</v>
      </c>
      <c r="AF528" s="7">
        <v>-37.299999999999997</v>
      </c>
      <c r="AG528" s="7">
        <v>2.6</v>
      </c>
      <c r="AH528" s="7">
        <v>0.33</v>
      </c>
      <c r="AI528" s="7">
        <v>3.8</v>
      </c>
      <c r="AJ528" s="7">
        <v>2.6</v>
      </c>
      <c r="AK528" s="7">
        <v>22.8</v>
      </c>
      <c r="AL528" s="7">
        <v>11.1</v>
      </c>
      <c r="AM528" s="7">
        <v>11.5</v>
      </c>
      <c r="AN528" s="7">
        <v>31.6</v>
      </c>
      <c r="AO528" s="7">
        <v>31.7</v>
      </c>
      <c r="AP528" s="7">
        <v>15.3</v>
      </c>
      <c r="AQ528" s="7">
        <v>102.24</v>
      </c>
      <c r="AR528" s="7">
        <v>2.7</v>
      </c>
      <c r="AS528" s="7">
        <v>144</v>
      </c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1"/>
    </row>
    <row r="529" spans="1:70" ht="13">
      <c r="A529" s="6" t="s">
        <v>1095</v>
      </c>
      <c r="B529" s="6" t="s">
        <v>1096</v>
      </c>
      <c r="C529" s="7">
        <v>23</v>
      </c>
      <c r="D529" s="7">
        <v>15</v>
      </c>
      <c r="E529" s="7">
        <v>7</v>
      </c>
      <c r="F529" s="7">
        <v>8</v>
      </c>
      <c r="G529" s="7">
        <v>3</v>
      </c>
      <c r="H529" s="8">
        <v>14</v>
      </c>
      <c r="I529" s="9">
        <v>5</v>
      </c>
      <c r="J529" s="9">
        <v>11</v>
      </c>
      <c r="K529" s="8">
        <v>45.5</v>
      </c>
      <c r="L529" s="9">
        <v>2</v>
      </c>
      <c r="M529" s="9">
        <v>5</v>
      </c>
      <c r="N529" s="8">
        <v>20</v>
      </c>
      <c r="O529" s="8">
        <v>2</v>
      </c>
      <c r="P529" s="8">
        <v>5</v>
      </c>
      <c r="Q529" s="8">
        <v>50</v>
      </c>
      <c r="R529" s="9">
        <v>2</v>
      </c>
      <c r="S529" s="9">
        <v>8</v>
      </c>
      <c r="T529" s="9">
        <v>8</v>
      </c>
      <c r="U529" s="9">
        <v>2</v>
      </c>
      <c r="V529" s="9">
        <v>2</v>
      </c>
      <c r="W529" s="9">
        <v>2</v>
      </c>
      <c r="X529" s="9">
        <v>2</v>
      </c>
      <c r="Y529" s="9">
        <v>2</v>
      </c>
      <c r="Z529" s="8">
        <v>32</v>
      </c>
      <c r="AA529" s="8">
        <v>0</v>
      </c>
      <c r="AB529" s="8">
        <v>0</v>
      </c>
      <c r="AC529" s="7">
        <v>1.5</v>
      </c>
      <c r="AD529" s="7">
        <v>112</v>
      </c>
      <c r="AE529" s="7">
        <v>92.7</v>
      </c>
      <c r="AF529" s="7">
        <v>19.3</v>
      </c>
      <c r="AG529" s="7">
        <v>2.9</v>
      </c>
      <c r="AH529" s="7">
        <v>1</v>
      </c>
      <c r="AI529" s="7">
        <v>6.7</v>
      </c>
      <c r="AJ529" s="7">
        <v>2.2999999999999998</v>
      </c>
      <c r="AK529" s="7">
        <v>14.9</v>
      </c>
      <c r="AL529" s="7">
        <v>8.8000000000000007</v>
      </c>
      <c r="AM529" s="7">
        <v>6.7</v>
      </c>
      <c r="AN529" s="7">
        <v>50</v>
      </c>
      <c r="AO529" s="7">
        <v>50.9</v>
      </c>
      <c r="AP529" s="7">
        <v>12.2</v>
      </c>
      <c r="AQ529" s="7">
        <v>103.01</v>
      </c>
      <c r="AR529" s="7">
        <v>7</v>
      </c>
      <c r="AS529" s="7">
        <v>100</v>
      </c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1"/>
    </row>
    <row r="530" spans="1:70" ht="13">
      <c r="A530" s="6" t="s">
        <v>1097</v>
      </c>
      <c r="B530" s="6" t="s">
        <v>1098</v>
      </c>
      <c r="C530" s="7">
        <v>21</v>
      </c>
      <c r="D530" s="7">
        <v>3</v>
      </c>
      <c r="E530" s="7">
        <v>0</v>
      </c>
      <c r="F530" s="7">
        <v>3</v>
      </c>
      <c r="G530" s="7">
        <v>24.8</v>
      </c>
      <c r="H530" s="8">
        <v>14</v>
      </c>
      <c r="I530" s="9">
        <v>4</v>
      </c>
      <c r="J530" s="9">
        <v>18</v>
      </c>
      <c r="K530" s="8">
        <v>22.2</v>
      </c>
      <c r="L530" s="9">
        <v>3</v>
      </c>
      <c r="M530" s="9">
        <v>12</v>
      </c>
      <c r="N530" s="8">
        <v>25</v>
      </c>
      <c r="O530" s="8">
        <v>3</v>
      </c>
      <c r="P530" s="8">
        <v>4</v>
      </c>
      <c r="Q530" s="8">
        <v>75</v>
      </c>
      <c r="R530" s="9">
        <v>5</v>
      </c>
      <c r="S530" s="9">
        <v>10</v>
      </c>
      <c r="T530" s="9">
        <v>15</v>
      </c>
      <c r="U530" s="9">
        <v>2</v>
      </c>
      <c r="V530" s="9">
        <v>2</v>
      </c>
      <c r="W530" s="9">
        <v>5</v>
      </c>
      <c r="X530" s="9">
        <v>4</v>
      </c>
      <c r="Y530" s="9">
        <v>8</v>
      </c>
      <c r="Z530" s="8">
        <v>60</v>
      </c>
      <c r="AA530" s="8">
        <v>0</v>
      </c>
      <c r="AB530" s="8">
        <v>0</v>
      </c>
      <c r="AC530" s="7">
        <v>-7.3</v>
      </c>
      <c r="AD530" s="7">
        <v>95.7</v>
      </c>
      <c r="AE530" s="7">
        <v>109.2</v>
      </c>
      <c r="AF530" s="7">
        <v>-13.5</v>
      </c>
      <c r="AG530" s="7">
        <v>4</v>
      </c>
      <c r="AH530" s="7">
        <v>1</v>
      </c>
      <c r="AI530" s="7">
        <v>8.3000000000000007</v>
      </c>
      <c r="AJ530" s="7">
        <v>5.4</v>
      </c>
      <c r="AK530" s="7">
        <v>11.5</v>
      </c>
      <c r="AL530" s="7">
        <v>8.3000000000000007</v>
      </c>
      <c r="AM530" s="7">
        <v>8.3000000000000007</v>
      </c>
      <c r="AN530" s="7">
        <v>30.6</v>
      </c>
      <c r="AO530" s="7">
        <v>35.4</v>
      </c>
      <c r="AP530" s="7">
        <v>11.3</v>
      </c>
      <c r="AQ530" s="7">
        <v>105</v>
      </c>
      <c r="AR530" s="7">
        <v>3.6</v>
      </c>
      <c r="AS530" s="7">
        <v>163</v>
      </c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1"/>
    </row>
    <row r="531" spans="1:70" ht="13">
      <c r="A531" s="6" t="s">
        <v>1099</v>
      </c>
      <c r="B531" s="6" t="s">
        <v>1100</v>
      </c>
      <c r="C531" s="7">
        <v>22</v>
      </c>
      <c r="D531" s="7">
        <v>13</v>
      </c>
      <c r="E531" s="7">
        <v>8</v>
      </c>
      <c r="F531" s="7">
        <v>5</v>
      </c>
      <c r="G531" s="7">
        <v>2.5</v>
      </c>
      <c r="H531" s="8">
        <v>13</v>
      </c>
      <c r="I531" s="9">
        <v>4</v>
      </c>
      <c r="J531" s="9">
        <v>14</v>
      </c>
      <c r="K531" s="8">
        <v>28.6</v>
      </c>
      <c r="L531" s="8">
        <v>0</v>
      </c>
      <c r="M531" s="9">
        <v>4</v>
      </c>
      <c r="N531" s="8">
        <v>0</v>
      </c>
      <c r="O531" s="8">
        <v>5</v>
      </c>
      <c r="P531" s="8">
        <v>7</v>
      </c>
      <c r="Q531" s="8">
        <v>83.3</v>
      </c>
      <c r="R531" s="9">
        <v>3</v>
      </c>
      <c r="S531" s="9">
        <v>1</v>
      </c>
      <c r="T531" s="9">
        <v>3</v>
      </c>
      <c r="U531" s="9">
        <v>3</v>
      </c>
      <c r="V531" s="9">
        <v>4</v>
      </c>
      <c r="W531" s="9">
        <v>1</v>
      </c>
      <c r="X531" s="8">
        <v>0</v>
      </c>
      <c r="Y531" s="9">
        <v>3</v>
      </c>
      <c r="Z531" s="8">
        <v>18</v>
      </c>
      <c r="AA531" s="8">
        <v>0</v>
      </c>
      <c r="AB531" s="8">
        <v>0</v>
      </c>
      <c r="AC531" s="7">
        <v>-0.3</v>
      </c>
      <c r="AD531" s="7">
        <v>89.9</v>
      </c>
      <c r="AE531" s="7">
        <v>97.1</v>
      </c>
      <c r="AF531" s="7">
        <v>-7.2</v>
      </c>
      <c r="AG531" s="7">
        <v>10.5</v>
      </c>
      <c r="AH531" s="7">
        <v>0.5</v>
      </c>
      <c r="AI531" s="7">
        <v>9.1</v>
      </c>
      <c r="AJ531" s="7">
        <v>5.6</v>
      </c>
      <c r="AK531" s="7">
        <v>3.4</v>
      </c>
      <c r="AL531" s="7">
        <v>4.5999999999999996</v>
      </c>
      <c r="AM531" s="7">
        <v>18.2</v>
      </c>
      <c r="AN531" s="7">
        <v>28.6</v>
      </c>
      <c r="AO531" s="7">
        <v>39.1</v>
      </c>
      <c r="AP531" s="7">
        <v>24.4</v>
      </c>
      <c r="AQ531" s="7">
        <v>102.7</v>
      </c>
      <c r="AR531" s="7">
        <v>0</v>
      </c>
      <c r="AS531" s="7">
        <v>69</v>
      </c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1"/>
    </row>
    <row r="532" spans="1:70" ht="13">
      <c r="A532" s="6" t="s">
        <v>1101</v>
      </c>
      <c r="B532" s="6" t="s">
        <v>1102</v>
      </c>
      <c r="C532" s="7">
        <v>23</v>
      </c>
      <c r="D532" s="7">
        <v>12</v>
      </c>
      <c r="E532" s="7">
        <v>10</v>
      </c>
      <c r="F532" s="7">
        <v>2</v>
      </c>
      <c r="G532" s="7">
        <v>7.3</v>
      </c>
      <c r="H532" s="8">
        <v>12</v>
      </c>
      <c r="I532" s="9">
        <v>5</v>
      </c>
      <c r="J532" s="9">
        <v>20</v>
      </c>
      <c r="K532" s="8">
        <v>25</v>
      </c>
      <c r="L532" s="8">
        <v>0</v>
      </c>
      <c r="M532" s="9">
        <v>10</v>
      </c>
      <c r="N532" s="8">
        <v>0</v>
      </c>
      <c r="O532" s="8">
        <v>2</v>
      </c>
      <c r="P532" s="8">
        <v>2</v>
      </c>
      <c r="Q532" s="8">
        <v>100</v>
      </c>
      <c r="R532" s="9">
        <v>8</v>
      </c>
      <c r="S532" s="9">
        <v>12</v>
      </c>
      <c r="T532" s="9">
        <v>20</v>
      </c>
      <c r="U532" s="9">
        <v>8</v>
      </c>
      <c r="V532" s="9">
        <v>8</v>
      </c>
      <c r="W532" s="9">
        <v>1</v>
      </c>
      <c r="X532" s="9">
        <v>1</v>
      </c>
      <c r="Y532" s="9">
        <v>6</v>
      </c>
      <c r="Z532" s="8">
        <v>46</v>
      </c>
      <c r="AA532" s="8">
        <v>0</v>
      </c>
      <c r="AB532" s="8">
        <v>0</v>
      </c>
      <c r="AC532" s="7">
        <v>-0.1</v>
      </c>
      <c r="AD532" s="7">
        <v>109.1</v>
      </c>
      <c r="AE532" s="7">
        <v>109.7</v>
      </c>
      <c r="AF532" s="7">
        <v>-0.5</v>
      </c>
      <c r="AG532" s="7">
        <v>11.3</v>
      </c>
      <c r="AH532" s="7">
        <v>1</v>
      </c>
      <c r="AI532" s="7">
        <v>21.6</v>
      </c>
      <c r="AJ532" s="7">
        <v>8.4</v>
      </c>
      <c r="AK532" s="7">
        <v>10.8</v>
      </c>
      <c r="AL532" s="7">
        <v>9.6999999999999993</v>
      </c>
      <c r="AM532" s="7">
        <v>21.6</v>
      </c>
      <c r="AN532" s="7">
        <v>25</v>
      </c>
      <c r="AO532" s="7">
        <v>28.7</v>
      </c>
      <c r="AP532" s="7">
        <v>13.2</v>
      </c>
      <c r="AQ532" s="7">
        <v>101.62</v>
      </c>
      <c r="AR532" s="7">
        <v>2.2000000000000002</v>
      </c>
      <c r="AS532" s="7">
        <v>186</v>
      </c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1"/>
    </row>
    <row r="533" spans="1:70" ht="13">
      <c r="A533" s="6" t="s">
        <v>1103</v>
      </c>
      <c r="B533" s="6" t="s">
        <v>1104</v>
      </c>
      <c r="C533" s="7">
        <v>24</v>
      </c>
      <c r="D533" s="7">
        <v>6</v>
      </c>
      <c r="E533" s="7">
        <v>4</v>
      </c>
      <c r="F533" s="7">
        <v>2</v>
      </c>
      <c r="G533" s="7">
        <v>4.9000000000000004</v>
      </c>
      <c r="H533" s="8">
        <v>11</v>
      </c>
      <c r="I533" s="9">
        <v>4</v>
      </c>
      <c r="J533" s="9">
        <v>5</v>
      </c>
      <c r="K533" s="8">
        <v>80</v>
      </c>
      <c r="L533" s="9">
        <v>1</v>
      </c>
      <c r="M533" s="9">
        <v>2</v>
      </c>
      <c r="N533" s="8">
        <v>50</v>
      </c>
      <c r="O533" s="8">
        <v>2</v>
      </c>
      <c r="P533" s="8">
        <v>2</v>
      </c>
      <c r="Q533" s="8">
        <v>100</v>
      </c>
      <c r="R533" s="9">
        <v>1</v>
      </c>
      <c r="S533" s="9">
        <v>2</v>
      </c>
      <c r="T533" s="9">
        <v>3</v>
      </c>
      <c r="U533" s="9">
        <v>6</v>
      </c>
      <c r="V533" s="9">
        <v>1</v>
      </c>
      <c r="W533" s="8">
        <v>0</v>
      </c>
      <c r="X533" s="8">
        <v>0</v>
      </c>
      <c r="Y533" s="9">
        <v>2</v>
      </c>
      <c r="Z533" s="8">
        <v>23</v>
      </c>
      <c r="AA533" s="8">
        <v>0</v>
      </c>
      <c r="AB533" s="8">
        <v>0</v>
      </c>
      <c r="AC533" s="7">
        <v>-1.2</v>
      </c>
      <c r="AD533" s="7">
        <v>110</v>
      </c>
      <c r="AE533" s="7">
        <v>123.5</v>
      </c>
      <c r="AF533" s="7">
        <v>-13.5</v>
      </c>
      <c r="AG533" s="7">
        <v>23.1</v>
      </c>
      <c r="AH533" s="7">
        <v>6</v>
      </c>
      <c r="AI533" s="7">
        <v>46.2</v>
      </c>
      <c r="AJ533" s="7">
        <v>4.2</v>
      </c>
      <c r="AK533" s="7">
        <v>5.9</v>
      </c>
      <c r="AL533" s="7">
        <v>5.2</v>
      </c>
      <c r="AM533" s="7">
        <v>7.7</v>
      </c>
      <c r="AN533" s="7">
        <v>90</v>
      </c>
      <c r="AO533" s="7">
        <v>93.5</v>
      </c>
      <c r="AP533" s="7">
        <v>9.1999999999999993</v>
      </c>
      <c r="AQ533" s="7">
        <v>111.64</v>
      </c>
      <c r="AR533" s="7">
        <v>10</v>
      </c>
      <c r="AS533" s="7">
        <v>70</v>
      </c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1"/>
    </row>
    <row r="534" spans="1:70" ht="13">
      <c r="A534" s="6" t="s">
        <v>1105</v>
      </c>
      <c r="B534" s="6" t="s">
        <v>1106</v>
      </c>
      <c r="C534" s="7">
        <v>20</v>
      </c>
      <c r="D534" s="7">
        <v>6</v>
      </c>
      <c r="E534" s="7">
        <v>4</v>
      </c>
      <c r="F534" s="7">
        <v>2</v>
      </c>
      <c r="G534" s="7">
        <v>4.4000000000000004</v>
      </c>
      <c r="H534" s="8">
        <v>11</v>
      </c>
      <c r="I534" s="9">
        <v>4</v>
      </c>
      <c r="J534" s="9">
        <v>11</v>
      </c>
      <c r="K534" s="8">
        <v>36.4</v>
      </c>
      <c r="L534" s="8">
        <v>0</v>
      </c>
      <c r="M534" s="9">
        <v>2</v>
      </c>
      <c r="N534" s="8">
        <v>0</v>
      </c>
      <c r="O534" s="8">
        <v>3</v>
      </c>
      <c r="P534" s="8">
        <v>3</v>
      </c>
      <c r="Q534" s="8">
        <v>100</v>
      </c>
      <c r="R534" s="9">
        <v>1</v>
      </c>
      <c r="S534" s="9">
        <v>3</v>
      </c>
      <c r="T534" s="9">
        <v>4</v>
      </c>
      <c r="U534" s="8">
        <v>0</v>
      </c>
      <c r="V534" s="9">
        <v>1</v>
      </c>
      <c r="W534" s="8">
        <v>0</v>
      </c>
      <c r="X534" s="8">
        <v>0</v>
      </c>
      <c r="Y534" s="9">
        <v>4</v>
      </c>
      <c r="Z534" s="8">
        <v>15</v>
      </c>
      <c r="AA534" s="8">
        <v>0</v>
      </c>
      <c r="AB534" s="8">
        <v>0</v>
      </c>
      <c r="AC534" s="7">
        <v>-1</v>
      </c>
      <c r="AD534" s="7">
        <v>88.5</v>
      </c>
      <c r="AE534" s="7">
        <v>101.7</v>
      </c>
      <c r="AF534" s="7">
        <v>-13.2</v>
      </c>
      <c r="AG534" s="7">
        <v>0</v>
      </c>
      <c r="AH534" s="7">
        <v>0</v>
      </c>
      <c r="AI534" s="7">
        <v>0</v>
      </c>
      <c r="AJ534" s="7">
        <v>4.2</v>
      </c>
      <c r="AK534" s="7">
        <v>9.6999999999999993</v>
      </c>
      <c r="AL534" s="7">
        <v>7.3</v>
      </c>
      <c r="AM534" s="7">
        <v>7.7</v>
      </c>
      <c r="AN534" s="7">
        <v>36.4</v>
      </c>
      <c r="AO534" s="7">
        <v>44.6</v>
      </c>
      <c r="AP534" s="7">
        <v>19.399999999999999</v>
      </c>
      <c r="AQ534" s="7">
        <v>108.62</v>
      </c>
      <c r="AR534" s="7">
        <v>2.9</v>
      </c>
      <c r="AS534" s="7">
        <v>61</v>
      </c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1"/>
    </row>
    <row r="535" spans="1:70" ht="13">
      <c r="A535" s="6" t="s">
        <v>1107</v>
      </c>
      <c r="B535" s="6" t="s">
        <v>1108</v>
      </c>
      <c r="C535" s="7">
        <v>24</v>
      </c>
      <c r="D535" s="7">
        <v>6</v>
      </c>
      <c r="E535" s="7">
        <v>4</v>
      </c>
      <c r="F535" s="7">
        <v>2</v>
      </c>
      <c r="G535" s="7">
        <v>4.0999999999999996</v>
      </c>
      <c r="H535" s="8">
        <v>10</v>
      </c>
      <c r="I535" s="9">
        <v>4</v>
      </c>
      <c r="J535" s="9">
        <v>8</v>
      </c>
      <c r="K535" s="8">
        <v>50</v>
      </c>
      <c r="L535" s="8">
        <v>0</v>
      </c>
      <c r="M535" s="9">
        <v>1</v>
      </c>
      <c r="N535" s="8">
        <v>0</v>
      </c>
      <c r="O535" s="8">
        <v>2</v>
      </c>
      <c r="P535" s="8">
        <v>2</v>
      </c>
      <c r="Q535" s="8">
        <v>100</v>
      </c>
      <c r="R535" s="9">
        <v>4</v>
      </c>
      <c r="S535" s="9">
        <v>4</v>
      </c>
      <c r="T535" s="9">
        <v>8</v>
      </c>
      <c r="U535" s="9">
        <v>2</v>
      </c>
      <c r="V535" s="8">
        <v>0</v>
      </c>
      <c r="W535" s="9">
        <v>1</v>
      </c>
      <c r="X535" s="8">
        <v>0</v>
      </c>
      <c r="Y535" s="9">
        <v>3</v>
      </c>
      <c r="Z535" s="8">
        <v>26</v>
      </c>
      <c r="AA535" s="8">
        <v>0</v>
      </c>
      <c r="AB535" s="8">
        <v>0</v>
      </c>
      <c r="AC535" s="7">
        <v>-1.3</v>
      </c>
      <c r="AD535" s="7">
        <v>120.4</v>
      </c>
      <c r="AE535" s="7">
        <v>130.4</v>
      </c>
      <c r="AF535" s="7">
        <v>-10</v>
      </c>
      <c r="AG535" s="7">
        <v>10.5</v>
      </c>
      <c r="AH535" s="7">
        <v>0</v>
      </c>
      <c r="AI535" s="7">
        <v>18.2</v>
      </c>
      <c r="AJ535" s="7">
        <v>16.7</v>
      </c>
      <c r="AK535" s="7">
        <v>13.8</v>
      </c>
      <c r="AL535" s="7">
        <v>15.1</v>
      </c>
      <c r="AM535" s="7">
        <v>0</v>
      </c>
      <c r="AN535" s="7">
        <v>50</v>
      </c>
      <c r="AO535" s="7">
        <v>56.3</v>
      </c>
      <c r="AP535" s="7">
        <v>14.3</v>
      </c>
      <c r="AQ535" s="7">
        <v>106.74</v>
      </c>
      <c r="AR535" s="7">
        <v>9.1999999999999993</v>
      </c>
      <c r="AS535" s="7">
        <v>54</v>
      </c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1"/>
    </row>
    <row r="536" spans="1:70" ht="13">
      <c r="A536" s="6" t="s">
        <v>1109</v>
      </c>
      <c r="B536" s="6" t="s">
        <v>1110</v>
      </c>
      <c r="C536" s="7">
        <v>25</v>
      </c>
      <c r="D536" s="7">
        <v>13</v>
      </c>
      <c r="E536" s="7">
        <v>8</v>
      </c>
      <c r="F536" s="7">
        <v>5</v>
      </c>
      <c r="G536" s="7">
        <v>4.4000000000000004</v>
      </c>
      <c r="H536" s="8">
        <v>9</v>
      </c>
      <c r="I536" s="9">
        <v>3</v>
      </c>
      <c r="J536" s="9">
        <v>8</v>
      </c>
      <c r="K536" s="8">
        <v>25</v>
      </c>
      <c r="L536" s="8">
        <v>0</v>
      </c>
      <c r="M536" s="9">
        <v>3</v>
      </c>
      <c r="N536" s="8">
        <v>0</v>
      </c>
      <c r="O536" s="8">
        <v>5</v>
      </c>
      <c r="P536" s="8">
        <v>10</v>
      </c>
      <c r="Q536" s="8">
        <v>50</v>
      </c>
      <c r="R536" s="9">
        <v>7</v>
      </c>
      <c r="S536" s="9">
        <v>5</v>
      </c>
      <c r="T536" s="9">
        <v>12</v>
      </c>
      <c r="U536" s="9">
        <v>3</v>
      </c>
      <c r="V536" s="9">
        <v>7</v>
      </c>
      <c r="W536" s="9">
        <v>3</v>
      </c>
      <c r="X536" s="9">
        <v>3</v>
      </c>
      <c r="Y536" s="9">
        <v>9</v>
      </c>
      <c r="Z536" s="8">
        <v>33</v>
      </c>
      <c r="AA536" s="8">
        <v>0</v>
      </c>
      <c r="AB536" s="8">
        <v>0</v>
      </c>
      <c r="AC536" s="7">
        <v>-0.4</v>
      </c>
      <c r="AD536" s="7">
        <v>80.3</v>
      </c>
      <c r="AE536" s="7">
        <v>85.6</v>
      </c>
      <c r="AF536" s="7">
        <v>-5.3</v>
      </c>
      <c r="AG536" s="7">
        <v>5.6</v>
      </c>
      <c r="AH536" s="7">
        <v>0.33</v>
      </c>
      <c r="AI536" s="7">
        <v>9.5</v>
      </c>
      <c r="AJ536" s="7">
        <v>11.1</v>
      </c>
      <c r="AK536" s="7">
        <v>8.5</v>
      </c>
      <c r="AL536" s="7">
        <v>9.8000000000000007</v>
      </c>
      <c r="AM536" s="7">
        <v>28.6</v>
      </c>
      <c r="AN536" s="7">
        <v>25</v>
      </c>
      <c r="AO536" s="7">
        <v>36.299999999999997</v>
      </c>
      <c r="AP536" s="7">
        <v>12.8</v>
      </c>
      <c r="AQ536" s="7">
        <v>106.17</v>
      </c>
      <c r="AR536" s="7">
        <v>-2.5</v>
      </c>
      <c r="AS536" s="7">
        <v>127</v>
      </c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1"/>
    </row>
    <row r="537" spans="1:70" ht="13">
      <c r="A537" s="13" t="s">
        <v>1111</v>
      </c>
      <c r="B537" s="6" t="s">
        <v>1112</v>
      </c>
      <c r="C537" s="7">
        <v>40</v>
      </c>
      <c r="D537" s="7">
        <v>3</v>
      </c>
      <c r="E537" s="7">
        <v>1</v>
      </c>
      <c r="F537" s="7">
        <v>2</v>
      </c>
      <c r="G537" s="7">
        <v>19.3</v>
      </c>
      <c r="H537" s="8">
        <v>9</v>
      </c>
      <c r="I537" s="9">
        <v>3</v>
      </c>
      <c r="J537" s="9">
        <v>7</v>
      </c>
      <c r="K537" s="8">
        <v>42.9</v>
      </c>
      <c r="L537" s="9">
        <v>3</v>
      </c>
      <c r="M537" s="9">
        <v>6</v>
      </c>
      <c r="N537" s="8">
        <v>50</v>
      </c>
      <c r="O537" s="8">
        <v>0</v>
      </c>
      <c r="P537" s="8">
        <v>0</v>
      </c>
      <c r="Q537" s="8">
        <v>0</v>
      </c>
      <c r="R537" s="9">
        <v>4</v>
      </c>
      <c r="S537" s="9">
        <v>4</v>
      </c>
      <c r="T537" s="9">
        <v>8</v>
      </c>
      <c r="U537" s="8">
        <v>0</v>
      </c>
      <c r="V537" s="9">
        <v>1</v>
      </c>
      <c r="W537" s="9">
        <v>1</v>
      </c>
      <c r="X537" s="9">
        <v>1</v>
      </c>
      <c r="Y537" s="9">
        <v>8</v>
      </c>
      <c r="Z537" s="8">
        <v>24</v>
      </c>
      <c r="AA537" s="8">
        <v>0</v>
      </c>
      <c r="AB537" s="8">
        <v>0</v>
      </c>
      <c r="AC537" s="7">
        <v>-7.3</v>
      </c>
      <c r="AD537" s="7">
        <v>106.1</v>
      </c>
      <c r="AE537" s="7">
        <v>127.4</v>
      </c>
      <c r="AF537" s="7">
        <v>-21.3</v>
      </c>
      <c r="AG537" s="7">
        <v>0</v>
      </c>
      <c r="AH537" s="7">
        <v>0</v>
      </c>
      <c r="AI537" s="7">
        <v>0</v>
      </c>
      <c r="AJ537" s="7">
        <v>6.2</v>
      </c>
      <c r="AK537" s="7">
        <v>10.3</v>
      </c>
      <c r="AL537" s="7">
        <v>7.7</v>
      </c>
      <c r="AM537" s="7">
        <v>12.5</v>
      </c>
      <c r="AN537" s="7">
        <v>64.3</v>
      </c>
      <c r="AO537" s="7">
        <v>64.3</v>
      </c>
      <c r="AP537" s="7">
        <v>5.9</v>
      </c>
      <c r="AQ537" s="7">
        <v>94.56</v>
      </c>
      <c r="AR537" s="7">
        <v>1.5</v>
      </c>
      <c r="AS537" s="7">
        <v>115</v>
      </c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1"/>
    </row>
    <row r="538" spans="1:70" ht="13">
      <c r="A538" s="6" t="s">
        <v>1113</v>
      </c>
      <c r="B538" s="6" t="s">
        <v>1114</v>
      </c>
      <c r="C538" s="7">
        <v>24</v>
      </c>
      <c r="D538" s="7">
        <v>8</v>
      </c>
      <c r="E538" s="7">
        <v>1</v>
      </c>
      <c r="F538" s="7">
        <v>7</v>
      </c>
      <c r="G538" s="7">
        <v>3.8</v>
      </c>
      <c r="H538" s="8">
        <v>9</v>
      </c>
      <c r="I538" s="9">
        <v>2</v>
      </c>
      <c r="J538" s="9">
        <v>7</v>
      </c>
      <c r="K538" s="8">
        <v>28.6</v>
      </c>
      <c r="L538" s="9">
        <v>2</v>
      </c>
      <c r="M538" s="9">
        <v>7</v>
      </c>
      <c r="N538" s="8">
        <v>28.6</v>
      </c>
      <c r="O538" s="8">
        <v>3</v>
      </c>
      <c r="P538" s="8">
        <v>4</v>
      </c>
      <c r="Q538" s="8">
        <v>75</v>
      </c>
      <c r="R538" s="8">
        <v>0</v>
      </c>
      <c r="S538" s="9">
        <v>4</v>
      </c>
      <c r="T538" s="9">
        <v>4</v>
      </c>
      <c r="U538" s="8">
        <v>0</v>
      </c>
      <c r="V538" s="9">
        <v>4</v>
      </c>
      <c r="W538" s="8">
        <v>0</v>
      </c>
      <c r="X538" s="8">
        <v>0</v>
      </c>
      <c r="Y538" s="8">
        <v>0</v>
      </c>
      <c r="Z538" s="8">
        <v>10</v>
      </c>
      <c r="AA538" s="8">
        <v>0</v>
      </c>
      <c r="AB538" s="8">
        <v>0</v>
      </c>
      <c r="AC538" s="7">
        <v>0.9</v>
      </c>
      <c r="AD538" s="7">
        <v>98.4</v>
      </c>
      <c r="AE538" s="7">
        <v>88.7</v>
      </c>
      <c r="AF538" s="7">
        <v>9.6999999999999993</v>
      </c>
      <c r="AG538" s="7">
        <v>0</v>
      </c>
      <c r="AH538" s="7">
        <v>0</v>
      </c>
      <c r="AI538" s="7">
        <v>0</v>
      </c>
      <c r="AJ538" s="7">
        <v>0</v>
      </c>
      <c r="AK538" s="7">
        <v>12.1</v>
      </c>
      <c r="AL538" s="7">
        <v>6.2</v>
      </c>
      <c r="AM538" s="7">
        <v>30.8</v>
      </c>
      <c r="AN538" s="7">
        <v>42.9</v>
      </c>
      <c r="AO538" s="7">
        <v>51.4</v>
      </c>
      <c r="AP538" s="7">
        <v>19.7</v>
      </c>
      <c r="AQ538" s="7">
        <v>98.77</v>
      </c>
      <c r="AR538" s="7">
        <v>2.6</v>
      </c>
      <c r="AS538" s="7">
        <v>63</v>
      </c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1"/>
    </row>
    <row r="539" spans="1:70" ht="13">
      <c r="A539" s="6" t="s">
        <v>1115</v>
      </c>
      <c r="B539" s="6" t="s">
        <v>1116</v>
      </c>
      <c r="C539" s="7">
        <v>23</v>
      </c>
      <c r="D539" s="7">
        <v>4</v>
      </c>
      <c r="E539" s="7">
        <v>2</v>
      </c>
      <c r="F539" s="7">
        <v>2</v>
      </c>
      <c r="G539" s="7">
        <v>5.4</v>
      </c>
      <c r="H539" s="8">
        <v>8</v>
      </c>
      <c r="I539" s="9">
        <v>4</v>
      </c>
      <c r="J539" s="9">
        <v>7</v>
      </c>
      <c r="K539" s="8">
        <v>57.1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9">
        <v>5</v>
      </c>
      <c r="S539" s="9">
        <v>1</v>
      </c>
      <c r="T539" s="9">
        <v>6</v>
      </c>
      <c r="U539" s="9">
        <v>1</v>
      </c>
      <c r="V539" s="9">
        <v>1</v>
      </c>
      <c r="W539" s="8">
        <v>0</v>
      </c>
      <c r="X539" s="8">
        <v>0</v>
      </c>
      <c r="Y539" s="9">
        <v>1</v>
      </c>
      <c r="Z539" s="8">
        <v>16</v>
      </c>
      <c r="AA539" s="8">
        <v>0</v>
      </c>
      <c r="AB539" s="8">
        <v>0</v>
      </c>
      <c r="AC539" s="7">
        <v>-1.3</v>
      </c>
      <c r="AD539" s="7">
        <v>104.2</v>
      </c>
      <c r="AE539" s="7">
        <v>122.2</v>
      </c>
      <c r="AF539" s="7">
        <v>-18.100000000000001</v>
      </c>
      <c r="AG539" s="7">
        <v>6.7</v>
      </c>
      <c r="AH539" s="7">
        <v>1</v>
      </c>
      <c r="AI539" s="7">
        <v>11.1</v>
      </c>
      <c r="AJ539" s="7">
        <v>21.7</v>
      </c>
      <c r="AK539" s="7">
        <v>5.3</v>
      </c>
      <c r="AL539" s="7">
        <v>14.3</v>
      </c>
      <c r="AM539" s="7">
        <v>11.1</v>
      </c>
      <c r="AN539" s="7">
        <v>57.1</v>
      </c>
      <c r="AO539" s="7">
        <v>57.1</v>
      </c>
      <c r="AP539" s="7">
        <v>14.5</v>
      </c>
      <c r="AQ539" s="7">
        <v>103.82</v>
      </c>
      <c r="AR539" s="7">
        <v>7.8</v>
      </c>
      <c r="AS539" s="7">
        <v>48</v>
      </c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1"/>
    </row>
    <row r="540" spans="1:70" ht="13">
      <c r="A540" s="6" t="s">
        <v>1117</v>
      </c>
      <c r="B540" s="6" t="s">
        <v>1118</v>
      </c>
      <c r="C540" s="7">
        <v>38</v>
      </c>
      <c r="D540" s="7">
        <v>12</v>
      </c>
      <c r="E540" s="7">
        <v>5</v>
      </c>
      <c r="F540" s="7">
        <v>7</v>
      </c>
      <c r="G540" s="7">
        <v>3.1</v>
      </c>
      <c r="H540" s="8">
        <v>8</v>
      </c>
      <c r="I540" s="9">
        <v>4</v>
      </c>
      <c r="J540" s="9">
        <v>11</v>
      </c>
      <c r="K540" s="8">
        <v>36.4</v>
      </c>
      <c r="L540" s="8">
        <v>0</v>
      </c>
      <c r="M540" s="9">
        <v>4</v>
      </c>
      <c r="N540" s="8">
        <v>0</v>
      </c>
      <c r="O540" s="8">
        <v>0</v>
      </c>
      <c r="P540" s="8">
        <v>1</v>
      </c>
      <c r="Q540" s="8">
        <v>0</v>
      </c>
      <c r="R540" s="8">
        <v>0</v>
      </c>
      <c r="S540" s="9">
        <v>6</v>
      </c>
      <c r="T540" s="9">
        <v>6</v>
      </c>
      <c r="U540" s="9">
        <v>4</v>
      </c>
      <c r="V540" s="9">
        <v>4</v>
      </c>
      <c r="W540" s="8">
        <v>0</v>
      </c>
      <c r="X540" s="9">
        <v>2</v>
      </c>
      <c r="Y540" s="9">
        <v>5</v>
      </c>
      <c r="Z540" s="8">
        <v>23</v>
      </c>
      <c r="AA540" s="8">
        <v>0</v>
      </c>
      <c r="AB540" s="8">
        <v>0</v>
      </c>
      <c r="AC540" s="7">
        <v>-0.8</v>
      </c>
      <c r="AD540" s="7">
        <v>97.4</v>
      </c>
      <c r="AE540" s="7">
        <v>110.5</v>
      </c>
      <c r="AF540" s="7">
        <v>-13.1</v>
      </c>
      <c r="AG540" s="7">
        <v>16</v>
      </c>
      <c r="AH540" s="7">
        <v>1</v>
      </c>
      <c r="AI540" s="7">
        <v>21.1</v>
      </c>
      <c r="AJ540" s="7">
        <v>0</v>
      </c>
      <c r="AK540" s="7">
        <v>17.600000000000001</v>
      </c>
      <c r="AL540" s="7">
        <v>8.6999999999999993</v>
      </c>
      <c r="AM540" s="7">
        <v>21.1</v>
      </c>
      <c r="AN540" s="7">
        <v>36.4</v>
      </c>
      <c r="AO540" s="7">
        <v>35</v>
      </c>
      <c r="AP540" s="7">
        <v>16.5</v>
      </c>
      <c r="AQ540" s="7">
        <v>100.28</v>
      </c>
      <c r="AR540" s="7">
        <v>1.5</v>
      </c>
      <c r="AS540" s="7">
        <v>77</v>
      </c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1"/>
    </row>
    <row r="541" spans="1:70" ht="13">
      <c r="A541" s="6" t="s">
        <v>1119</v>
      </c>
      <c r="B541" s="6" t="s">
        <v>1120</v>
      </c>
      <c r="C541" s="7">
        <v>24</v>
      </c>
      <c r="D541" s="7">
        <v>9</v>
      </c>
      <c r="E541" s="7">
        <v>5</v>
      </c>
      <c r="F541" s="7">
        <v>4</v>
      </c>
      <c r="G541" s="7">
        <v>2.5</v>
      </c>
      <c r="H541" s="8">
        <v>8</v>
      </c>
      <c r="I541" s="9">
        <v>4</v>
      </c>
      <c r="J541" s="9">
        <v>9</v>
      </c>
      <c r="K541" s="8">
        <v>44.4</v>
      </c>
      <c r="L541" s="8">
        <v>0</v>
      </c>
      <c r="M541" s="9">
        <v>1</v>
      </c>
      <c r="N541" s="8">
        <v>0</v>
      </c>
      <c r="O541" s="8">
        <v>0</v>
      </c>
      <c r="P541" s="8">
        <v>0</v>
      </c>
      <c r="Q541" s="8">
        <v>0</v>
      </c>
      <c r="R541" s="9">
        <v>1</v>
      </c>
      <c r="S541" s="9">
        <v>2</v>
      </c>
      <c r="T541" s="9">
        <v>3</v>
      </c>
      <c r="U541" s="9">
        <v>2</v>
      </c>
      <c r="V541" s="9">
        <v>2</v>
      </c>
      <c r="W541" s="9">
        <v>1</v>
      </c>
      <c r="X541" s="8">
        <v>0</v>
      </c>
      <c r="Y541" s="9">
        <v>3</v>
      </c>
      <c r="Z541" s="8">
        <v>15</v>
      </c>
      <c r="AA541" s="8">
        <v>0</v>
      </c>
      <c r="AB541" s="8">
        <v>0</v>
      </c>
      <c r="AC541" s="7">
        <v>-1</v>
      </c>
      <c r="AD541" s="7">
        <v>103.9</v>
      </c>
      <c r="AE541" s="7">
        <v>119.2</v>
      </c>
      <c r="AF541" s="7">
        <v>-15.3</v>
      </c>
      <c r="AG541" s="7">
        <v>12.5</v>
      </c>
      <c r="AH541" s="7">
        <v>1</v>
      </c>
      <c r="AI541" s="7">
        <v>15.4</v>
      </c>
      <c r="AJ541" s="7">
        <v>5</v>
      </c>
      <c r="AK541" s="7">
        <v>11.8</v>
      </c>
      <c r="AL541" s="7">
        <v>8.1</v>
      </c>
      <c r="AM541" s="7">
        <v>15.4</v>
      </c>
      <c r="AN541" s="7">
        <v>44.4</v>
      </c>
      <c r="AO541" s="7">
        <v>44.4</v>
      </c>
      <c r="AP541" s="7">
        <v>19.3</v>
      </c>
      <c r="AQ541" s="7">
        <v>111.52</v>
      </c>
      <c r="AR541" s="7">
        <v>3.3</v>
      </c>
      <c r="AS541" s="7">
        <v>51</v>
      </c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1"/>
    </row>
    <row r="542" spans="1:70" ht="13">
      <c r="A542" s="6" t="s">
        <v>1121</v>
      </c>
      <c r="B542" s="6" t="s">
        <v>1122</v>
      </c>
      <c r="C542" s="7">
        <v>23</v>
      </c>
      <c r="D542" s="7">
        <v>5</v>
      </c>
      <c r="E542" s="7">
        <v>0</v>
      </c>
      <c r="F542" s="7">
        <v>5</v>
      </c>
      <c r="G542" s="7">
        <v>8.9</v>
      </c>
      <c r="H542" s="8">
        <v>8</v>
      </c>
      <c r="I542" s="9">
        <v>3</v>
      </c>
      <c r="J542" s="9">
        <v>21</v>
      </c>
      <c r="K542" s="8">
        <v>14.3</v>
      </c>
      <c r="L542" s="8">
        <v>0</v>
      </c>
      <c r="M542" s="9">
        <v>10</v>
      </c>
      <c r="N542" s="8">
        <v>0</v>
      </c>
      <c r="O542" s="8">
        <v>2</v>
      </c>
      <c r="P542" s="8">
        <v>2</v>
      </c>
      <c r="Q542" s="8">
        <v>100</v>
      </c>
      <c r="R542" s="9">
        <v>2</v>
      </c>
      <c r="S542" s="9">
        <v>6</v>
      </c>
      <c r="T542" s="9">
        <v>8</v>
      </c>
      <c r="U542" s="9">
        <v>2</v>
      </c>
      <c r="V542" s="9">
        <v>1</v>
      </c>
      <c r="W542" s="9">
        <v>1</v>
      </c>
      <c r="X542" s="9">
        <v>2</v>
      </c>
      <c r="Y542" s="9">
        <v>1</v>
      </c>
      <c r="Z542" s="8">
        <v>29</v>
      </c>
      <c r="AA542" s="8">
        <v>0</v>
      </c>
      <c r="AB542" s="8">
        <v>0</v>
      </c>
      <c r="AC542" s="7">
        <v>2.6</v>
      </c>
      <c r="AD542" s="7">
        <v>110</v>
      </c>
      <c r="AE542" s="7">
        <v>96.6</v>
      </c>
      <c r="AF542" s="7">
        <v>13.4</v>
      </c>
      <c r="AG542" s="7">
        <v>6.5</v>
      </c>
      <c r="AH542" s="7">
        <v>2</v>
      </c>
      <c r="AI542" s="7">
        <v>8</v>
      </c>
      <c r="AJ542" s="7">
        <v>3.6</v>
      </c>
      <c r="AK542" s="7">
        <v>12.5</v>
      </c>
      <c r="AL542" s="7">
        <v>7.7</v>
      </c>
      <c r="AM542" s="7">
        <v>4</v>
      </c>
      <c r="AN542" s="7">
        <v>14.3</v>
      </c>
      <c r="AO542" s="7">
        <v>18.3</v>
      </c>
      <c r="AP542" s="7">
        <v>22.1</v>
      </c>
      <c r="AQ542" s="7">
        <v>96.76</v>
      </c>
      <c r="AR542" s="7">
        <v>-0.5</v>
      </c>
      <c r="AS542" s="7">
        <v>90</v>
      </c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1"/>
    </row>
    <row r="543" spans="1:70" ht="13">
      <c r="A543" s="6" t="s">
        <v>1123</v>
      </c>
      <c r="B543" s="6" t="s">
        <v>1124</v>
      </c>
      <c r="C543" s="7">
        <v>25</v>
      </c>
      <c r="D543" s="7">
        <v>3</v>
      </c>
      <c r="E543" s="7">
        <v>2</v>
      </c>
      <c r="F543" s="7">
        <v>1</v>
      </c>
      <c r="G543" s="7">
        <v>11.6</v>
      </c>
      <c r="H543" s="8">
        <v>7</v>
      </c>
      <c r="I543" s="9">
        <v>2</v>
      </c>
      <c r="J543" s="9">
        <v>9</v>
      </c>
      <c r="K543" s="8">
        <v>22.2</v>
      </c>
      <c r="L543" s="9">
        <v>2</v>
      </c>
      <c r="M543" s="9">
        <v>7</v>
      </c>
      <c r="N543" s="8">
        <v>28.6</v>
      </c>
      <c r="O543" s="8">
        <v>1</v>
      </c>
      <c r="P543" s="8">
        <v>2</v>
      </c>
      <c r="Q543" s="8">
        <v>50</v>
      </c>
      <c r="R543" s="9">
        <v>2</v>
      </c>
      <c r="S543" s="9">
        <v>7</v>
      </c>
      <c r="T543" s="9">
        <v>9</v>
      </c>
      <c r="U543" s="8">
        <v>0</v>
      </c>
      <c r="V543" s="8">
        <v>0</v>
      </c>
      <c r="W543" s="9">
        <v>2</v>
      </c>
      <c r="X543" s="9">
        <v>1</v>
      </c>
      <c r="Y543" s="8">
        <v>0</v>
      </c>
      <c r="Z543" s="8">
        <v>27</v>
      </c>
      <c r="AA543" s="8">
        <v>0</v>
      </c>
      <c r="AB543" s="8">
        <v>0</v>
      </c>
      <c r="AC543" s="7">
        <v>-4.7</v>
      </c>
      <c r="AD543" s="7">
        <v>87.7</v>
      </c>
      <c r="AE543" s="7">
        <v>110.9</v>
      </c>
      <c r="AF543" s="7">
        <v>-23.2</v>
      </c>
      <c r="AG543" s="7">
        <v>0</v>
      </c>
      <c r="AH543" s="7">
        <v>0</v>
      </c>
      <c r="AI543" s="7">
        <v>0</v>
      </c>
      <c r="AJ543" s="7">
        <v>4.8</v>
      </c>
      <c r="AK543" s="7">
        <v>17.100000000000001</v>
      </c>
      <c r="AL543" s="7">
        <v>10.8</v>
      </c>
      <c r="AM543" s="7">
        <v>0</v>
      </c>
      <c r="AN543" s="7">
        <v>33.299999999999997</v>
      </c>
      <c r="AO543" s="7">
        <v>35.4</v>
      </c>
      <c r="AP543" s="7">
        <v>12.7</v>
      </c>
      <c r="AQ543" s="7">
        <v>88.67</v>
      </c>
      <c r="AR543" s="7">
        <v>8.8000000000000007</v>
      </c>
      <c r="AS543" s="7">
        <v>65</v>
      </c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1"/>
    </row>
    <row r="544" spans="1:70" ht="13">
      <c r="A544" s="6" t="s">
        <v>1125</v>
      </c>
      <c r="B544" s="6" t="s">
        <v>1126</v>
      </c>
      <c r="C544" s="7">
        <v>23</v>
      </c>
      <c r="D544" s="7">
        <v>7</v>
      </c>
      <c r="E544" s="7">
        <v>3</v>
      </c>
      <c r="F544" s="7">
        <v>4</v>
      </c>
      <c r="G544" s="7">
        <v>3.2</v>
      </c>
      <c r="H544" s="8">
        <v>7</v>
      </c>
      <c r="I544" s="9">
        <v>3</v>
      </c>
      <c r="J544" s="9">
        <v>10</v>
      </c>
      <c r="K544" s="8">
        <v>30</v>
      </c>
      <c r="L544" s="9">
        <v>1</v>
      </c>
      <c r="M544" s="9">
        <v>7</v>
      </c>
      <c r="N544" s="8">
        <v>14.3</v>
      </c>
      <c r="O544" s="8">
        <v>0</v>
      </c>
      <c r="P544" s="8">
        <v>2</v>
      </c>
      <c r="Q544" s="8">
        <v>0</v>
      </c>
      <c r="R544" s="8">
        <v>0</v>
      </c>
      <c r="S544" s="9">
        <v>2</v>
      </c>
      <c r="T544" s="9">
        <v>2</v>
      </c>
      <c r="U544" s="9">
        <v>3</v>
      </c>
      <c r="V544" s="9">
        <v>1</v>
      </c>
      <c r="W544" s="8">
        <v>0</v>
      </c>
      <c r="X544" s="8">
        <v>0</v>
      </c>
      <c r="Y544" s="9">
        <v>2</v>
      </c>
      <c r="Z544" s="8">
        <v>13</v>
      </c>
      <c r="AA544" s="8">
        <v>0</v>
      </c>
      <c r="AB544" s="8">
        <v>0</v>
      </c>
      <c r="AC544" s="7">
        <v>-1.3</v>
      </c>
      <c r="AD544" s="7">
        <v>102.3</v>
      </c>
      <c r="AE544" s="7">
        <v>108.2</v>
      </c>
      <c r="AF544" s="7">
        <v>-5.8</v>
      </c>
      <c r="AG544" s="7">
        <v>20</v>
      </c>
      <c r="AH544" s="7">
        <v>3</v>
      </c>
      <c r="AI544" s="7">
        <v>20</v>
      </c>
      <c r="AJ544" s="7">
        <v>0</v>
      </c>
      <c r="AK544" s="7">
        <v>18.2</v>
      </c>
      <c r="AL544" s="7">
        <v>5.4</v>
      </c>
      <c r="AM544" s="7">
        <v>6.7</v>
      </c>
      <c r="AN544" s="7">
        <v>35</v>
      </c>
      <c r="AO544" s="7">
        <v>32.200000000000003</v>
      </c>
      <c r="AP544" s="7">
        <v>23.1</v>
      </c>
      <c r="AQ544" s="7">
        <v>97.06</v>
      </c>
      <c r="AR544" s="7">
        <v>0</v>
      </c>
      <c r="AS544" s="7">
        <v>43</v>
      </c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1"/>
    </row>
    <row r="545" spans="1:70" ht="13">
      <c r="A545" s="6" t="s">
        <v>1127</v>
      </c>
      <c r="B545" s="6" t="s">
        <v>1128</v>
      </c>
      <c r="C545" s="7">
        <v>28</v>
      </c>
      <c r="D545" s="7">
        <v>9</v>
      </c>
      <c r="E545" s="7">
        <v>7</v>
      </c>
      <c r="F545" s="7">
        <v>2</v>
      </c>
      <c r="G545" s="7">
        <v>3.9</v>
      </c>
      <c r="H545" s="8">
        <v>7</v>
      </c>
      <c r="I545" s="9">
        <v>2</v>
      </c>
      <c r="J545" s="9">
        <v>3</v>
      </c>
      <c r="K545" s="8">
        <v>66.7</v>
      </c>
      <c r="L545" s="9">
        <v>2</v>
      </c>
      <c r="M545" s="9">
        <v>3</v>
      </c>
      <c r="N545" s="8">
        <v>66.7</v>
      </c>
      <c r="O545" s="8">
        <v>1</v>
      </c>
      <c r="P545" s="8">
        <v>6</v>
      </c>
      <c r="Q545" s="8">
        <v>16.7</v>
      </c>
      <c r="R545" s="9">
        <v>1</v>
      </c>
      <c r="S545" s="9">
        <v>4</v>
      </c>
      <c r="T545" s="9">
        <v>5</v>
      </c>
      <c r="U545" s="9">
        <v>5</v>
      </c>
      <c r="V545" s="9">
        <v>1</v>
      </c>
      <c r="W545" s="9">
        <v>1</v>
      </c>
      <c r="X545" s="8">
        <v>0</v>
      </c>
      <c r="Y545" s="9">
        <v>3</v>
      </c>
      <c r="Z545" s="8">
        <v>23</v>
      </c>
      <c r="AA545" s="8">
        <v>0</v>
      </c>
      <c r="AB545" s="8">
        <v>0</v>
      </c>
      <c r="AC545" s="7">
        <v>-0.4</v>
      </c>
      <c r="AD545" s="7">
        <v>98.8</v>
      </c>
      <c r="AE545" s="7">
        <v>107.8</v>
      </c>
      <c r="AF545" s="7">
        <v>-9</v>
      </c>
      <c r="AG545" s="7">
        <v>16.7</v>
      </c>
      <c r="AH545" s="7">
        <v>5</v>
      </c>
      <c r="AI545" s="7">
        <v>41.7</v>
      </c>
      <c r="AJ545" s="7">
        <v>4</v>
      </c>
      <c r="AK545" s="7">
        <v>12.5</v>
      </c>
      <c r="AL545" s="7">
        <v>8.8000000000000007</v>
      </c>
      <c r="AM545" s="7">
        <v>8.3000000000000007</v>
      </c>
      <c r="AN545" s="7">
        <v>100</v>
      </c>
      <c r="AO545" s="7">
        <v>62.1</v>
      </c>
      <c r="AP545" s="7">
        <v>8.1999999999999993</v>
      </c>
      <c r="AQ545" s="7">
        <v>107.91</v>
      </c>
      <c r="AR545" s="7">
        <v>5.4</v>
      </c>
      <c r="AS545" s="7">
        <v>80</v>
      </c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1"/>
    </row>
    <row r="546" spans="1:70" ht="13">
      <c r="A546" s="6" t="s">
        <v>1129</v>
      </c>
      <c r="B546" s="6" t="s">
        <v>1130</v>
      </c>
      <c r="C546" s="7">
        <v>24</v>
      </c>
      <c r="D546" s="7">
        <v>1</v>
      </c>
      <c r="E546" s="7">
        <v>1</v>
      </c>
      <c r="F546" s="7">
        <v>0</v>
      </c>
      <c r="G546" s="7">
        <v>4.5999999999999996</v>
      </c>
      <c r="H546" s="8">
        <v>6</v>
      </c>
      <c r="I546" s="9">
        <v>2</v>
      </c>
      <c r="J546" s="9">
        <v>4</v>
      </c>
      <c r="K546" s="8">
        <v>50</v>
      </c>
      <c r="L546" s="8">
        <v>0</v>
      </c>
      <c r="M546" s="9">
        <v>1</v>
      </c>
      <c r="N546" s="8">
        <v>0</v>
      </c>
      <c r="O546" s="8">
        <v>2</v>
      </c>
      <c r="P546" s="8">
        <v>2</v>
      </c>
      <c r="Q546" s="8">
        <v>100</v>
      </c>
      <c r="R546" s="8">
        <v>0</v>
      </c>
      <c r="S546" s="9">
        <v>1</v>
      </c>
      <c r="T546" s="9">
        <v>1</v>
      </c>
      <c r="U546" s="8">
        <v>0</v>
      </c>
      <c r="V546" s="8">
        <v>0</v>
      </c>
      <c r="W546" s="8">
        <v>0</v>
      </c>
      <c r="X546" s="8">
        <v>0</v>
      </c>
      <c r="Y546" s="8">
        <v>0</v>
      </c>
      <c r="Z546" s="8">
        <v>7</v>
      </c>
      <c r="AA546" s="8">
        <v>0</v>
      </c>
      <c r="AB546" s="8">
        <v>0</v>
      </c>
      <c r="AC546" s="7">
        <v>-4</v>
      </c>
      <c r="AD546" s="7">
        <v>118.2</v>
      </c>
      <c r="AE546" s="7">
        <v>141.69999999999999</v>
      </c>
      <c r="AF546" s="7">
        <v>-23.5</v>
      </c>
      <c r="AG546" s="7">
        <v>0</v>
      </c>
      <c r="AH546" s="7">
        <v>0</v>
      </c>
      <c r="AI546" s="7">
        <v>0</v>
      </c>
      <c r="AJ546" s="7">
        <v>0</v>
      </c>
      <c r="AK546" s="7">
        <v>25</v>
      </c>
      <c r="AL546" s="7">
        <v>12.5</v>
      </c>
      <c r="AM546" s="7">
        <v>0</v>
      </c>
      <c r="AN546" s="7">
        <v>50</v>
      </c>
      <c r="AO546" s="7">
        <v>61.5</v>
      </c>
      <c r="AP546" s="7">
        <v>45.5</v>
      </c>
      <c r="AQ546" s="7">
        <v>119.14</v>
      </c>
      <c r="AR546" s="7">
        <v>15.6</v>
      </c>
      <c r="AS546" s="7">
        <v>11</v>
      </c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1"/>
    </row>
    <row r="547" spans="1:70" ht="13">
      <c r="A547" s="13" t="s">
        <v>1131</v>
      </c>
      <c r="B547" s="6" t="s">
        <v>1132</v>
      </c>
      <c r="C547" s="7">
        <v>24</v>
      </c>
      <c r="D547" s="7">
        <v>4</v>
      </c>
      <c r="E547" s="7">
        <v>4</v>
      </c>
      <c r="F547" s="7">
        <v>0</v>
      </c>
      <c r="G547" s="7">
        <v>7.3</v>
      </c>
      <c r="H547" s="8">
        <v>6</v>
      </c>
      <c r="I547" s="9">
        <v>2</v>
      </c>
      <c r="J547" s="9">
        <v>7</v>
      </c>
      <c r="K547" s="8">
        <v>28.6</v>
      </c>
      <c r="L547" s="8">
        <v>0</v>
      </c>
      <c r="M547" s="9">
        <v>1</v>
      </c>
      <c r="N547" s="8">
        <v>0</v>
      </c>
      <c r="O547" s="8">
        <v>2</v>
      </c>
      <c r="P547" s="8">
        <v>2</v>
      </c>
      <c r="Q547" s="8">
        <v>100</v>
      </c>
      <c r="R547" s="8">
        <v>0</v>
      </c>
      <c r="S547" s="9">
        <v>8</v>
      </c>
      <c r="T547" s="9">
        <v>8</v>
      </c>
      <c r="U547" s="9">
        <v>2</v>
      </c>
      <c r="V547" s="8">
        <v>0</v>
      </c>
      <c r="W547" s="9">
        <v>1</v>
      </c>
      <c r="X547" s="9">
        <v>1</v>
      </c>
      <c r="Y547" s="9">
        <v>6</v>
      </c>
      <c r="Z547" s="8">
        <v>25</v>
      </c>
      <c r="AA547" s="8">
        <v>0</v>
      </c>
      <c r="AB547" s="8">
        <v>0</v>
      </c>
      <c r="AC547" s="7">
        <v>-0.5</v>
      </c>
      <c r="AD547" s="7">
        <v>93.8</v>
      </c>
      <c r="AE547" s="7">
        <v>96.9</v>
      </c>
      <c r="AF547" s="7">
        <v>-3.1</v>
      </c>
      <c r="AG547" s="7">
        <v>11.1</v>
      </c>
      <c r="AH547" s="7">
        <v>0</v>
      </c>
      <c r="AI547" s="7">
        <v>20</v>
      </c>
      <c r="AJ547" s="7">
        <v>0</v>
      </c>
      <c r="AK547" s="7">
        <v>28.6</v>
      </c>
      <c r="AL547" s="7">
        <v>15.1</v>
      </c>
      <c r="AM547" s="7">
        <v>0</v>
      </c>
      <c r="AN547" s="7">
        <v>28.6</v>
      </c>
      <c r="AO547" s="7">
        <v>38.1</v>
      </c>
      <c r="AP547" s="7">
        <v>11.8</v>
      </c>
      <c r="AQ547" s="7">
        <v>105.33</v>
      </c>
      <c r="AR547" s="7">
        <v>6.6</v>
      </c>
      <c r="AS547" s="7">
        <v>64</v>
      </c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1"/>
    </row>
    <row r="548" spans="1:70" ht="13">
      <c r="A548" s="6" t="s">
        <v>1133</v>
      </c>
      <c r="B548" s="6" t="s">
        <v>1134</v>
      </c>
      <c r="C548" s="7">
        <v>25</v>
      </c>
      <c r="D548" s="7">
        <v>1</v>
      </c>
      <c r="E548" s="7">
        <v>0</v>
      </c>
      <c r="F548" s="7">
        <v>1</v>
      </c>
      <c r="G548" s="7">
        <v>17.399999999999999</v>
      </c>
      <c r="H548" s="8">
        <v>6</v>
      </c>
      <c r="I548" s="9">
        <v>2</v>
      </c>
      <c r="J548" s="9">
        <v>7</v>
      </c>
      <c r="K548" s="8">
        <v>28.6</v>
      </c>
      <c r="L548" s="9">
        <v>1</v>
      </c>
      <c r="M548" s="9">
        <v>3</v>
      </c>
      <c r="N548" s="8">
        <v>33.299999999999997</v>
      </c>
      <c r="O548" s="8">
        <v>1</v>
      </c>
      <c r="P548" s="8">
        <v>2</v>
      </c>
      <c r="Q548" s="8">
        <v>50</v>
      </c>
      <c r="R548" s="9">
        <v>1</v>
      </c>
      <c r="S548" s="9">
        <v>3</v>
      </c>
      <c r="T548" s="9">
        <v>4</v>
      </c>
      <c r="U548" s="9">
        <v>5</v>
      </c>
      <c r="V548" s="8">
        <v>0</v>
      </c>
      <c r="W548" s="9">
        <v>1</v>
      </c>
      <c r="X548" s="9">
        <v>1</v>
      </c>
      <c r="Y548" s="9">
        <v>3</v>
      </c>
      <c r="Z548" s="8">
        <v>24</v>
      </c>
      <c r="AA548" s="8">
        <v>0</v>
      </c>
      <c r="AB548" s="8">
        <v>0</v>
      </c>
      <c r="AC548" s="7">
        <v>-6</v>
      </c>
      <c r="AD548" s="7">
        <v>92.7</v>
      </c>
      <c r="AE548" s="7">
        <v>110</v>
      </c>
      <c r="AF548" s="7">
        <v>-17.3</v>
      </c>
      <c r="AG548" s="7">
        <v>55.6</v>
      </c>
      <c r="AH548" s="7">
        <v>0</v>
      </c>
      <c r="AI548" s="7">
        <v>38.5</v>
      </c>
      <c r="AJ548" s="7">
        <v>4</v>
      </c>
      <c r="AK548" s="7">
        <v>15.8</v>
      </c>
      <c r="AL548" s="7">
        <v>9.1</v>
      </c>
      <c r="AM548" s="7">
        <v>0</v>
      </c>
      <c r="AN548" s="7">
        <v>35.700000000000003</v>
      </c>
      <c r="AO548" s="7">
        <v>38.1</v>
      </c>
      <c r="AP548" s="7">
        <v>17</v>
      </c>
      <c r="AQ548" s="7">
        <v>111.94</v>
      </c>
      <c r="AR548" s="7">
        <v>9.9</v>
      </c>
      <c r="AS548" s="7">
        <v>41</v>
      </c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1"/>
    </row>
    <row r="549" spans="1:70" ht="13">
      <c r="A549" s="6" t="s">
        <v>1135</v>
      </c>
      <c r="B549" s="6" t="s">
        <v>1136</v>
      </c>
      <c r="C549" s="7">
        <v>26</v>
      </c>
      <c r="D549" s="7">
        <v>2</v>
      </c>
      <c r="E549" s="7">
        <v>0</v>
      </c>
      <c r="F549" s="7">
        <v>2</v>
      </c>
      <c r="G549" s="7">
        <v>9.9</v>
      </c>
      <c r="H549" s="8">
        <v>6</v>
      </c>
      <c r="I549" s="9">
        <v>2</v>
      </c>
      <c r="J549" s="9">
        <v>10</v>
      </c>
      <c r="K549" s="8">
        <v>20</v>
      </c>
      <c r="L549" s="9">
        <v>1</v>
      </c>
      <c r="M549" s="9">
        <v>4</v>
      </c>
      <c r="N549" s="8">
        <v>25</v>
      </c>
      <c r="O549" s="8">
        <v>1</v>
      </c>
      <c r="P549" s="8">
        <v>2</v>
      </c>
      <c r="Q549" s="8">
        <v>50</v>
      </c>
      <c r="R549" s="9">
        <v>4</v>
      </c>
      <c r="S549" s="9">
        <v>4</v>
      </c>
      <c r="T549" s="9">
        <v>8</v>
      </c>
      <c r="U549" s="9">
        <v>1</v>
      </c>
      <c r="V549" s="9">
        <v>2</v>
      </c>
      <c r="W549" s="9">
        <v>2</v>
      </c>
      <c r="X549" s="8">
        <v>0</v>
      </c>
      <c r="Y549" s="8">
        <v>0</v>
      </c>
      <c r="Z549" s="8">
        <v>21</v>
      </c>
      <c r="AA549" s="8">
        <v>0</v>
      </c>
      <c r="AB549" s="8">
        <v>0</v>
      </c>
      <c r="AC549" s="7">
        <v>-3.5</v>
      </c>
      <c r="AD549" s="7">
        <v>58.7</v>
      </c>
      <c r="AE549" s="7">
        <v>77.3</v>
      </c>
      <c r="AF549" s="7">
        <v>-18.600000000000001</v>
      </c>
      <c r="AG549" s="7">
        <v>12.5</v>
      </c>
      <c r="AH549" s="7">
        <v>0.5</v>
      </c>
      <c r="AI549" s="7">
        <v>7.1</v>
      </c>
      <c r="AJ549" s="7">
        <v>12.1</v>
      </c>
      <c r="AK549" s="7">
        <v>16</v>
      </c>
      <c r="AL549" s="7">
        <v>13.8</v>
      </c>
      <c r="AM549" s="7">
        <v>14.3</v>
      </c>
      <c r="AN549" s="7">
        <v>25</v>
      </c>
      <c r="AO549" s="7">
        <v>27.6</v>
      </c>
      <c r="AP549" s="7">
        <v>22.4</v>
      </c>
      <c r="AQ549" s="7">
        <v>108.82</v>
      </c>
      <c r="AR549" s="7">
        <v>10.5</v>
      </c>
      <c r="AS549" s="7">
        <v>46</v>
      </c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1"/>
    </row>
    <row r="550" spans="1:70" ht="13">
      <c r="A550" s="6" t="s">
        <v>1137</v>
      </c>
      <c r="B550" s="6" t="s">
        <v>1138</v>
      </c>
      <c r="C550" s="7">
        <v>25</v>
      </c>
      <c r="D550" s="7">
        <v>1</v>
      </c>
      <c r="E550" s="7">
        <v>0</v>
      </c>
      <c r="F550" s="7">
        <v>1</v>
      </c>
      <c r="G550" s="7">
        <v>3.7</v>
      </c>
      <c r="H550" s="8">
        <v>5</v>
      </c>
      <c r="I550" s="9">
        <v>2</v>
      </c>
      <c r="J550" s="9">
        <v>2</v>
      </c>
      <c r="K550" s="8">
        <v>100</v>
      </c>
      <c r="L550" s="9">
        <v>1</v>
      </c>
      <c r="M550" s="9">
        <v>1</v>
      </c>
      <c r="N550" s="8">
        <v>100</v>
      </c>
      <c r="O550" s="8">
        <v>0</v>
      </c>
      <c r="P550" s="8">
        <v>0</v>
      </c>
      <c r="Q550" s="8">
        <v>0</v>
      </c>
      <c r="R550" s="8">
        <v>0</v>
      </c>
      <c r="S550" s="8">
        <v>0</v>
      </c>
      <c r="T550" s="8">
        <v>0</v>
      </c>
      <c r="U550" s="9">
        <v>1</v>
      </c>
      <c r="V550" s="8">
        <v>0</v>
      </c>
      <c r="W550" s="8">
        <v>0</v>
      </c>
      <c r="X550" s="8">
        <v>0</v>
      </c>
      <c r="Y550" s="8">
        <v>0</v>
      </c>
      <c r="Z550" s="8">
        <v>7</v>
      </c>
      <c r="AA550" s="8">
        <v>0</v>
      </c>
      <c r="AB550" s="8">
        <v>0</v>
      </c>
      <c r="AC550" s="7">
        <v>6</v>
      </c>
      <c r="AD550" s="7">
        <v>171.4</v>
      </c>
      <c r="AE550" s="7">
        <v>85.7</v>
      </c>
      <c r="AF550" s="7">
        <v>85.7</v>
      </c>
      <c r="AG550" s="7">
        <v>33.299999999999997</v>
      </c>
      <c r="AH550" s="7">
        <v>0</v>
      </c>
      <c r="AI550" s="7">
        <v>33.299999999999997</v>
      </c>
      <c r="AJ550" s="7">
        <v>0</v>
      </c>
      <c r="AK550" s="7">
        <v>0</v>
      </c>
      <c r="AL550" s="7">
        <v>0</v>
      </c>
      <c r="AM550" s="7">
        <v>0</v>
      </c>
      <c r="AN550" s="7">
        <v>125</v>
      </c>
      <c r="AO550" s="7">
        <v>125</v>
      </c>
      <c r="AP550" s="7">
        <v>28.6</v>
      </c>
      <c r="AQ550" s="7">
        <v>90.4</v>
      </c>
      <c r="AR550" s="7">
        <v>40</v>
      </c>
      <c r="AS550" s="7">
        <v>7</v>
      </c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1"/>
    </row>
    <row r="551" spans="1:70" ht="13">
      <c r="A551" s="6" t="s">
        <v>1139</v>
      </c>
      <c r="B551" s="6" t="s">
        <v>1140</v>
      </c>
      <c r="C551" s="7">
        <v>29</v>
      </c>
      <c r="D551" s="7">
        <v>4</v>
      </c>
      <c r="E551" s="7">
        <v>2</v>
      </c>
      <c r="F551" s="7">
        <v>2</v>
      </c>
      <c r="G551" s="7">
        <v>3</v>
      </c>
      <c r="H551" s="8">
        <v>5</v>
      </c>
      <c r="I551" s="9">
        <v>2</v>
      </c>
      <c r="J551" s="9">
        <v>4</v>
      </c>
      <c r="K551" s="8">
        <v>50</v>
      </c>
      <c r="L551" s="9">
        <v>1</v>
      </c>
      <c r="M551" s="9">
        <v>1</v>
      </c>
      <c r="N551" s="8">
        <v>100</v>
      </c>
      <c r="O551" s="8">
        <v>0</v>
      </c>
      <c r="P551" s="8">
        <v>0</v>
      </c>
      <c r="Q551" s="8">
        <v>0</v>
      </c>
      <c r="R551" s="9">
        <v>1</v>
      </c>
      <c r="S551" s="9">
        <v>2</v>
      </c>
      <c r="T551" s="9">
        <v>3</v>
      </c>
      <c r="U551" s="9">
        <v>1</v>
      </c>
      <c r="V551" s="8">
        <v>0</v>
      </c>
      <c r="W551" s="8">
        <v>0</v>
      </c>
      <c r="X551" s="8">
        <v>0</v>
      </c>
      <c r="Y551" s="9">
        <v>1</v>
      </c>
      <c r="Z551" s="8">
        <v>10</v>
      </c>
      <c r="AA551" s="8">
        <v>0</v>
      </c>
      <c r="AB551" s="8">
        <v>0</v>
      </c>
      <c r="AC551" s="7">
        <v>-0.3</v>
      </c>
      <c r="AD551" s="7">
        <v>114.8</v>
      </c>
      <c r="AE551" s="7">
        <v>128</v>
      </c>
      <c r="AF551" s="7">
        <v>-13.2</v>
      </c>
      <c r="AG551" s="7">
        <v>12.5</v>
      </c>
      <c r="AH551" s="7">
        <v>0</v>
      </c>
      <c r="AI551" s="7">
        <v>20</v>
      </c>
      <c r="AJ551" s="7">
        <v>8.3000000000000007</v>
      </c>
      <c r="AK551" s="7">
        <v>22.2</v>
      </c>
      <c r="AL551" s="7">
        <v>14.3</v>
      </c>
      <c r="AM551" s="7">
        <v>0</v>
      </c>
      <c r="AN551" s="7">
        <v>62.5</v>
      </c>
      <c r="AO551" s="7">
        <v>62.5</v>
      </c>
      <c r="AP551" s="7">
        <v>12.9</v>
      </c>
      <c r="AQ551" s="7">
        <v>104.35</v>
      </c>
      <c r="AR551" s="7">
        <v>9.1999999999999993</v>
      </c>
      <c r="AS551" s="7">
        <v>27</v>
      </c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1"/>
    </row>
    <row r="552" spans="1:70" ht="13">
      <c r="A552" s="6" t="s">
        <v>1141</v>
      </c>
      <c r="B552" s="6" t="s">
        <v>1142</v>
      </c>
      <c r="C552" s="7">
        <v>19</v>
      </c>
      <c r="D552" s="7">
        <v>7</v>
      </c>
      <c r="E552" s="7">
        <v>3</v>
      </c>
      <c r="F552" s="7">
        <v>4</v>
      </c>
      <c r="G552" s="7">
        <v>4.5999999999999996</v>
      </c>
      <c r="H552" s="8">
        <v>5</v>
      </c>
      <c r="I552" s="9">
        <v>2</v>
      </c>
      <c r="J552" s="9">
        <v>5</v>
      </c>
      <c r="K552" s="8">
        <v>40</v>
      </c>
      <c r="L552" s="8">
        <v>0</v>
      </c>
      <c r="M552" s="8">
        <v>0</v>
      </c>
      <c r="N552" s="8">
        <v>0</v>
      </c>
      <c r="O552" s="8">
        <v>1</v>
      </c>
      <c r="P552" s="8">
        <v>2</v>
      </c>
      <c r="Q552" s="8">
        <v>50</v>
      </c>
      <c r="R552" s="9">
        <v>4</v>
      </c>
      <c r="S552" s="9">
        <v>4</v>
      </c>
      <c r="T552" s="9">
        <v>8</v>
      </c>
      <c r="U552" s="9">
        <v>2</v>
      </c>
      <c r="V552" s="9">
        <v>2</v>
      </c>
      <c r="W552" s="8">
        <v>0</v>
      </c>
      <c r="X552" s="9">
        <v>1</v>
      </c>
      <c r="Y552" s="9">
        <v>5</v>
      </c>
      <c r="Z552" s="8">
        <v>19</v>
      </c>
      <c r="AA552" s="8">
        <v>0</v>
      </c>
      <c r="AB552" s="8">
        <v>0</v>
      </c>
      <c r="AC552" s="7">
        <v>-3.4</v>
      </c>
      <c r="AD552" s="7">
        <v>96.9</v>
      </c>
      <c r="AE552" s="7">
        <v>140.30000000000001</v>
      </c>
      <c r="AF552" s="7">
        <v>-43.4</v>
      </c>
      <c r="AG552" s="7">
        <v>11.1</v>
      </c>
      <c r="AH552" s="7">
        <v>1</v>
      </c>
      <c r="AI552" s="7">
        <v>20</v>
      </c>
      <c r="AJ552" s="7">
        <v>12.9</v>
      </c>
      <c r="AK552" s="7">
        <v>18.2</v>
      </c>
      <c r="AL552" s="7">
        <v>15.1</v>
      </c>
      <c r="AM552" s="7">
        <v>20</v>
      </c>
      <c r="AN552" s="7">
        <v>40</v>
      </c>
      <c r="AO552" s="7">
        <v>42.5</v>
      </c>
      <c r="AP552" s="7">
        <v>10.8</v>
      </c>
      <c r="AQ552" s="7">
        <v>94.73</v>
      </c>
      <c r="AR552" s="7">
        <v>2</v>
      </c>
      <c r="AS552" s="7">
        <v>65</v>
      </c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1"/>
    </row>
    <row r="553" spans="1:70" ht="13">
      <c r="A553" s="13" t="s">
        <v>1143</v>
      </c>
      <c r="B553" s="6" t="s">
        <v>1144</v>
      </c>
      <c r="C553" s="7">
        <v>25</v>
      </c>
      <c r="D553" s="7">
        <v>1</v>
      </c>
      <c r="E553" s="7">
        <v>0</v>
      </c>
      <c r="F553" s="7">
        <v>1</v>
      </c>
      <c r="G553" s="7">
        <v>17</v>
      </c>
      <c r="H553" s="8">
        <v>4</v>
      </c>
      <c r="I553" s="9">
        <v>1</v>
      </c>
      <c r="J553" s="9">
        <v>8</v>
      </c>
      <c r="K553" s="8">
        <v>12.5</v>
      </c>
      <c r="L553" s="8">
        <v>0</v>
      </c>
      <c r="M553" s="9">
        <v>6</v>
      </c>
      <c r="N553" s="8">
        <v>0</v>
      </c>
      <c r="O553" s="8">
        <v>2</v>
      </c>
      <c r="P553" s="8">
        <v>2</v>
      </c>
      <c r="Q553" s="8">
        <v>100</v>
      </c>
      <c r="R553" s="9">
        <v>4</v>
      </c>
      <c r="S553" s="9">
        <v>3</v>
      </c>
      <c r="T553" s="9">
        <v>7</v>
      </c>
      <c r="U553" s="9">
        <v>2</v>
      </c>
      <c r="V553" s="8">
        <v>0</v>
      </c>
      <c r="W553" s="8">
        <v>0</v>
      </c>
      <c r="X553" s="8">
        <v>0</v>
      </c>
      <c r="Y553" s="8">
        <v>0</v>
      </c>
      <c r="Z553" s="8">
        <v>15</v>
      </c>
      <c r="AA553" s="8">
        <v>0</v>
      </c>
      <c r="AB553" s="8">
        <v>0</v>
      </c>
      <c r="AC553" s="7">
        <v>-1</v>
      </c>
      <c r="AD553" s="7">
        <v>120.6</v>
      </c>
      <c r="AE553" s="7">
        <v>116.7</v>
      </c>
      <c r="AF553" s="7">
        <v>3.9</v>
      </c>
      <c r="AG553" s="7">
        <v>14.3</v>
      </c>
      <c r="AH553" s="7">
        <v>0</v>
      </c>
      <c r="AI553" s="7">
        <v>18.2</v>
      </c>
      <c r="AJ553" s="7">
        <v>18.2</v>
      </c>
      <c r="AK553" s="7">
        <v>20</v>
      </c>
      <c r="AL553" s="7">
        <v>18.899999999999999</v>
      </c>
      <c r="AM553" s="7">
        <v>0</v>
      </c>
      <c r="AN553" s="7">
        <v>12.5</v>
      </c>
      <c r="AO553" s="7">
        <v>22.5</v>
      </c>
      <c r="AP553" s="7">
        <v>20.5</v>
      </c>
      <c r="AQ553" s="7">
        <v>98.82</v>
      </c>
      <c r="AR553" s="7">
        <v>7.1</v>
      </c>
      <c r="AS553" s="7">
        <v>34</v>
      </c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1"/>
    </row>
    <row r="554" spans="1:70" ht="13">
      <c r="A554" s="6" t="s">
        <v>1145</v>
      </c>
      <c r="B554" s="6" t="s">
        <v>1146</v>
      </c>
      <c r="C554" s="7">
        <v>22</v>
      </c>
      <c r="D554" s="7">
        <v>5</v>
      </c>
      <c r="E554" s="7">
        <v>0</v>
      </c>
      <c r="F554" s="7">
        <v>5</v>
      </c>
      <c r="G554" s="7">
        <v>7</v>
      </c>
      <c r="H554" s="8">
        <v>4</v>
      </c>
      <c r="I554" s="9">
        <v>2</v>
      </c>
      <c r="J554" s="9">
        <v>4</v>
      </c>
      <c r="K554" s="8">
        <v>50</v>
      </c>
      <c r="L554" s="8">
        <v>0</v>
      </c>
      <c r="M554" s="9">
        <v>1</v>
      </c>
      <c r="N554" s="8">
        <v>0</v>
      </c>
      <c r="O554" s="8">
        <v>0</v>
      </c>
      <c r="P554" s="8">
        <v>0</v>
      </c>
      <c r="Q554" s="8">
        <v>0</v>
      </c>
      <c r="R554" s="9">
        <v>2</v>
      </c>
      <c r="S554" s="9">
        <v>7</v>
      </c>
      <c r="T554" s="9">
        <v>9</v>
      </c>
      <c r="U554" s="9">
        <v>3</v>
      </c>
      <c r="V554" s="9">
        <v>1</v>
      </c>
      <c r="W554" s="9">
        <v>3</v>
      </c>
      <c r="X554" s="8">
        <v>0</v>
      </c>
      <c r="Y554" s="9">
        <v>2</v>
      </c>
      <c r="Z554" s="8">
        <v>28</v>
      </c>
      <c r="AA554" s="8">
        <v>0</v>
      </c>
      <c r="AB554" s="8">
        <v>0</v>
      </c>
      <c r="AC554" s="7">
        <v>6</v>
      </c>
      <c r="AD554" s="7">
        <v>132</v>
      </c>
      <c r="AE554" s="7">
        <v>92</v>
      </c>
      <c r="AF554" s="7">
        <v>40</v>
      </c>
      <c r="AG554" s="7">
        <v>8.6</v>
      </c>
      <c r="AH554" s="7">
        <v>3</v>
      </c>
      <c r="AI554" s="7">
        <v>37.5</v>
      </c>
      <c r="AJ554" s="7">
        <v>6.7</v>
      </c>
      <c r="AK554" s="7">
        <v>17.5</v>
      </c>
      <c r="AL554" s="7">
        <v>12.9</v>
      </c>
      <c r="AM554" s="7">
        <v>12.5</v>
      </c>
      <c r="AN554" s="7">
        <v>50</v>
      </c>
      <c r="AO554" s="7">
        <v>50</v>
      </c>
      <c r="AP554" s="7">
        <v>6</v>
      </c>
      <c r="AQ554" s="7">
        <v>103.6</v>
      </c>
      <c r="AR554" s="7">
        <v>8</v>
      </c>
      <c r="AS554" s="7">
        <v>75</v>
      </c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1"/>
    </row>
    <row r="555" spans="1:70" ht="13">
      <c r="A555" s="6" t="s">
        <v>1147</v>
      </c>
      <c r="B555" s="6" t="s">
        <v>1148</v>
      </c>
      <c r="C555" s="7">
        <v>22</v>
      </c>
      <c r="D555" s="7">
        <v>5</v>
      </c>
      <c r="E555" s="7">
        <v>2</v>
      </c>
      <c r="F555" s="7">
        <v>3</v>
      </c>
      <c r="G555" s="7">
        <v>2.1</v>
      </c>
      <c r="H555" s="8">
        <v>3</v>
      </c>
      <c r="I555" s="9">
        <v>1</v>
      </c>
      <c r="J555" s="9">
        <v>7</v>
      </c>
      <c r="K555" s="8">
        <v>14.3</v>
      </c>
      <c r="L555" s="8">
        <v>0</v>
      </c>
      <c r="M555" s="9">
        <v>3</v>
      </c>
      <c r="N555" s="8">
        <v>0</v>
      </c>
      <c r="O555" s="8">
        <v>1</v>
      </c>
      <c r="P555" s="8">
        <v>2</v>
      </c>
      <c r="Q555" s="8">
        <v>50</v>
      </c>
      <c r="R555" s="8">
        <v>0</v>
      </c>
      <c r="S555" s="9">
        <v>2</v>
      </c>
      <c r="T555" s="9">
        <v>2</v>
      </c>
      <c r="U555" s="8">
        <v>0</v>
      </c>
      <c r="V555" s="8">
        <v>0</v>
      </c>
      <c r="W555" s="8">
        <v>0</v>
      </c>
      <c r="X555" s="8">
        <v>0</v>
      </c>
      <c r="Y555" s="8">
        <v>0</v>
      </c>
      <c r="Z555" s="8">
        <v>6</v>
      </c>
      <c r="AA555" s="8">
        <v>0</v>
      </c>
      <c r="AB555" s="8">
        <v>0</v>
      </c>
      <c r="AC555" s="7">
        <v>0.4</v>
      </c>
      <c r="AD555" s="7">
        <v>80.8</v>
      </c>
      <c r="AE555" s="7">
        <v>76</v>
      </c>
      <c r="AF555" s="7">
        <v>4.8</v>
      </c>
      <c r="AG555" s="7">
        <v>0</v>
      </c>
      <c r="AH555" s="7">
        <v>0</v>
      </c>
      <c r="AI555" s="7">
        <v>0</v>
      </c>
      <c r="AJ555" s="7">
        <v>0</v>
      </c>
      <c r="AK555" s="7">
        <v>20</v>
      </c>
      <c r="AL555" s="7">
        <v>9.5</v>
      </c>
      <c r="AM555" s="7">
        <v>0</v>
      </c>
      <c r="AN555" s="7">
        <v>14.3</v>
      </c>
      <c r="AO555" s="7">
        <v>19</v>
      </c>
      <c r="AP555" s="7">
        <v>29.6</v>
      </c>
      <c r="AQ555" s="7">
        <v>118.62</v>
      </c>
      <c r="AR555" s="7">
        <v>-5.6</v>
      </c>
      <c r="AS555" s="7">
        <v>26</v>
      </c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1"/>
    </row>
    <row r="556" spans="1:70" ht="13">
      <c r="A556" s="6" t="s">
        <v>1149</v>
      </c>
      <c r="B556" s="6" t="s">
        <v>1150</v>
      </c>
      <c r="C556" s="7">
        <v>28</v>
      </c>
      <c r="D556" s="7">
        <v>3</v>
      </c>
      <c r="E556" s="7">
        <v>3</v>
      </c>
      <c r="F556" s="7">
        <v>0</v>
      </c>
      <c r="G556" s="7">
        <v>3.6</v>
      </c>
      <c r="H556" s="8">
        <v>3</v>
      </c>
      <c r="I556" s="8">
        <v>0</v>
      </c>
      <c r="J556" s="9">
        <v>4</v>
      </c>
      <c r="K556" s="8">
        <v>0</v>
      </c>
      <c r="L556" s="8">
        <v>0</v>
      </c>
      <c r="M556" s="9">
        <v>1</v>
      </c>
      <c r="N556" s="8">
        <v>0</v>
      </c>
      <c r="O556" s="8">
        <v>3</v>
      </c>
      <c r="P556" s="8">
        <v>6</v>
      </c>
      <c r="Q556" s="8">
        <v>50</v>
      </c>
      <c r="R556" s="9">
        <v>1</v>
      </c>
      <c r="S556" s="9">
        <v>1</v>
      </c>
      <c r="T556" s="9">
        <v>2</v>
      </c>
      <c r="U556" s="8">
        <v>0</v>
      </c>
      <c r="V556" s="9">
        <v>1</v>
      </c>
      <c r="W556" s="9">
        <v>2</v>
      </c>
      <c r="X556" s="8">
        <v>0</v>
      </c>
      <c r="Y556" s="8">
        <v>0</v>
      </c>
      <c r="Z556" s="8">
        <v>11</v>
      </c>
      <c r="AA556" s="8">
        <v>0</v>
      </c>
      <c r="AB556" s="8">
        <v>0</v>
      </c>
      <c r="AC556" s="7">
        <v>-2.7</v>
      </c>
      <c r="AD556" s="7">
        <v>90</v>
      </c>
      <c r="AE556" s="7">
        <v>120.7</v>
      </c>
      <c r="AF556" s="7">
        <v>-30.7</v>
      </c>
      <c r="AG556" s="7">
        <v>0</v>
      </c>
      <c r="AH556" s="7">
        <v>0</v>
      </c>
      <c r="AI556" s="7">
        <v>0</v>
      </c>
      <c r="AJ556" s="7">
        <v>7.7</v>
      </c>
      <c r="AK556" s="7">
        <v>16.7</v>
      </c>
      <c r="AL556" s="7">
        <v>10.5</v>
      </c>
      <c r="AM556" s="7">
        <v>12.5</v>
      </c>
      <c r="AN556" s="7">
        <v>0</v>
      </c>
      <c r="AO556" s="7">
        <v>22.6</v>
      </c>
      <c r="AP556" s="7">
        <v>22.2</v>
      </c>
      <c r="AQ556" s="7">
        <v>130.81</v>
      </c>
      <c r="AR556" s="7">
        <v>-2.6</v>
      </c>
      <c r="AS556" s="7">
        <v>30</v>
      </c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1"/>
    </row>
    <row r="557" spans="1:70" ht="13">
      <c r="A557" s="6" t="s">
        <v>1151</v>
      </c>
      <c r="B557" s="6" t="s">
        <v>1152</v>
      </c>
      <c r="C557" s="7">
        <v>24</v>
      </c>
      <c r="D557" s="7">
        <v>2</v>
      </c>
      <c r="E557" s="7">
        <v>1</v>
      </c>
      <c r="F557" s="7">
        <v>1</v>
      </c>
      <c r="G557" s="7">
        <v>5.2</v>
      </c>
      <c r="H557" s="8">
        <v>3</v>
      </c>
      <c r="I557" s="9">
        <v>1</v>
      </c>
      <c r="J557" s="9">
        <v>5</v>
      </c>
      <c r="K557" s="8">
        <v>20</v>
      </c>
      <c r="L557" s="9">
        <v>1</v>
      </c>
      <c r="M557" s="9">
        <v>5</v>
      </c>
      <c r="N557" s="8">
        <v>20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9">
        <v>1</v>
      </c>
      <c r="V557" s="9">
        <v>1</v>
      </c>
      <c r="W557" s="8">
        <v>0</v>
      </c>
      <c r="X557" s="8">
        <v>0</v>
      </c>
      <c r="Y557" s="8">
        <v>0</v>
      </c>
      <c r="Z557" s="8">
        <v>4</v>
      </c>
      <c r="AA557" s="8">
        <v>0</v>
      </c>
      <c r="AB557" s="8">
        <v>0</v>
      </c>
      <c r="AC557" s="7">
        <v>-9</v>
      </c>
      <c r="AD557" s="7">
        <v>68.2</v>
      </c>
      <c r="AE557" s="7">
        <v>150</v>
      </c>
      <c r="AF557" s="7">
        <v>-81.8</v>
      </c>
      <c r="AG557" s="7">
        <v>20</v>
      </c>
      <c r="AH557" s="7">
        <v>1</v>
      </c>
      <c r="AI557" s="7">
        <v>14.3</v>
      </c>
      <c r="AJ557" s="7">
        <v>0</v>
      </c>
      <c r="AK557" s="7">
        <v>0</v>
      </c>
      <c r="AL557" s="7">
        <v>0</v>
      </c>
      <c r="AM557" s="7">
        <v>14.3</v>
      </c>
      <c r="AN557" s="7">
        <v>30</v>
      </c>
      <c r="AO557" s="7">
        <v>30</v>
      </c>
      <c r="AP557" s="7">
        <v>23.1</v>
      </c>
      <c r="AQ557" s="7">
        <v>102.52</v>
      </c>
      <c r="AR557" s="7">
        <v>-2.2000000000000002</v>
      </c>
      <c r="AS557" s="7">
        <v>22</v>
      </c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1"/>
    </row>
    <row r="558" spans="1:70" ht="13">
      <c r="A558" s="6" t="s">
        <v>1153</v>
      </c>
      <c r="B558" s="6" t="s">
        <v>1154</v>
      </c>
      <c r="C558" s="7">
        <v>24</v>
      </c>
      <c r="D558" s="7">
        <v>8</v>
      </c>
      <c r="E558" s="7">
        <v>2</v>
      </c>
      <c r="F558" s="7">
        <v>6</v>
      </c>
      <c r="G558" s="7">
        <v>2</v>
      </c>
      <c r="H558" s="8">
        <v>3</v>
      </c>
      <c r="I558" s="9">
        <v>1</v>
      </c>
      <c r="J558" s="9">
        <v>8</v>
      </c>
      <c r="K558" s="8">
        <v>12.5</v>
      </c>
      <c r="L558" s="8">
        <v>0</v>
      </c>
      <c r="M558" s="9">
        <v>3</v>
      </c>
      <c r="N558" s="8">
        <v>0</v>
      </c>
      <c r="O558" s="8">
        <v>1</v>
      </c>
      <c r="P558" s="8">
        <v>1</v>
      </c>
      <c r="Q558" s="8">
        <v>100</v>
      </c>
      <c r="R558" s="9">
        <v>2</v>
      </c>
      <c r="S558" s="9">
        <v>2</v>
      </c>
      <c r="T558" s="9">
        <v>4</v>
      </c>
      <c r="U558" s="9">
        <v>2</v>
      </c>
      <c r="V558" s="9">
        <v>2</v>
      </c>
      <c r="W558" s="9">
        <v>1</v>
      </c>
      <c r="X558" s="8">
        <v>0</v>
      </c>
      <c r="Y558" s="9">
        <v>4</v>
      </c>
      <c r="Z558" s="8">
        <v>12</v>
      </c>
      <c r="AA558" s="8">
        <v>0</v>
      </c>
      <c r="AB558" s="8">
        <v>0</v>
      </c>
      <c r="AC558" s="7">
        <v>-0.6</v>
      </c>
      <c r="AD558" s="7">
        <v>83.3</v>
      </c>
      <c r="AE558" s="7">
        <v>97.6</v>
      </c>
      <c r="AF558" s="7">
        <v>-14.2</v>
      </c>
      <c r="AG558" s="7">
        <v>18.2</v>
      </c>
      <c r="AH558" s="7">
        <v>1</v>
      </c>
      <c r="AI558" s="7">
        <v>16.7</v>
      </c>
      <c r="AJ558" s="7">
        <v>7.1</v>
      </c>
      <c r="AK558" s="7">
        <v>11.1</v>
      </c>
      <c r="AL558" s="7">
        <v>8.6999999999999993</v>
      </c>
      <c r="AM558" s="7">
        <v>16.7</v>
      </c>
      <c r="AN558" s="7">
        <v>12.5</v>
      </c>
      <c r="AO558" s="7">
        <v>17.8</v>
      </c>
      <c r="AP558" s="7">
        <v>18.5</v>
      </c>
      <c r="AQ558" s="7">
        <v>123.38</v>
      </c>
      <c r="AR558" s="7">
        <v>-6.8</v>
      </c>
      <c r="AS558" s="7">
        <v>42</v>
      </c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1"/>
    </row>
    <row r="559" spans="1:70" ht="13">
      <c r="A559" s="13" t="s">
        <v>1155</v>
      </c>
      <c r="B559" s="6" t="s">
        <v>1156</v>
      </c>
      <c r="C559" s="7">
        <v>24</v>
      </c>
      <c r="D559" s="7">
        <v>4</v>
      </c>
      <c r="E559" s="7">
        <v>1</v>
      </c>
      <c r="F559" s="7">
        <v>3</v>
      </c>
      <c r="G559" s="7">
        <v>8.3000000000000007</v>
      </c>
      <c r="H559" s="8">
        <v>3</v>
      </c>
      <c r="I559" s="9">
        <v>1</v>
      </c>
      <c r="J559" s="9">
        <v>7</v>
      </c>
      <c r="K559" s="8">
        <v>14.3</v>
      </c>
      <c r="L559" s="8">
        <v>0</v>
      </c>
      <c r="M559" s="9">
        <v>3</v>
      </c>
      <c r="N559" s="8">
        <v>0</v>
      </c>
      <c r="O559" s="8">
        <v>1</v>
      </c>
      <c r="P559" s="8">
        <v>1</v>
      </c>
      <c r="Q559" s="8">
        <v>100</v>
      </c>
      <c r="R559" s="8">
        <v>0</v>
      </c>
      <c r="S559" s="9">
        <v>4</v>
      </c>
      <c r="T559" s="9">
        <v>4</v>
      </c>
      <c r="U559" s="9">
        <v>3</v>
      </c>
      <c r="V559" s="9">
        <v>4</v>
      </c>
      <c r="W559" s="9">
        <v>2</v>
      </c>
      <c r="X559" s="8">
        <v>0</v>
      </c>
      <c r="Y559" s="9">
        <v>1</v>
      </c>
      <c r="Z559" s="8">
        <v>14</v>
      </c>
      <c r="AA559" s="8">
        <v>0</v>
      </c>
      <c r="AB559" s="8">
        <v>0</v>
      </c>
      <c r="AC559" s="7">
        <v>3</v>
      </c>
      <c r="AD559" s="7">
        <v>109</v>
      </c>
      <c r="AE559" s="7">
        <v>96.1</v>
      </c>
      <c r="AF559" s="7">
        <v>12.9</v>
      </c>
      <c r="AG559" s="7">
        <v>10</v>
      </c>
      <c r="AH559" s="7">
        <v>0.75</v>
      </c>
      <c r="AI559" s="7">
        <v>21.4</v>
      </c>
      <c r="AJ559" s="7">
        <v>0</v>
      </c>
      <c r="AK559" s="7">
        <v>9.8000000000000007</v>
      </c>
      <c r="AL559" s="7">
        <v>5.5</v>
      </c>
      <c r="AM559" s="7">
        <v>28.6</v>
      </c>
      <c r="AN559" s="7">
        <v>14.3</v>
      </c>
      <c r="AO559" s="7">
        <v>20.2</v>
      </c>
      <c r="AP559" s="7">
        <v>12.2</v>
      </c>
      <c r="AQ559" s="7">
        <v>110.7</v>
      </c>
      <c r="AR559" s="7">
        <v>0.7</v>
      </c>
      <c r="AS559" s="7">
        <v>78</v>
      </c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1"/>
    </row>
    <row r="560" spans="1:70" ht="13">
      <c r="A560" s="6" t="s">
        <v>1157</v>
      </c>
      <c r="B560" s="6" t="s">
        <v>1158</v>
      </c>
      <c r="C560" s="7">
        <v>24</v>
      </c>
      <c r="D560" s="7">
        <v>2</v>
      </c>
      <c r="E560" s="7">
        <v>2</v>
      </c>
      <c r="F560" s="7">
        <v>0</v>
      </c>
      <c r="G560" s="7">
        <v>8.1999999999999993</v>
      </c>
      <c r="H560" s="8">
        <v>2</v>
      </c>
      <c r="I560" s="9">
        <v>1</v>
      </c>
      <c r="J560" s="9">
        <v>3</v>
      </c>
      <c r="K560" s="8">
        <v>33.299999999999997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9">
        <v>2</v>
      </c>
      <c r="S560" s="9">
        <v>1</v>
      </c>
      <c r="T560" s="9">
        <v>3</v>
      </c>
      <c r="U560" s="9">
        <v>4</v>
      </c>
      <c r="V560" s="8">
        <v>0</v>
      </c>
      <c r="W560" s="9">
        <v>2</v>
      </c>
      <c r="X560" s="8">
        <v>0</v>
      </c>
      <c r="Y560" s="9">
        <v>5</v>
      </c>
      <c r="Z560" s="8">
        <v>18</v>
      </c>
      <c r="AA560" s="8">
        <v>0</v>
      </c>
      <c r="AB560" s="8">
        <v>0</v>
      </c>
      <c r="AC560" s="7">
        <v>-2.5</v>
      </c>
      <c r="AD560" s="7">
        <v>94.4</v>
      </c>
      <c r="AE560" s="7">
        <v>111.4</v>
      </c>
      <c r="AF560" s="7">
        <v>-17</v>
      </c>
      <c r="AG560" s="7">
        <v>33.299999999999997</v>
      </c>
      <c r="AH560" s="7">
        <v>0</v>
      </c>
      <c r="AI560" s="7">
        <v>57.1</v>
      </c>
      <c r="AJ560" s="7">
        <v>8.3000000000000007</v>
      </c>
      <c r="AK560" s="7">
        <v>7.1</v>
      </c>
      <c r="AL560" s="7">
        <v>7.9</v>
      </c>
      <c r="AM560" s="7">
        <v>0</v>
      </c>
      <c r="AN560" s="7">
        <v>33.299999999999997</v>
      </c>
      <c r="AO560" s="7">
        <v>33.299999999999997</v>
      </c>
      <c r="AP560" s="7">
        <v>6.8</v>
      </c>
      <c r="AQ560" s="7">
        <v>104.54</v>
      </c>
      <c r="AR560" s="7">
        <v>4.8</v>
      </c>
      <c r="AS560" s="7">
        <v>36</v>
      </c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1"/>
    </row>
    <row r="561" spans="1:70" ht="13">
      <c r="A561" s="6" t="s">
        <v>1159</v>
      </c>
      <c r="B561" s="6" t="s">
        <v>1160</v>
      </c>
      <c r="C561" s="7">
        <v>25</v>
      </c>
      <c r="D561" s="7">
        <v>6</v>
      </c>
      <c r="E561" s="7">
        <v>6</v>
      </c>
      <c r="F561" s="7">
        <v>0</v>
      </c>
      <c r="G561" s="7">
        <v>3.5</v>
      </c>
      <c r="H561" s="8">
        <v>2</v>
      </c>
      <c r="I561" s="8">
        <v>0</v>
      </c>
      <c r="J561" s="9">
        <v>2</v>
      </c>
      <c r="K561" s="8">
        <v>0</v>
      </c>
      <c r="L561" s="8">
        <v>0</v>
      </c>
      <c r="M561" s="9">
        <v>1</v>
      </c>
      <c r="N561" s="8">
        <v>0</v>
      </c>
      <c r="O561" s="8">
        <v>2</v>
      </c>
      <c r="P561" s="8">
        <v>4</v>
      </c>
      <c r="Q561" s="8">
        <v>50</v>
      </c>
      <c r="R561" s="9">
        <v>1</v>
      </c>
      <c r="S561" s="9">
        <v>2</v>
      </c>
      <c r="T561" s="9">
        <v>3</v>
      </c>
      <c r="U561" s="9">
        <v>1</v>
      </c>
      <c r="V561" s="9">
        <v>1</v>
      </c>
      <c r="W561" s="8">
        <v>0</v>
      </c>
      <c r="X561" s="8">
        <v>0</v>
      </c>
      <c r="Y561" s="9">
        <v>4</v>
      </c>
      <c r="Z561" s="8">
        <v>6</v>
      </c>
      <c r="AA561" s="8">
        <v>0</v>
      </c>
      <c r="AB561" s="8">
        <v>0</v>
      </c>
      <c r="AC561" s="7">
        <v>-3</v>
      </c>
      <c r="AD561" s="7">
        <v>61.4</v>
      </c>
      <c r="AE561" s="7">
        <v>104.7</v>
      </c>
      <c r="AF561" s="7">
        <v>-43.3</v>
      </c>
      <c r="AG561" s="7">
        <v>11.1</v>
      </c>
      <c r="AH561" s="7">
        <v>1</v>
      </c>
      <c r="AI561" s="7">
        <v>16.7</v>
      </c>
      <c r="AJ561" s="7">
        <v>4</v>
      </c>
      <c r="AK561" s="7">
        <v>9.5</v>
      </c>
      <c r="AL561" s="7">
        <v>6.5</v>
      </c>
      <c r="AM561" s="7">
        <v>16.7</v>
      </c>
      <c r="AN561" s="7">
        <v>0</v>
      </c>
      <c r="AO561" s="7">
        <v>26.6</v>
      </c>
      <c r="AP561" s="7">
        <v>10.199999999999999</v>
      </c>
      <c r="AQ561" s="7">
        <v>99.59</v>
      </c>
      <c r="AR561" s="7">
        <v>-6.9</v>
      </c>
      <c r="AS561" s="7">
        <v>44</v>
      </c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1"/>
    </row>
    <row r="562" spans="1:70" ht="13">
      <c r="A562" s="6" t="s">
        <v>1161</v>
      </c>
      <c r="B562" s="6" t="s">
        <v>1162</v>
      </c>
      <c r="C562" s="7">
        <v>23</v>
      </c>
      <c r="D562" s="7">
        <v>3</v>
      </c>
      <c r="E562" s="7">
        <v>3</v>
      </c>
      <c r="F562" s="7">
        <v>0</v>
      </c>
      <c r="G562" s="7">
        <v>4.4000000000000004</v>
      </c>
      <c r="H562" s="8">
        <v>1</v>
      </c>
      <c r="I562" s="8">
        <v>0</v>
      </c>
      <c r="J562" s="9">
        <v>1</v>
      </c>
      <c r="K562" s="8">
        <v>0</v>
      </c>
      <c r="L562" s="8">
        <v>0</v>
      </c>
      <c r="M562" s="9">
        <v>1</v>
      </c>
      <c r="N562" s="8">
        <v>0</v>
      </c>
      <c r="O562" s="8">
        <v>1</v>
      </c>
      <c r="P562" s="8">
        <v>2</v>
      </c>
      <c r="Q562" s="8">
        <v>50</v>
      </c>
      <c r="R562" s="8">
        <v>0</v>
      </c>
      <c r="S562" s="9">
        <v>4</v>
      </c>
      <c r="T562" s="9">
        <v>4</v>
      </c>
      <c r="U562" s="9">
        <v>3</v>
      </c>
      <c r="V562" s="9">
        <v>4</v>
      </c>
      <c r="W562" s="8">
        <v>0</v>
      </c>
      <c r="X562" s="8">
        <v>0</v>
      </c>
      <c r="Y562" s="9">
        <v>1</v>
      </c>
      <c r="Z562" s="8">
        <v>6</v>
      </c>
      <c r="AA562" s="8">
        <v>0</v>
      </c>
      <c r="AB562" s="8">
        <v>0</v>
      </c>
      <c r="AC562" s="7">
        <v>3</v>
      </c>
      <c r="AD562" s="7">
        <v>103.2</v>
      </c>
      <c r="AE562" s="7">
        <v>79.3</v>
      </c>
      <c r="AF562" s="7">
        <v>23.9</v>
      </c>
      <c r="AG562" s="7">
        <v>23.1</v>
      </c>
      <c r="AH562" s="7">
        <v>0.75</v>
      </c>
      <c r="AI562" s="7">
        <v>33.299999999999997</v>
      </c>
      <c r="AJ562" s="7">
        <v>0</v>
      </c>
      <c r="AK562" s="7">
        <v>44.4</v>
      </c>
      <c r="AL562" s="7">
        <v>21.1</v>
      </c>
      <c r="AM562" s="7">
        <v>44.4</v>
      </c>
      <c r="AN562" s="7">
        <v>0</v>
      </c>
      <c r="AO562" s="7">
        <v>26.6</v>
      </c>
      <c r="AP562" s="7">
        <v>17.600000000000001</v>
      </c>
      <c r="AQ562" s="7">
        <v>108.82</v>
      </c>
      <c r="AR562" s="7">
        <v>2.4</v>
      </c>
      <c r="AS562" s="7">
        <v>31</v>
      </c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1"/>
    </row>
    <row r="563" spans="1:70" ht="13">
      <c r="A563" s="6" t="s">
        <v>1163</v>
      </c>
      <c r="B563" s="6" t="s">
        <v>1164</v>
      </c>
      <c r="C563" s="7">
        <v>29</v>
      </c>
      <c r="D563" s="7">
        <v>1</v>
      </c>
      <c r="E563" s="7">
        <v>0</v>
      </c>
      <c r="F563" s="7">
        <v>1</v>
      </c>
      <c r="G563" s="7">
        <v>3.4</v>
      </c>
      <c r="H563" s="8">
        <v>0</v>
      </c>
      <c r="I563" s="8">
        <v>0</v>
      </c>
      <c r="J563" s="8">
        <v>0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9">
        <v>1</v>
      </c>
      <c r="T563" s="9">
        <v>1</v>
      </c>
      <c r="U563" s="9">
        <v>1</v>
      </c>
      <c r="V563" s="8">
        <v>0</v>
      </c>
      <c r="W563" s="8">
        <v>0</v>
      </c>
      <c r="X563" s="8">
        <v>0</v>
      </c>
      <c r="Y563" s="8">
        <v>0</v>
      </c>
      <c r="Z563" s="8">
        <v>3</v>
      </c>
      <c r="AA563" s="8">
        <v>0</v>
      </c>
      <c r="AB563" s="8">
        <v>0</v>
      </c>
      <c r="AC563" s="7">
        <v>5</v>
      </c>
      <c r="AD563" s="7">
        <v>125</v>
      </c>
      <c r="AE563" s="7">
        <v>62.5</v>
      </c>
      <c r="AF563" s="7">
        <v>62.5</v>
      </c>
      <c r="AG563" s="7">
        <v>25</v>
      </c>
      <c r="AH563" s="7">
        <v>0</v>
      </c>
      <c r="AI563" s="7">
        <v>100</v>
      </c>
      <c r="AJ563" s="7">
        <v>0</v>
      </c>
      <c r="AK563" s="7">
        <v>25</v>
      </c>
      <c r="AL563" s="7">
        <v>11.1</v>
      </c>
      <c r="AM563" s="7">
        <v>0</v>
      </c>
      <c r="AN563" s="7">
        <v>0</v>
      </c>
      <c r="AO563" s="7">
        <v>0</v>
      </c>
      <c r="AP563" s="7">
        <v>0</v>
      </c>
      <c r="AQ563" s="7">
        <v>114.06</v>
      </c>
      <c r="AR563" s="7">
        <v>13.3</v>
      </c>
      <c r="AS563" s="7">
        <v>8</v>
      </c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1"/>
    </row>
    <row r="564" spans="1:70" ht="13">
      <c r="A564" s="6" t="s">
        <v>1165</v>
      </c>
      <c r="B564" s="6" t="s">
        <v>1166</v>
      </c>
      <c r="C564" s="7">
        <v>24</v>
      </c>
      <c r="D564" s="7">
        <v>3</v>
      </c>
      <c r="E564" s="7">
        <v>1</v>
      </c>
      <c r="F564" s="7">
        <v>2</v>
      </c>
      <c r="G564" s="7">
        <v>0.9</v>
      </c>
      <c r="H564" s="8">
        <v>0</v>
      </c>
      <c r="I564" s="8">
        <v>0</v>
      </c>
      <c r="J564" s="9">
        <v>1</v>
      </c>
      <c r="K564" s="8">
        <v>0</v>
      </c>
      <c r="L564" s="8">
        <v>0</v>
      </c>
      <c r="M564" s="8">
        <v>0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S564" s="8">
        <v>0</v>
      </c>
      <c r="T564" s="8">
        <v>0</v>
      </c>
      <c r="U564" s="8">
        <v>0</v>
      </c>
      <c r="V564" s="8">
        <v>0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7">
        <v>0.3</v>
      </c>
      <c r="AD564" s="7">
        <v>83.3</v>
      </c>
      <c r="AE564" s="7">
        <v>66.7</v>
      </c>
      <c r="AF564" s="7">
        <v>16.7</v>
      </c>
      <c r="AG564" s="7">
        <v>0</v>
      </c>
      <c r="AH564" s="7">
        <v>0</v>
      </c>
      <c r="AI564" s="7">
        <v>0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16.7</v>
      </c>
      <c r="AQ564" s="7">
        <v>110.7</v>
      </c>
      <c r="AR564" s="7">
        <v>-8.6999999999999993</v>
      </c>
      <c r="AS564" s="7">
        <v>6</v>
      </c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1"/>
    </row>
    <row r="565" spans="1:70" ht="13">
      <c r="A565" s="6" t="s">
        <v>1167</v>
      </c>
      <c r="B565" s="6" t="s">
        <v>1168</v>
      </c>
      <c r="C565" s="7">
        <v>24</v>
      </c>
      <c r="D565" s="7">
        <v>3</v>
      </c>
      <c r="E565" s="7">
        <v>3</v>
      </c>
      <c r="F565" s="7">
        <v>0</v>
      </c>
      <c r="G565" s="7">
        <v>1.9</v>
      </c>
      <c r="H565" s="8">
        <v>0</v>
      </c>
      <c r="I565" s="8">
        <v>0</v>
      </c>
      <c r="J565" s="9">
        <v>2</v>
      </c>
      <c r="K565" s="8">
        <v>0</v>
      </c>
      <c r="L565" s="8">
        <v>0</v>
      </c>
      <c r="M565" s="9">
        <v>1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S565" s="9">
        <v>2</v>
      </c>
      <c r="T565" s="9">
        <v>2</v>
      </c>
      <c r="U565" s="8">
        <v>0</v>
      </c>
      <c r="V565" s="8">
        <v>0</v>
      </c>
      <c r="W565" s="9">
        <v>1</v>
      </c>
      <c r="X565" s="8">
        <v>0</v>
      </c>
      <c r="Y565" s="8">
        <v>0</v>
      </c>
      <c r="Z565" s="8">
        <v>5</v>
      </c>
      <c r="AA565" s="8">
        <v>0</v>
      </c>
      <c r="AB565" s="8">
        <v>0</v>
      </c>
      <c r="AC565" s="7">
        <v>1.3</v>
      </c>
      <c r="AD565" s="7">
        <v>61.5</v>
      </c>
      <c r="AE565" s="7">
        <v>30.8</v>
      </c>
      <c r="AF565" s="7">
        <v>30.8</v>
      </c>
      <c r="AG565" s="7">
        <v>0</v>
      </c>
      <c r="AH565" s="7">
        <v>0</v>
      </c>
      <c r="AI565" s="7">
        <v>0</v>
      </c>
      <c r="AJ565" s="7">
        <v>0</v>
      </c>
      <c r="AK565" s="7">
        <v>22.2</v>
      </c>
      <c r="AL565" s="7">
        <v>12.5</v>
      </c>
      <c r="AM565" s="7">
        <v>0</v>
      </c>
      <c r="AN565" s="7">
        <v>0</v>
      </c>
      <c r="AO565" s="7">
        <v>0</v>
      </c>
      <c r="AP565" s="7">
        <v>14.3</v>
      </c>
      <c r="AQ565" s="7">
        <v>112.43</v>
      </c>
      <c r="AR565" s="7">
        <v>12.5</v>
      </c>
      <c r="AS565" s="7">
        <v>13</v>
      </c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1"/>
    </row>
    <row r="566" spans="1:70" ht="13">
      <c r="A566" s="6" t="s">
        <v>1169</v>
      </c>
      <c r="B566" s="6" t="s">
        <v>1170</v>
      </c>
      <c r="C566" s="7">
        <v>25</v>
      </c>
      <c r="D566" s="7">
        <v>2</v>
      </c>
      <c r="E566" s="7">
        <v>2</v>
      </c>
      <c r="F566" s="7">
        <v>0</v>
      </c>
      <c r="G566" s="7">
        <v>2.2999999999999998</v>
      </c>
      <c r="H566" s="8">
        <v>0</v>
      </c>
      <c r="I566" s="8">
        <v>0</v>
      </c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S566" s="8">
        <v>0</v>
      </c>
      <c r="T566" s="8">
        <v>0</v>
      </c>
      <c r="U566" s="9">
        <v>1</v>
      </c>
      <c r="V566" s="8">
        <v>0</v>
      </c>
      <c r="W566" s="8">
        <v>0</v>
      </c>
      <c r="X566" s="8">
        <v>0</v>
      </c>
      <c r="Y566" s="9">
        <v>2</v>
      </c>
      <c r="Z566" s="8">
        <v>2</v>
      </c>
      <c r="AA566" s="8">
        <v>0</v>
      </c>
      <c r="AB566" s="8">
        <v>0</v>
      </c>
      <c r="AC566" s="7">
        <v>-5</v>
      </c>
      <c r="AD566" s="7">
        <v>72.7</v>
      </c>
      <c r="AE566" s="7">
        <v>150</v>
      </c>
      <c r="AF566" s="7">
        <v>-77.3</v>
      </c>
      <c r="AG566" s="7">
        <v>25</v>
      </c>
      <c r="AH566" s="7">
        <v>0</v>
      </c>
      <c r="AI566" s="7">
        <v>100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118.29</v>
      </c>
      <c r="AR566" s="7">
        <v>-4.3</v>
      </c>
      <c r="AS566" s="7">
        <v>11</v>
      </c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1"/>
    </row>
    <row r="567" spans="1:70" ht="13">
      <c r="A567" s="6" t="s">
        <v>1171</v>
      </c>
      <c r="B567" s="6" t="s">
        <v>1172</v>
      </c>
      <c r="C567" s="7">
        <v>26</v>
      </c>
      <c r="D567" s="7">
        <v>2</v>
      </c>
      <c r="E567" s="7">
        <v>1</v>
      </c>
      <c r="F567" s="7">
        <v>1</v>
      </c>
      <c r="G567" s="7">
        <v>5.0999999999999996</v>
      </c>
      <c r="H567" s="8">
        <v>0</v>
      </c>
      <c r="I567" s="8">
        <v>0</v>
      </c>
      <c r="J567" s="9">
        <v>2</v>
      </c>
      <c r="K567" s="8">
        <v>0</v>
      </c>
      <c r="L567" s="8">
        <v>0</v>
      </c>
      <c r="M567" s="9">
        <v>1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S567" s="9">
        <v>1</v>
      </c>
      <c r="T567" s="9">
        <v>1</v>
      </c>
      <c r="U567" s="9">
        <v>3</v>
      </c>
      <c r="V567" s="8">
        <v>0</v>
      </c>
      <c r="W567" s="8">
        <v>0</v>
      </c>
      <c r="X567" s="8">
        <v>0</v>
      </c>
      <c r="Y567" s="9">
        <v>2</v>
      </c>
      <c r="Z567" s="8">
        <v>6</v>
      </c>
      <c r="AA567" s="8">
        <v>0</v>
      </c>
      <c r="AB567" s="8">
        <v>0</v>
      </c>
      <c r="AC567" s="7">
        <v>-1</v>
      </c>
      <c r="AD567" s="7">
        <v>119</v>
      </c>
      <c r="AE567" s="7">
        <v>128.6</v>
      </c>
      <c r="AF567" s="7">
        <v>-9.5</v>
      </c>
      <c r="AG567" s="7">
        <v>33.299999999999997</v>
      </c>
      <c r="AH567" s="7">
        <v>0</v>
      </c>
      <c r="AI567" s="7">
        <v>60</v>
      </c>
      <c r="AJ567" s="7">
        <v>0</v>
      </c>
      <c r="AK567" s="7">
        <v>10</v>
      </c>
      <c r="AL567" s="7">
        <v>5</v>
      </c>
      <c r="AM567" s="7">
        <v>0</v>
      </c>
      <c r="AN567" s="7">
        <v>0</v>
      </c>
      <c r="AO567" s="7">
        <v>0</v>
      </c>
      <c r="AP567" s="7">
        <v>8.6999999999999993</v>
      </c>
      <c r="AQ567" s="7">
        <v>98.5</v>
      </c>
      <c r="AR567" s="7">
        <v>0</v>
      </c>
      <c r="AS567" s="7">
        <v>21</v>
      </c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1"/>
    </row>
    <row r="568" spans="1:70" ht="13">
      <c r="A568" s="6" t="s">
        <v>1173</v>
      </c>
      <c r="B568" s="6" t="s">
        <v>1174</v>
      </c>
      <c r="C568" s="7">
        <v>28</v>
      </c>
      <c r="D568" s="7">
        <v>1</v>
      </c>
      <c r="E568" s="7">
        <v>1</v>
      </c>
      <c r="F568" s="7">
        <v>0</v>
      </c>
      <c r="G568" s="7">
        <v>7.9</v>
      </c>
      <c r="H568" s="8">
        <v>0</v>
      </c>
      <c r="I568" s="8">
        <v>0</v>
      </c>
      <c r="J568" s="9">
        <v>2</v>
      </c>
      <c r="K568" s="8">
        <v>0</v>
      </c>
      <c r="L568" s="8">
        <v>0</v>
      </c>
      <c r="M568" s="9">
        <v>1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9">
        <v>1</v>
      </c>
      <c r="T568" s="9">
        <v>1</v>
      </c>
      <c r="U568" s="9">
        <v>1</v>
      </c>
      <c r="V568" s="8">
        <v>0</v>
      </c>
      <c r="W568" s="8">
        <v>0</v>
      </c>
      <c r="X568" s="8">
        <v>0</v>
      </c>
      <c r="Y568" s="8">
        <v>0</v>
      </c>
      <c r="Z568" s="8">
        <v>3</v>
      </c>
      <c r="AA568" s="8">
        <v>0</v>
      </c>
      <c r="AB568" s="8">
        <v>0</v>
      </c>
      <c r="AC568" s="7">
        <v>-3</v>
      </c>
      <c r="AD568" s="7">
        <v>86.7</v>
      </c>
      <c r="AE568" s="7">
        <v>106.7</v>
      </c>
      <c r="AF568" s="7">
        <v>-20</v>
      </c>
      <c r="AG568" s="7">
        <v>16.7</v>
      </c>
      <c r="AH568" s="7">
        <v>0</v>
      </c>
      <c r="AI568" s="7">
        <v>33.299999999999997</v>
      </c>
      <c r="AJ568" s="7">
        <v>0</v>
      </c>
      <c r="AK568" s="7">
        <v>11.1</v>
      </c>
      <c r="AL568" s="7">
        <v>5.9</v>
      </c>
      <c r="AM568" s="7">
        <v>0</v>
      </c>
      <c r="AN568" s="7">
        <v>0</v>
      </c>
      <c r="AO568" s="7">
        <v>0</v>
      </c>
      <c r="AP568" s="7">
        <v>11.1</v>
      </c>
      <c r="AQ568" s="7">
        <v>91.33</v>
      </c>
      <c r="AR568" s="7">
        <v>0</v>
      </c>
      <c r="AS568" s="7">
        <v>15</v>
      </c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1"/>
    </row>
    <row r="569" spans="1:70" ht="13">
      <c r="A569" s="6" t="s">
        <v>1175</v>
      </c>
      <c r="B569" s="6" t="s">
        <v>1176</v>
      </c>
      <c r="C569" s="7">
        <v>25</v>
      </c>
      <c r="D569" s="7">
        <v>3</v>
      </c>
      <c r="E569" s="7">
        <v>1</v>
      </c>
      <c r="F569" s="7">
        <v>2</v>
      </c>
      <c r="G569" s="7">
        <v>2.1</v>
      </c>
      <c r="H569" s="8">
        <v>0</v>
      </c>
      <c r="I569" s="8">
        <v>0</v>
      </c>
      <c r="J569" s="9">
        <v>1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9">
        <v>1</v>
      </c>
      <c r="S569" s="8">
        <v>0</v>
      </c>
      <c r="T569" s="9">
        <v>1</v>
      </c>
      <c r="U569" s="9">
        <v>2</v>
      </c>
      <c r="V569" s="8">
        <v>0</v>
      </c>
      <c r="W569" s="8">
        <v>0</v>
      </c>
      <c r="X569" s="8">
        <v>0</v>
      </c>
      <c r="Y569" s="8">
        <v>0</v>
      </c>
      <c r="Z569" s="8">
        <v>4</v>
      </c>
      <c r="AA569" s="8">
        <v>0</v>
      </c>
      <c r="AB569" s="8">
        <v>0</v>
      </c>
      <c r="AC569" s="7">
        <v>3</v>
      </c>
      <c r="AD569" s="7">
        <v>135.69999999999999</v>
      </c>
      <c r="AE569" s="7">
        <v>71.400000000000006</v>
      </c>
      <c r="AF569" s="7">
        <v>64.3</v>
      </c>
      <c r="AG569" s="7">
        <v>28.6</v>
      </c>
      <c r="AH569" s="7">
        <v>0</v>
      </c>
      <c r="AI569" s="7">
        <v>66.7</v>
      </c>
      <c r="AJ569" s="7">
        <v>25</v>
      </c>
      <c r="AK569" s="7">
        <v>0</v>
      </c>
      <c r="AL569" s="7">
        <v>8.3000000000000007</v>
      </c>
      <c r="AM569" s="7">
        <v>0</v>
      </c>
      <c r="AN569" s="7">
        <v>0</v>
      </c>
      <c r="AO569" s="7">
        <v>0</v>
      </c>
      <c r="AP569" s="7">
        <v>6.7</v>
      </c>
      <c r="AQ569" s="7">
        <v>106.11</v>
      </c>
      <c r="AR569" s="7">
        <v>4.3</v>
      </c>
      <c r="AS569" s="7">
        <v>14</v>
      </c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1"/>
    </row>
    <row r="570" spans="1:70" ht="13">
      <c r="A570" s="6" t="s">
        <v>1177</v>
      </c>
      <c r="B570" s="6" t="s">
        <v>1178</v>
      </c>
      <c r="C570" s="7">
        <v>24</v>
      </c>
      <c r="D570" s="7">
        <v>1</v>
      </c>
      <c r="E570" s="7">
        <v>0</v>
      </c>
      <c r="F570" s="7">
        <v>1</v>
      </c>
      <c r="G570" s="7">
        <v>6.8</v>
      </c>
      <c r="H570" s="8">
        <v>0</v>
      </c>
      <c r="I570" s="8">
        <v>0</v>
      </c>
      <c r="J570" s="9">
        <v>1</v>
      </c>
      <c r="K570" s="8">
        <v>0</v>
      </c>
      <c r="L570" s="8">
        <v>0</v>
      </c>
      <c r="M570" s="9">
        <v>1</v>
      </c>
      <c r="N570" s="8">
        <v>0</v>
      </c>
      <c r="O570" s="8">
        <v>0</v>
      </c>
      <c r="P570" s="8">
        <v>0</v>
      </c>
      <c r="Q570" s="8">
        <v>0</v>
      </c>
      <c r="R570" s="8">
        <v>0</v>
      </c>
      <c r="S570" s="9">
        <v>2</v>
      </c>
      <c r="T570" s="9">
        <v>2</v>
      </c>
      <c r="U570" s="8">
        <v>0</v>
      </c>
      <c r="V570" s="8">
        <v>0</v>
      </c>
      <c r="W570" s="8">
        <v>0</v>
      </c>
      <c r="X570" s="8">
        <v>0</v>
      </c>
      <c r="Y570" s="8">
        <v>0</v>
      </c>
      <c r="Z570" s="8">
        <v>2</v>
      </c>
      <c r="AA570" s="8">
        <v>0</v>
      </c>
      <c r="AB570" s="8">
        <v>0</v>
      </c>
      <c r="AC570" s="7">
        <v>0</v>
      </c>
      <c r="AD570" s="7">
        <v>93.3</v>
      </c>
      <c r="AE570" s="7">
        <v>93.3</v>
      </c>
      <c r="AF570" s="7">
        <v>0</v>
      </c>
      <c r="AG570" s="7">
        <v>0</v>
      </c>
      <c r="AH570" s="7">
        <v>0</v>
      </c>
      <c r="AI570" s="7">
        <v>0</v>
      </c>
      <c r="AJ570" s="7">
        <v>0</v>
      </c>
      <c r="AK570" s="7">
        <v>20</v>
      </c>
      <c r="AL570" s="7">
        <v>11.8</v>
      </c>
      <c r="AM570" s="7">
        <v>0</v>
      </c>
      <c r="AN570" s="7">
        <v>0</v>
      </c>
      <c r="AO570" s="7">
        <v>0</v>
      </c>
      <c r="AP570" s="7">
        <v>6.3</v>
      </c>
      <c r="AQ570" s="7">
        <v>106.67</v>
      </c>
      <c r="AR570" s="7">
        <v>3.9</v>
      </c>
      <c r="AS570" s="7">
        <v>15</v>
      </c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1"/>
    </row>
    <row r="571" spans="1:70" ht="13">
      <c r="A571" s="6" t="s">
        <v>1179</v>
      </c>
      <c r="B571" s="6" t="s">
        <v>1180</v>
      </c>
      <c r="C571" s="7">
        <v>27</v>
      </c>
      <c r="D571" s="7">
        <v>4</v>
      </c>
      <c r="E571" s="7">
        <v>2</v>
      </c>
      <c r="F571" s="7">
        <v>2</v>
      </c>
      <c r="G571" s="7">
        <v>1.8</v>
      </c>
      <c r="H571" s="8">
        <v>0</v>
      </c>
      <c r="I571" s="8">
        <v>0</v>
      </c>
      <c r="J571" s="8">
        <v>0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9">
        <v>1</v>
      </c>
      <c r="V571" s="8">
        <v>0</v>
      </c>
      <c r="W571" s="9">
        <v>1</v>
      </c>
      <c r="X571" s="8">
        <v>0</v>
      </c>
      <c r="Y571" s="8">
        <v>0</v>
      </c>
      <c r="Z571" s="8">
        <v>4</v>
      </c>
      <c r="AA571" s="8">
        <v>0</v>
      </c>
      <c r="AB571" s="8">
        <v>0</v>
      </c>
      <c r="AC571" s="7">
        <v>-0.3</v>
      </c>
      <c r="AD571" s="7">
        <v>81.3</v>
      </c>
      <c r="AE571" s="7">
        <v>77.8</v>
      </c>
      <c r="AF571" s="7">
        <v>3.5</v>
      </c>
      <c r="AG571" s="7">
        <v>25</v>
      </c>
      <c r="AH571" s="7">
        <v>0</v>
      </c>
      <c r="AI571" s="7">
        <v>100</v>
      </c>
      <c r="AJ571" s="7">
        <v>0</v>
      </c>
      <c r="AK571" s="7">
        <v>0</v>
      </c>
      <c r="AL571" s="7">
        <v>0</v>
      </c>
      <c r="AM571" s="7">
        <v>0</v>
      </c>
      <c r="AN571" s="7">
        <v>0</v>
      </c>
      <c r="AO571" s="7">
        <v>0</v>
      </c>
      <c r="AP571" s="7">
        <v>0</v>
      </c>
      <c r="AQ571" s="7">
        <v>111.25</v>
      </c>
      <c r="AR571" s="7">
        <v>11.4</v>
      </c>
      <c r="AS571" s="7">
        <v>16</v>
      </c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1"/>
    </row>
  </sheetData>
  <autoFilter ref="A2:AS571" xr:uid="{00000000-0009-0000-0000-000000000000}">
    <sortState xmlns:xlrd2="http://schemas.microsoft.com/office/spreadsheetml/2017/richdata2" ref="A2:AS571">
      <sortCondition descending="1" ref="H2:H571"/>
    </sortState>
  </autoFilter>
  <hyperlinks>
    <hyperlink ref="A3" r:id="rId1" xr:uid="{00000000-0004-0000-0000-000000000000}"/>
    <hyperlink ref="B3" r:id="rId2" xr:uid="{00000000-0004-0000-0000-000001000000}"/>
    <hyperlink ref="A4" r:id="rId3" xr:uid="{00000000-0004-0000-0000-000002000000}"/>
    <hyperlink ref="B4" r:id="rId4" xr:uid="{00000000-0004-0000-0000-000003000000}"/>
    <hyperlink ref="A5" r:id="rId5" xr:uid="{00000000-0004-0000-0000-000004000000}"/>
    <hyperlink ref="B5" r:id="rId6" xr:uid="{00000000-0004-0000-0000-000005000000}"/>
    <hyperlink ref="A6" r:id="rId7" xr:uid="{00000000-0004-0000-0000-000006000000}"/>
    <hyperlink ref="B6" r:id="rId8" xr:uid="{00000000-0004-0000-0000-000007000000}"/>
    <hyperlink ref="A7" r:id="rId9" xr:uid="{00000000-0004-0000-0000-000008000000}"/>
    <hyperlink ref="B7" r:id="rId10" xr:uid="{00000000-0004-0000-0000-000009000000}"/>
    <hyperlink ref="A8" r:id="rId11" xr:uid="{00000000-0004-0000-0000-00000A000000}"/>
    <hyperlink ref="B8" r:id="rId12" xr:uid="{00000000-0004-0000-0000-00000B000000}"/>
    <hyperlink ref="A9" r:id="rId13" xr:uid="{00000000-0004-0000-0000-00000C000000}"/>
    <hyperlink ref="B9" r:id="rId14" xr:uid="{00000000-0004-0000-0000-00000D000000}"/>
    <hyperlink ref="A10" r:id="rId15" xr:uid="{00000000-0004-0000-0000-00000E000000}"/>
    <hyperlink ref="B10" r:id="rId16" xr:uid="{00000000-0004-0000-0000-00000F000000}"/>
    <hyperlink ref="A11" r:id="rId17" xr:uid="{00000000-0004-0000-0000-000010000000}"/>
    <hyperlink ref="B11" r:id="rId18" xr:uid="{00000000-0004-0000-0000-000011000000}"/>
    <hyperlink ref="A12" r:id="rId19" xr:uid="{00000000-0004-0000-0000-000012000000}"/>
    <hyperlink ref="B12" r:id="rId20" xr:uid="{00000000-0004-0000-0000-000013000000}"/>
    <hyperlink ref="A13" r:id="rId21" xr:uid="{00000000-0004-0000-0000-000014000000}"/>
    <hyperlink ref="B13" r:id="rId22" xr:uid="{00000000-0004-0000-0000-000015000000}"/>
    <hyperlink ref="A14" r:id="rId23" xr:uid="{00000000-0004-0000-0000-000016000000}"/>
    <hyperlink ref="B14" r:id="rId24" xr:uid="{00000000-0004-0000-0000-000017000000}"/>
    <hyperlink ref="A15" r:id="rId25" xr:uid="{00000000-0004-0000-0000-000018000000}"/>
    <hyperlink ref="B15" r:id="rId26" xr:uid="{00000000-0004-0000-0000-000019000000}"/>
    <hyperlink ref="A16" r:id="rId27" xr:uid="{00000000-0004-0000-0000-00001A000000}"/>
    <hyperlink ref="B16" r:id="rId28" xr:uid="{00000000-0004-0000-0000-00001B000000}"/>
    <hyperlink ref="A17" r:id="rId29" xr:uid="{00000000-0004-0000-0000-00001C000000}"/>
    <hyperlink ref="B17" r:id="rId30" xr:uid="{00000000-0004-0000-0000-00001D000000}"/>
    <hyperlink ref="A18" r:id="rId31" xr:uid="{00000000-0004-0000-0000-00001E000000}"/>
    <hyperlink ref="B18" r:id="rId32" xr:uid="{00000000-0004-0000-0000-00001F000000}"/>
    <hyperlink ref="A19" r:id="rId33" xr:uid="{00000000-0004-0000-0000-000020000000}"/>
    <hyperlink ref="B19" r:id="rId34" xr:uid="{00000000-0004-0000-0000-000021000000}"/>
    <hyperlink ref="A20" r:id="rId35" xr:uid="{00000000-0004-0000-0000-000022000000}"/>
    <hyperlink ref="B20" r:id="rId36" xr:uid="{00000000-0004-0000-0000-000023000000}"/>
    <hyperlink ref="A21" r:id="rId37" xr:uid="{00000000-0004-0000-0000-000024000000}"/>
    <hyperlink ref="B21" r:id="rId38" xr:uid="{00000000-0004-0000-0000-000025000000}"/>
    <hyperlink ref="A22" r:id="rId39" xr:uid="{00000000-0004-0000-0000-000026000000}"/>
    <hyperlink ref="B22" r:id="rId40" xr:uid="{00000000-0004-0000-0000-000027000000}"/>
    <hyperlink ref="A23" r:id="rId41" xr:uid="{00000000-0004-0000-0000-000028000000}"/>
    <hyperlink ref="B23" r:id="rId42" xr:uid="{00000000-0004-0000-0000-000029000000}"/>
    <hyperlink ref="A24" r:id="rId43" xr:uid="{00000000-0004-0000-0000-00002A000000}"/>
    <hyperlink ref="B24" r:id="rId44" xr:uid="{00000000-0004-0000-0000-00002B000000}"/>
    <hyperlink ref="A25" r:id="rId45" xr:uid="{00000000-0004-0000-0000-00002C000000}"/>
    <hyperlink ref="B25" r:id="rId46" xr:uid="{00000000-0004-0000-0000-00002D000000}"/>
    <hyperlink ref="A26" r:id="rId47" xr:uid="{00000000-0004-0000-0000-00002E000000}"/>
    <hyperlink ref="B26" r:id="rId48" xr:uid="{00000000-0004-0000-0000-00002F000000}"/>
    <hyperlink ref="A27" r:id="rId49" xr:uid="{00000000-0004-0000-0000-000030000000}"/>
    <hyperlink ref="B27" r:id="rId50" xr:uid="{00000000-0004-0000-0000-000031000000}"/>
    <hyperlink ref="A28" r:id="rId51" xr:uid="{00000000-0004-0000-0000-000032000000}"/>
    <hyperlink ref="B28" r:id="rId52" xr:uid="{00000000-0004-0000-0000-000033000000}"/>
    <hyperlink ref="A29" r:id="rId53" xr:uid="{00000000-0004-0000-0000-000034000000}"/>
    <hyperlink ref="B29" r:id="rId54" xr:uid="{00000000-0004-0000-0000-000035000000}"/>
    <hyperlink ref="A30" r:id="rId55" xr:uid="{00000000-0004-0000-0000-000036000000}"/>
    <hyperlink ref="B30" r:id="rId56" xr:uid="{00000000-0004-0000-0000-000037000000}"/>
    <hyperlink ref="A31" r:id="rId57" xr:uid="{00000000-0004-0000-0000-000038000000}"/>
    <hyperlink ref="B31" r:id="rId58" xr:uid="{00000000-0004-0000-0000-000039000000}"/>
    <hyperlink ref="A32" r:id="rId59" xr:uid="{00000000-0004-0000-0000-00003A000000}"/>
    <hyperlink ref="B32" r:id="rId60" xr:uid="{00000000-0004-0000-0000-00003B000000}"/>
    <hyperlink ref="A33" r:id="rId61" xr:uid="{00000000-0004-0000-0000-00003C000000}"/>
    <hyperlink ref="B33" r:id="rId62" xr:uid="{00000000-0004-0000-0000-00003D000000}"/>
    <hyperlink ref="A34" r:id="rId63" xr:uid="{00000000-0004-0000-0000-00003E000000}"/>
    <hyperlink ref="B34" r:id="rId64" xr:uid="{00000000-0004-0000-0000-00003F000000}"/>
    <hyperlink ref="A35" r:id="rId65" xr:uid="{00000000-0004-0000-0000-000040000000}"/>
    <hyperlink ref="B35" r:id="rId66" xr:uid="{00000000-0004-0000-0000-000041000000}"/>
    <hyperlink ref="A36" r:id="rId67" xr:uid="{00000000-0004-0000-0000-000042000000}"/>
    <hyperlink ref="B36" r:id="rId68" xr:uid="{00000000-0004-0000-0000-000043000000}"/>
    <hyperlink ref="A37" r:id="rId69" xr:uid="{00000000-0004-0000-0000-000044000000}"/>
    <hyperlink ref="B37" r:id="rId70" xr:uid="{00000000-0004-0000-0000-000045000000}"/>
    <hyperlink ref="A38" r:id="rId71" xr:uid="{00000000-0004-0000-0000-000046000000}"/>
    <hyperlink ref="B38" r:id="rId72" xr:uid="{00000000-0004-0000-0000-000047000000}"/>
    <hyperlink ref="A39" r:id="rId73" xr:uid="{00000000-0004-0000-0000-000048000000}"/>
    <hyperlink ref="B39" r:id="rId74" xr:uid="{00000000-0004-0000-0000-000049000000}"/>
    <hyperlink ref="A40" r:id="rId75" xr:uid="{00000000-0004-0000-0000-00004A000000}"/>
    <hyperlink ref="B40" r:id="rId76" xr:uid="{00000000-0004-0000-0000-00004B000000}"/>
    <hyperlink ref="A41" r:id="rId77" xr:uid="{00000000-0004-0000-0000-00004C000000}"/>
    <hyperlink ref="B41" r:id="rId78" xr:uid="{00000000-0004-0000-0000-00004D000000}"/>
    <hyperlink ref="A42" r:id="rId79" xr:uid="{00000000-0004-0000-0000-00004E000000}"/>
    <hyperlink ref="B42" r:id="rId80" xr:uid="{00000000-0004-0000-0000-00004F000000}"/>
    <hyperlink ref="A43" r:id="rId81" xr:uid="{00000000-0004-0000-0000-000050000000}"/>
    <hyperlink ref="B43" r:id="rId82" xr:uid="{00000000-0004-0000-0000-000051000000}"/>
    <hyperlink ref="A44" r:id="rId83" xr:uid="{00000000-0004-0000-0000-000052000000}"/>
    <hyperlink ref="B44" r:id="rId84" xr:uid="{00000000-0004-0000-0000-000053000000}"/>
    <hyperlink ref="A45" r:id="rId85" xr:uid="{00000000-0004-0000-0000-000054000000}"/>
    <hyperlink ref="B45" r:id="rId86" xr:uid="{00000000-0004-0000-0000-000055000000}"/>
    <hyperlink ref="A46" r:id="rId87" xr:uid="{00000000-0004-0000-0000-000056000000}"/>
    <hyperlink ref="B46" r:id="rId88" xr:uid="{00000000-0004-0000-0000-000057000000}"/>
    <hyperlink ref="A47" r:id="rId89" xr:uid="{00000000-0004-0000-0000-000058000000}"/>
    <hyperlink ref="B47" r:id="rId90" xr:uid="{00000000-0004-0000-0000-000059000000}"/>
    <hyperlink ref="A48" r:id="rId91" xr:uid="{00000000-0004-0000-0000-00005A000000}"/>
    <hyperlink ref="B48" r:id="rId92" xr:uid="{00000000-0004-0000-0000-00005B000000}"/>
    <hyperlink ref="A49" r:id="rId93" xr:uid="{00000000-0004-0000-0000-00005C000000}"/>
    <hyperlink ref="B49" r:id="rId94" xr:uid="{00000000-0004-0000-0000-00005D000000}"/>
    <hyperlink ref="A50" r:id="rId95" xr:uid="{00000000-0004-0000-0000-00005E000000}"/>
    <hyperlink ref="B50" r:id="rId96" xr:uid="{00000000-0004-0000-0000-00005F000000}"/>
    <hyperlink ref="A51" r:id="rId97" xr:uid="{00000000-0004-0000-0000-000060000000}"/>
    <hyperlink ref="B51" r:id="rId98" xr:uid="{00000000-0004-0000-0000-000061000000}"/>
    <hyperlink ref="A52" r:id="rId99" xr:uid="{00000000-0004-0000-0000-000062000000}"/>
    <hyperlink ref="B52" r:id="rId100" xr:uid="{00000000-0004-0000-0000-000063000000}"/>
    <hyperlink ref="A53" r:id="rId101" xr:uid="{00000000-0004-0000-0000-000064000000}"/>
    <hyperlink ref="B53" r:id="rId102" xr:uid="{00000000-0004-0000-0000-000065000000}"/>
    <hyperlink ref="A54" r:id="rId103" xr:uid="{00000000-0004-0000-0000-000066000000}"/>
    <hyperlink ref="B54" r:id="rId104" xr:uid="{00000000-0004-0000-0000-000067000000}"/>
    <hyperlink ref="A55" r:id="rId105" xr:uid="{00000000-0004-0000-0000-000068000000}"/>
    <hyperlink ref="B55" r:id="rId106" xr:uid="{00000000-0004-0000-0000-000069000000}"/>
    <hyperlink ref="A56" r:id="rId107" xr:uid="{00000000-0004-0000-0000-00006A000000}"/>
    <hyperlink ref="B56" r:id="rId108" xr:uid="{00000000-0004-0000-0000-00006B000000}"/>
    <hyperlink ref="A57" r:id="rId109" xr:uid="{00000000-0004-0000-0000-00006C000000}"/>
    <hyperlink ref="B57" r:id="rId110" xr:uid="{00000000-0004-0000-0000-00006D000000}"/>
    <hyperlink ref="A58" r:id="rId111" xr:uid="{00000000-0004-0000-0000-00006E000000}"/>
    <hyperlink ref="B58" r:id="rId112" xr:uid="{00000000-0004-0000-0000-00006F000000}"/>
    <hyperlink ref="A59" r:id="rId113" xr:uid="{00000000-0004-0000-0000-000070000000}"/>
    <hyperlink ref="B59" r:id="rId114" xr:uid="{00000000-0004-0000-0000-000071000000}"/>
    <hyperlink ref="A60" r:id="rId115" xr:uid="{00000000-0004-0000-0000-000072000000}"/>
    <hyperlink ref="B60" r:id="rId116" xr:uid="{00000000-0004-0000-0000-000073000000}"/>
    <hyperlink ref="A61" r:id="rId117" xr:uid="{00000000-0004-0000-0000-000074000000}"/>
    <hyperlink ref="B61" r:id="rId118" xr:uid="{00000000-0004-0000-0000-000075000000}"/>
    <hyperlink ref="A62" r:id="rId119" xr:uid="{00000000-0004-0000-0000-000076000000}"/>
    <hyperlink ref="B62" r:id="rId120" xr:uid="{00000000-0004-0000-0000-000077000000}"/>
    <hyperlink ref="A63" r:id="rId121" xr:uid="{00000000-0004-0000-0000-000078000000}"/>
    <hyperlink ref="B63" r:id="rId122" xr:uid="{00000000-0004-0000-0000-000079000000}"/>
    <hyperlink ref="A64" r:id="rId123" xr:uid="{00000000-0004-0000-0000-00007A000000}"/>
    <hyperlink ref="B64" r:id="rId124" xr:uid="{00000000-0004-0000-0000-00007B000000}"/>
    <hyperlink ref="A65" r:id="rId125" xr:uid="{00000000-0004-0000-0000-00007C000000}"/>
    <hyperlink ref="B65" r:id="rId126" xr:uid="{00000000-0004-0000-0000-00007D000000}"/>
    <hyperlink ref="A66" r:id="rId127" xr:uid="{00000000-0004-0000-0000-00007E000000}"/>
    <hyperlink ref="B66" r:id="rId128" xr:uid="{00000000-0004-0000-0000-00007F000000}"/>
    <hyperlink ref="A67" r:id="rId129" xr:uid="{00000000-0004-0000-0000-000080000000}"/>
    <hyperlink ref="B67" r:id="rId130" xr:uid="{00000000-0004-0000-0000-000081000000}"/>
    <hyperlink ref="A68" r:id="rId131" xr:uid="{00000000-0004-0000-0000-000082000000}"/>
    <hyperlink ref="B68" r:id="rId132" xr:uid="{00000000-0004-0000-0000-000083000000}"/>
    <hyperlink ref="A69" r:id="rId133" xr:uid="{00000000-0004-0000-0000-000084000000}"/>
    <hyperlink ref="B69" r:id="rId134" xr:uid="{00000000-0004-0000-0000-000085000000}"/>
    <hyperlink ref="A70" r:id="rId135" xr:uid="{00000000-0004-0000-0000-000086000000}"/>
    <hyperlink ref="B70" r:id="rId136" xr:uid="{00000000-0004-0000-0000-000087000000}"/>
    <hyperlink ref="A71" r:id="rId137" xr:uid="{00000000-0004-0000-0000-000088000000}"/>
    <hyperlink ref="B71" r:id="rId138" xr:uid="{00000000-0004-0000-0000-000089000000}"/>
    <hyperlink ref="A72" r:id="rId139" xr:uid="{00000000-0004-0000-0000-00008A000000}"/>
    <hyperlink ref="B72" r:id="rId140" xr:uid="{00000000-0004-0000-0000-00008B000000}"/>
    <hyperlink ref="A73" r:id="rId141" xr:uid="{00000000-0004-0000-0000-00008C000000}"/>
    <hyperlink ref="B73" r:id="rId142" xr:uid="{00000000-0004-0000-0000-00008D000000}"/>
    <hyperlink ref="A74" r:id="rId143" xr:uid="{00000000-0004-0000-0000-00008E000000}"/>
    <hyperlink ref="B74" r:id="rId144" xr:uid="{00000000-0004-0000-0000-00008F000000}"/>
    <hyperlink ref="A75" r:id="rId145" xr:uid="{00000000-0004-0000-0000-000090000000}"/>
    <hyperlink ref="B75" r:id="rId146" xr:uid="{00000000-0004-0000-0000-000091000000}"/>
    <hyperlink ref="A76" r:id="rId147" xr:uid="{00000000-0004-0000-0000-000092000000}"/>
    <hyperlink ref="B76" r:id="rId148" xr:uid="{00000000-0004-0000-0000-000093000000}"/>
    <hyperlink ref="A77" r:id="rId149" xr:uid="{00000000-0004-0000-0000-000094000000}"/>
    <hyperlink ref="B77" r:id="rId150" xr:uid="{00000000-0004-0000-0000-000095000000}"/>
    <hyperlink ref="A78" r:id="rId151" xr:uid="{00000000-0004-0000-0000-000096000000}"/>
    <hyperlink ref="B78" r:id="rId152" xr:uid="{00000000-0004-0000-0000-000097000000}"/>
    <hyperlink ref="A79" r:id="rId153" xr:uid="{00000000-0004-0000-0000-000098000000}"/>
    <hyperlink ref="B79" r:id="rId154" xr:uid="{00000000-0004-0000-0000-000099000000}"/>
    <hyperlink ref="A80" r:id="rId155" xr:uid="{00000000-0004-0000-0000-00009A000000}"/>
    <hyperlink ref="B80" r:id="rId156" xr:uid="{00000000-0004-0000-0000-00009B000000}"/>
    <hyperlink ref="A81" r:id="rId157" xr:uid="{00000000-0004-0000-0000-00009C000000}"/>
    <hyperlink ref="B81" r:id="rId158" xr:uid="{00000000-0004-0000-0000-00009D000000}"/>
    <hyperlink ref="A82" r:id="rId159" xr:uid="{00000000-0004-0000-0000-00009E000000}"/>
    <hyperlink ref="B82" r:id="rId160" xr:uid="{00000000-0004-0000-0000-00009F000000}"/>
    <hyperlink ref="A83" r:id="rId161" xr:uid="{00000000-0004-0000-0000-0000A0000000}"/>
    <hyperlink ref="B83" r:id="rId162" xr:uid="{00000000-0004-0000-0000-0000A1000000}"/>
    <hyperlink ref="A84" r:id="rId163" xr:uid="{00000000-0004-0000-0000-0000A2000000}"/>
    <hyperlink ref="B84" r:id="rId164" xr:uid="{00000000-0004-0000-0000-0000A3000000}"/>
    <hyperlink ref="A85" r:id="rId165" xr:uid="{00000000-0004-0000-0000-0000A4000000}"/>
    <hyperlink ref="B85" r:id="rId166" xr:uid="{00000000-0004-0000-0000-0000A5000000}"/>
    <hyperlink ref="A86" r:id="rId167" xr:uid="{00000000-0004-0000-0000-0000A6000000}"/>
    <hyperlink ref="B86" r:id="rId168" xr:uid="{00000000-0004-0000-0000-0000A7000000}"/>
    <hyperlink ref="A87" r:id="rId169" xr:uid="{00000000-0004-0000-0000-0000A8000000}"/>
    <hyperlink ref="B87" r:id="rId170" xr:uid="{00000000-0004-0000-0000-0000A9000000}"/>
    <hyperlink ref="A88" r:id="rId171" xr:uid="{00000000-0004-0000-0000-0000AA000000}"/>
    <hyperlink ref="B88" r:id="rId172" xr:uid="{00000000-0004-0000-0000-0000AB000000}"/>
    <hyperlink ref="A89" r:id="rId173" xr:uid="{00000000-0004-0000-0000-0000AC000000}"/>
    <hyperlink ref="B89" r:id="rId174" xr:uid="{00000000-0004-0000-0000-0000AD000000}"/>
    <hyperlink ref="A90" r:id="rId175" xr:uid="{00000000-0004-0000-0000-0000AE000000}"/>
    <hyperlink ref="B90" r:id="rId176" xr:uid="{00000000-0004-0000-0000-0000AF000000}"/>
    <hyperlink ref="A91" r:id="rId177" xr:uid="{00000000-0004-0000-0000-0000B0000000}"/>
    <hyperlink ref="B91" r:id="rId178" xr:uid="{00000000-0004-0000-0000-0000B1000000}"/>
    <hyperlink ref="A92" r:id="rId179" xr:uid="{00000000-0004-0000-0000-0000B2000000}"/>
    <hyperlink ref="B92" r:id="rId180" xr:uid="{00000000-0004-0000-0000-0000B3000000}"/>
    <hyperlink ref="A93" r:id="rId181" xr:uid="{00000000-0004-0000-0000-0000B4000000}"/>
    <hyperlink ref="B93" r:id="rId182" xr:uid="{00000000-0004-0000-0000-0000B5000000}"/>
    <hyperlink ref="A94" r:id="rId183" xr:uid="{00000000-0004-0000-0000-0000B6000000}"/>
    <hyperlink ref="B94" r:id="rId184" xr:uid="{00000000-0004-0000-0000-0000B7000000}"/>
    <hyperlink ref="A95" r:id="rId185" xr:uid="{00000000-0004-0000-0000-0000B8000000}"/>
    <hyperlink ref="B95" r:id="rId186" xr:uid="{00000000-0004-0000-0000-0000B9000000}"/>
    <hyperlink ref="A96" r:id="rId187" xr:uid="{00000000-0004-0000-0000-0000BA000000}"/>
    <hyperlink ref="B96" r:id="rId188" xr:uid="{00000000-0004-0000-0000-0000BB000000}"/>
    <hyperlink ref="A97" r:id="rId189" xr:uid="{00000000-0004-0000-0000-0000BC000000}"/>
    <hyperlink ref="B97" r:id="rId190" xr:uid="{00000000-0004-0000-0000-0000BD000000}"/>
    <hyperlink ref="A98" r:id="rId191" xr:uid="{00000000-0004-0000-0000-0000BE000000}"/>
    <hyperlink ref="B98" r:id="rId192" xr:uid="{00000000-0004-0000-0000-0000BF000000}"/>
    <hyperlink ref="A99" r:id="rId193" xr:uid="{00000000-0004-0000-0000-0000C0000000}"/>
    <hyperlink ref="B99" r:id="rId194" xr:uid="{00000000-0004-0000-0000-0000C1000000}"/>
    <hyperlink ref="A100" r:id="rId195" xr:uid="{00000000-0004-0000-0000-0000C2000000}"/>
    <hyperlink ref="B100" r:id="rId196" xr:uid="{00000000-0004-0000-0000-0000C3000000}"/>
    <hyperlink ref="A101" r:id="rId197" xr:uid="{00000000-0004-0000-0000-0000C4000000}"/>
    <hyperlink ref="B101" r:id="rId198" xr:uid="{00000000-0004-0000-0000-0000C5000000}"/>
    <hyperlink ref="A102" r:id="rId199" xr:uid="{00000000-0004-0000-0000-0000C6000000}"/>
    <hyperlink ref="B102" r:id="rId200" xr:uid="{00000000-0004-0000-0000-0000C7000000}"/>
    <hyperlink ref="A103" r:id="rId201" xr:uid="{00000000-0004-0000-0000-0000C8000000}"/>
    <hyperlink ref="B103" r:id="rId202" xr:uid="{00000000-0004-0000-0000-0000C9000000}"/>
    <hyperlink ref="A104" r:id="rId203" xr:uid="{00000000-0004-0000-0000-0000CA000000}"/>
    <hyperlink ref="B104" r:id="rId204" xr:uid="{00000000-0004-0000-0000-0000CB000000}"/>
    <hyperlink ref="A105" r:id="rId205" xr:uid="{00000000-0004-0000-0000-0000CC000000}"/>
    <hyperlink ref="B105" r:id="rId206" xr:uid="{00000000-0004-0000-0000-0000CD000000}"/>
    <hyperlink ref="A106" r:id="rId207" xr:uid="{00000000-0004-0000-0000-0000CE000000}"/>
    <hyperlink ref="B106" r:id="rId208" xr:uid="{00000000-0004-0000-0000-0000CF000000}"/>
    <hyperlink ref="A107" r:id="rId209" xr:uid="{00000000-0004-0000-0000-0000D0000000}"/>
    <hyperlink ref="B107" r:id="rId210" xr:uid="{00000000-0004-0000-0000-0000D1000000}"/>
    <hyperlink ref="A108" r:id="rId211" xr:uid="{00000000-0004-0000-0000-0000D2000000}"/>
    <hyperlink ref="B108" r:id="rId212" xr:uid="{00000000-0004-0000-0000-0000D3000000}"/>
    <hyperlink ref="A109" r:id="rId213" xr:uid="{00000000-0004-0000-0000-0000D4000000}"/>
    <hyperlink ref="B109" r:id="rId214" xr:uid="{00000000-0004-0000-0000-0000D5000000}"/>
    <hyperlink ref="A110" r:id="rId215" xr:uid="{00000000-0004-0000-0000-0000D6000000}"/>
    <hyperlink ref="B110" r:id="rId216" xr:uid="{00000000-0004-0000-0000-0000D7000000}"/>
    <hyperlink ref="A111" r:id="rId217" xr:uid="{00000000-0004-0000-0000-0000D8000000}"/>
    <hyperlink ref="B111" r:id="rId218" xr:uid="{00000000-0004-0000-0000-0000D9000000}"/>
    <hyperlink ref="A112" r:id="rId219" xr:uid="{00000000-0004-0000-0000-0000DA000000}"/>
    <hyperlink ref="B112" r:id="rId220" xr:uid="{00000000-0004-0000-0000-0000DB000000}"/>
    <hyperlink ref="A113" r:id="rId221" xr:uid="{00000000-0004-0000-0000-0000DC000000}"/>
    <hyperlink ref="B113" r:id="rId222" xr:uid="{00000000-0004-0000-0000-0000DD000000}"/>
    <hyperlink ref="A114" r:id="rId223" xr:uid="{00000000-0004-0000-0000-0000DE000000}"/>
    <hyperlink ref="B114" r:id="rId224" xr:uid="{00000000-0004-0000-0000-0000DF000000}"/>
    <hyperlink ref="A115" r:id="rId225" xr:uid="{00000000-0004-0000-0000-0000E0000000}"/>
    <hyperlink ref="B115" r:id="rId226" xr:uid="{00000000-0004-0000-0000-0000E1000000}"/>
    <hyperlink ref="A116" r:id="rId227" xr:uid="{00000000-0004-0000-0000-0000E2000000}"/>
    <hyperlink ref="B116" r:id="rId228" xr:uid="{00000000-0004-0000-0000-0000E3000000}"/>
    <hyperlink ref="A117" r:id="rId229" xr:uid="{00000000-0004-0000-0000-0000E4000000}"/>
    <hyperlink ref="B117" r:id="rId230" xr:uid="{00000000-0004-0000-0000-0000E5000000}"/>
    <hyperlink ref="A118" r:id="rId231" xr:uid="{00000000-0004-0000-0000-0000E6000000}"/>
    <hyperlink ref="B118" r:id="rId232" xr:uid="{00000000-0004-0000-0000-0000E7000000}"/>
    <hyperlink ref="A119" r:id="rId233" xr:uid="{00000000-0004-0000-0000-0000E8000000}"/>
    <hyperlink ref="B119" r:id="rId234" xr:uid="{00000000-0004-0000-0000-0000E9000000}"/>
    <hyperlink ref="A120" r:id="rId235" xr:uid="{00000000-0004-0000-0000-0000EA000000}"/>
    <hyperlink ref="B120" r:id="rId236" xr:uid="{00000000-0004-0000-0000-0000EB000000}"/>
    <hyperlink ref="A121" r:id="rId237" xr:uid="{00000000-0004-0000-0000-0000EC000000}"/>
    <hyperlink ref="B121" r:id="rId238" xr:uid="{00000000-0004-0000-0000-0000ED000000}"/>
    <hyperlink ref="A122" r:id="rId239" xr:uid="{00000000-0004-0000-0000-0000EE000000}"/>
    <hyperlink ref="B122" r:id="rId240" xr:uid="{00000000-0004-0000-0000-0000EF000000}"/>
    <hyperlink ref="A123" r:id="rId241" xr:uid="{00000000-0004-0000-0000-0000F0000000}"/>
    <hyperlink ref="B123" r:id="rId242" xr:uid="{00000000-0004-0000-0000-0000F1000000}"/>
    <hyperlink ref="A124" r:id="rId243" xr:uid="{00000000-0004-0000-0000-0000F2000000}"/>
    <hyperlink ref="B124" r:id="rId244" xr:uid="{00000000-0004-0000-0000-0000F3000000}"/>
    <hyperlink ref="A125" r:id="rId245" xr:uid="{00000000-0004-0000-0000-0000F4000000}"/>
    <hyperlink ref="B125" r:id="rId246" xr:uid="{00000000-0004-0000-0000-0000F5000000}"/>
    <hyperlink ref="A126" r:id="rId247" xr:uid="{00000000-0004-0000-0000-0000F6000000}"/>
    <hyperlink ref="B126" r:id="rId248" xr:uid="{00000000-0004-0000-0000-0000F7000000}"/>
    <hyperlink ref="A127" r:id="rId249" xr:uid="{00000000-0004-0000-0000-0000F8000000}"/>
    <hyperlink ref="B127" r:id="rId250" xr:uid="{00000000-0004-0000-0000-0000F9000000}"/>
    <hyperlink ref="A128" r:id="rId251" xr:uid="{00000000-0004-0000-0000-0000FA000000}"/>
    <hyperlink ref="B128" r:id="rId252" xr:uid="{00000000-0004-0000-0000-0000FB000000}"/>
    <hyperlink ref="A129" r:id="rId253" xr:uid="{00000000-0004-0000-0000-0000FC000000}"/>
    <hyperlink ref="B129" r:id="rId254" xr:uid="{00000000-0004-0000-0000-0000FD000000}"/>
    <hyperlink ref="A130" r:id="rId255" xr:uid="{00000000-0004-0000-0000-0000FE000000}"/>
    <hyperlink ref="B130" r:id="rId256" xr:uid="{00000000-0004-0000-0000-0000FF000000}"/>
    <hyperlink ref="A131" r:id="rId257" xr:uid="{00000000-0004-0000-0000-000000010000}"/>
    <hyperlink ref="B131" r:id="rId258" xr:uid="{00000000-0004-0000-0000-000001010000}"/>
    <hyperlink ref="A132" r:id="rId259" xr:uid="{00000000-0004-0000-0000-000002010000}"/>
    <hyperlink ref="B132" r:id="rId260" xr:uid="{00000000-0004-0000-0000-000003010000}"/>
    <hyperlink ref="A133" r:id="rId261" xr:uid="{00000000-0004-0000-0000-000004010000}"/>
    <hyperlink ref="B133" r:id="rId262" xr:uid="{00000000-0004-0000-0000-000005010000}"/>
    <hyperlink ref="A134" r:id="rId263" xr:uid="{00000000-0004-0000-0000-000006010000}"/>
    <hyperlink ref="B134" r:id="rId264" xr:uid="{00000000-0004-0000-0000-000007010000}"/>
    <hyperlink ref="A135" r:id="rId265" xr:uid="{00000000-0004-0000-0000-000008010000}"/>
    <hyperlink ref="B135" r:id="rId266" xr:uid="{00000000-0004-0000-0000-000009010000}"/>
    <hyperlink ref="A136" r:id="rId267" xr:uid="{00000000-0004-0000-0000-00000A010000}"/>
    <hyperlink ref="B136" r:id="rId268" xr:uid="{00000000-0004-0000-0000-00000B010000}"/>
    <hyperlink ref="A137" r:id="rId269" xr:uid="{00000000-0004-0000-0000-00000C010000}"/>
    <hyperlink ref="B137" r:id="rId270" xr:uid="{00000000-0004-0000-0000-00000D010000}"/>
    <hyperlink ref="A138" r:id="rId271" xr:uid="{00000000-0004-0000-0000-00000E010000}"/>
    <hyperlink ref="B138" r:id="rId272" xr:uid="{00000000-0004-0000-0000-00000F010000}"/>
    <hyperlink ref="A139" r:id="rId273" xr:uid="{00000000-0004-0000-0000-000010010000}"/>
    <hyperlink ref="B139" r:id="rId274" xr:uid="{00000000-0004-0000-0000-000011010000}"/>
    <hyperlink ref="A140" r:id="rId275" xr:uid="{00000000-0004-0000-0000-000012010000}"/>
    <hyperlink ref="B140" r:id="rId276" xr:uid="{00000000-0004-0000-0000-000013010000}"/>
    <hyperlink ref="A141" r:id="rId277" xr:uid="{00000000-0004-0000-0000-000014010000}"/>
    <hyperlink ref="B141" r:id="rId278" xr:uid="{00000000-0004-0000-0000-000015010000}"/>
    <hyperlink ref="A142" r:id="rId279" xr:uid="{00000000-0004-0000-0000-000016010000}"/>
    <hyperlink ref="B142" r:id="rId280" xr:uid="{00000000-0004-0000-0000-000017010000}"/>
    <hyperlink ref="A143" r:id="rId281" xr:uid="{00000000-0004-0000-0000-000018010000}"/>
    <hyperlink ref="B143" r:id="rId282" xr:uid="{00000000-0004-0000-0000-000019010000}"/>
    <hyperlink ref="A144" r:id="rId283" xr:uid="{00000000-0004-0000-0000-00001A010000}"/>
    <hyperlink ref="B144" r:id="rId284" xr:uid="{00000000-0004-0000-0000-00001B010000}"/>
    <hyperlink ref="A145" r:id="rId285" xr:uid="{00000000-0004-0000-0000-00001C010000}"/>
    <hyperlink ref="B145" r:id="rId286" xr:uid="{00000000-0004-0000-0000-00001D010000}"/>
    <hyperlink ref="A146" r:id="rId287" xr:uid="{00000000-0004-0000-0000-00001E010000}"/>
    <hyperlink ref="B146" r:id="rId288" xr:uid="{00000000-0004-0000-0000-00001F010000}"/>
    <hyperlink ref="A147" r:id="rId289" xr:uid="{00000000-0004-0000-0000-000020010000}"/>
    <hyperlink ref="B147" r:id="rId290" xr:uid="{00000000-0004-0000-0000-000021010000}"/>
    <hyperlink ref="A148" r:id="rId291" xr:uid="{00000000-0004-0000-0000-000022010000}"/>
    <hyperlink ref="B148" r:id="rId292" xr:uid="{00000000-0004-0000-0000-000023010000}"/>
    <hyperlink ref="A149" r:id="rId293" xr:uid="{00000000-0004-0000-0000-000024010000}"/>
    <hyperlink ref="B149" r:id="rId294" xr:uid="{00000000-0004-0000-0000-000025010000}"/>
    <hyperlink ref="A150" r:id="rId295" xr:uid="{00000000-0004-0000-0000-000026010000}"/>
    <hyperlink ref="B150" r:id="rId296" xr:uid="{00000000-0004-0000-0000-000027010000}"/>
    <hyperlink ref="A151" r:id="rId297" xr:uid="{00000000-0004-0000-0000-000028010000}"/>
    <hyperlink ref="B151" r:id="rId298" xr:uid="{00000000-0004-0000-0000-000029010000}"/>
    <hyperlink ref="A152" r:id="rId299" xr:uid="{00000000-0004-0000-0000-00002A010000}"/>
    <hyperlink ref="B152" r:id="rId300" xr:uid="{00000000-0004-0000-0000-00002B010000}"/>
    <hyperlink ref="A153" r:id="rId301" xr:uid="{00000000-0004-0000-0000-00002C010000}"/>
    <hyperlink ref="B153" r:id="rId302" xr:uid="{00000000-0004-0000-0000-00002D010000}"/>
    <hyperlink ref="A154" r:id="rId303" xr:uid="{00000000-0004-0000-0000-00002E010000}"/>
    <hyperlink ref="B154" r:id="rId304" xr:uid="{00000000-0004-0000-0000-00002F010000}"/>
    <hyperlink ref="A155" r:id="rId305" xr:uid="{00000000-0004-0000-0000-000030010000}"/>
    <hyperlink ref="B155" r:id="rId306" xr:uid="{00000000-0004-0000-0000-000031010000}"/>
    <hyperlink ref="A156" r:id="rId307" xr:uid="{00000000-0004-0000-0000-000032010000}"/>
    <hyperlink ref="B156" r:id="rId308" xr:uid="{00000000-0004-0000-0000-000033010000}"/>
    <hyperlink ref="A157" r:id="rId309" xr:uid="{00000000-0004-0000-0000-000034010000}"/>
    <hyperlink ref="B157" r:id="rId310" xr:uid="{00000000-0004-0000-0000-000035010000}"/>
    <hyperlink ref="A158" r:id="rId311" xr:uid="{00000000-0004-0000-0000-000036010000}"/>
    <hyperlink ref="B158" r:id="rId312" xr:uid="{00000000-0004-0000-0000-000037010000}"/>
    <hyperlink ref="A159" r:id="rId313" xr:uid="{00000000-0004-0000-0000-000038010000}"/>
    <hyperlink ref="B159" r:id="rId314" xr:uid="{00000000-0004-0000-0000-000039010000}"/>
    <hyperlink ref="A160" r:id="rId315" xr:uid="{00000000-0004-0000-0000-00003A010000}"/>
    <hyperlink ref="B160" r:id="rId316" xr:uid="{00000000-0004-0000-0000-00003B010000}"/>
    <hyperlink ref="A161" r:id="rId317" xr:uid="{00000000-0004-0000-0000-00003C010000}"/>
    <hyperlink ref="B161" r:id="rId318" xr:uid="{00000000-0004-0000-0000-00003D010000}"/>
    <hyperlink ref="A162" r:id="rId319" xr:uid="{00000000-0004-0000-0000-00003E010000}"/>
    <hyperlink ref="B162" r:id="rId320" xr:uid="{00000000-0004-0000-0000-00003F010000}"/>
    <hyperlink ref="A163" r:id="rId321" xr:uid="{00000000-0004-0000-0000-000040010000}"/>
    <hyperlink ref="B163" r:id="rId322" xr:uid="{00000000-0004-0000-0000-000041010000}"/>
    <hyperlink ref="A164" r:id="rId323" xr:uid="{00000000-0004-0000-0000-000042010000}"/>
    <hyperlink ref="B164" r:id="rId324" xr:uid="{00000000-0004-0000-0000-000043010000}"/>
    <hyperlink ref="A165" r:id="rId325" xr:uid="{00000000-0004-0000-0000-000044010000}"/>
    <hyperlink ref="B165" r:id="rId326" xr:uid="{00000000-0004-0000-0000-000045010000}"/>
    <hyperlink ref="A166" r:id="rId327" xr:uid="{00000000-0004-0000-0000-000046010000}"/>
    <hyperlink ref="B166" r:id="rId328" xr:uid="{00000000-0004-0000-0000-000047010000}"/>
    <hyperlink ref="A167" r:id="rId329" xr:uid="{00000000-0004-0000-0000-000048010000}"/>
    <hyperlink ref="B167" r:id="rId330" xr:uid="{00000000-0004-0000-0000-000049010000}"/>
    <hyperlink ref="A168" r:id="rId331" xr:uid="{00000000-0004-0000-0000-00004A010000}"/>
    <hyperlink ref="B168" r:id="rId332" xr:uid="{00000000-0004-0000-0000-00004B010000}"/>
    <hyperlink ref="A169" r:id="rId333" xr:uid="{00000000-0004-0000-0000-00004C010000}"/>
    <hyperlink ref="B169" r:id="rId334" xr:uid="{00000000-0004-0000-0000-00004D010000}"/>
    <hyperlink ref="A170" r:id="rId335" xr:uid="{00000000-0004-0000-0000-00004E010000}"/>
    <hyperlink ref="B170" r:id="rId336" xr:uid="{00000000-0004-0000-0000-00004F010000}"/>
    <hyperlink ref="A171" r:id="rId337" xr:uid="{00000000-0004-0000-0000-000050010000}"/>
    <hyperlink ref="B171" r:id="rId338" xr:uid="{00000000-0004-0000-0000-000051010000}"/>
    <hyperlink ref="A172" r:id="rId339" xr:uid="{00000000-0004-0000-0000-000052010000}"/>
    <hyperlink ref="B172" r:id="rId340" xr:uid="{00000000-0004-0000-0000-000053010000}"/>
    <hyperlink ref="A173" r:id="rId341" xr:uid="{00000000-0004-0000-0000-000054010000}"/>
    <hyperlink ref="B173" r:id="rId342" xr:uid="{00000000-0004-0000-0000-000055010000}"/>
    <hyperlink ref="A174" r:id="rId343" xr:uid="{00000000-0004-0000-0000-000056010000}"/>
    <hyperlink ref="B174" r:id="rId344" xr:uid="{00000000-0004-0000-0000-000057010000}"/>
    <hyperlink ref="A175" r:id="rId345" xr:uid="{00000000-0004-0000-0000-000058010000}"/>
    <hyperlink ref="B175" r:id="rId346" xr:uid="{00000000-0004-0000-0000-000059010000}"/>
    <hyperlink ref="A176" r:id="rId347" xr:uid="{00000000-0004-0000-0000-00005A010000}"/>
    <hyperlink ref="B176" r:id="rId348" xr:uid="{00000000-0004-0000-0000-00005B010000}"/>
    <hyperlink ref="A177" r:id="rId349" xr:uid="{00000000-0004-0000-0000-00005C010000}"/>
    <hyperlink ref="B177" r:id="rId350" xr:uid="{00000000-0004-0000-0000-00005D010000}"/>
    <hyperlink ref="A178" r:id="rId351" xr:uid="{00000000-0004-0000-0000-00005E010000}"/>
    <hyperlink ref="B178" r:id="rId352" xr:uid="{00000000-0004-0000-0000-00005F010000}"/>
    <hyperlink ref="A179" r:id="rId353" xr:uid="{00000000-0004-0000-0000-000060010000}"/>
    <hyperlink ref="B179" r:id="rId354" xr:uid="{00000000-0004-0000-0000-000061010000}"/>
    <hyperlink ref="A180" r:id="rId355" xr:uid="{00000000-0004-0000-0000-000062010000}"/>
    <hyperlink ref="B180" r:id="rId356" xr:uid="{00000000-0004-0000-0000-000063010000}"/>
    <hyperlink ref="A181" r:id="rId357" xr:uid="{00000000-0004-0000-0000-000064010000}"/>
    <hyperlink ref="B181" r:id="rId358" xr:uid="{00000000-0004-0000-0000-000065010000}"/>
    <hyperlink ref="A182" r:id="rId359" xr:uid="{00000000-0004-0000-0000-000066010000}"/>
    <hyperlink ref="B182" r:id="rId360" xr:uid="{00000000-0004-0000-0000-000067010000}"/>
    <hyperlink ref="A183" r:id="rId361" xr:uid="{00000000-0004-0000-0000-000068010000}"/>
    <hyperlink ref="B183" r:id="rId362" xr:uid="{00000000-0004-0000-0000-000069010000}"/>
    <hyperlink ref="A184" r:id="rId363" xr:uid="{00000000-0004-0000-0000-00006A010000}"/>
    <hyperlink ref="B184" r:id="rId364" xr:uid="{00000000-0004-0000-0000-00006B010000}"/>
    <hyperlink ref="A185" r:id="rId365" xr:uid="{00000000-0004-0000-0000-00006C010000}"/>
    <hyperlink ref="B185" r:id="rId366" xr:uid="{00000000-0004-0000-0000-00006D010000}"/>
    <hyperlink ref="A186" r:id="rId367" xr:uid="{00000000-0004-0000-0000-00006E010000}"/>
    <hyperlink ref="B186" r:id="rId368" xr:uid="{00000000-0004-0000-0000-00006F010000}"/>
    <hyperlink ref="A187" r:id="rId369" xr:uid="{00000000-0004-0000-0000-000070010000}"/>
    <hyperlink ref="B187" r:id="rId370" xr:uid="{00000000-0004-0000-0000-000071010000}"/>
    <hyperlink ref="A188" r:id="rId371" xr:uid="{00000000-0004-0000-0000-000072010000}"/>
    <hyperlink ref="B188" r:id="rId372" xr:uid="{00000000-0004-0000-0000-000073010000}"/>
    <hyperlink ref="A189" r:id="rId373" xr:uid="{00000000-0004-0000-0000-000074010000}"/>
    <hyperlink ref="B189" r:id="rId374" xr:uid="{00000000-0004-0000-0000-000075010000}"/>
    <hyperlink ref="A190" r:id="rId375" xr:uid="{00000000-0004-0000-0000-000076010000}"/>
    <hyperlink ref="B190" r:id="rId376" xr:uid="{00000000-0004-0000-0000-000077010000}"/>
    <hyperlink ref="A191" r:id="rId377" xr:uid="{00000000-0004-0000-0000-000078010000}"/>
    <hyperlink ref="B191" r:id="rId378" xr:uid="{00000000-0004-0000-0000-000079010000}"/>
    <hyperlink ref="A192" r:id="rId379" xr:uid="{00000000-0004-0000-0000-00007A010000}"/>
    <hyperlink ref="B192" r:id="rId380" xr:uid="{00000000-0004-0000-0000-00007B010000}"/>
    <hyperlink ref="A193" r:id="rId381" xr:uid="{00000000-0004-0000-0000-00007C010000}"/>
    <hyperlink ref="B193" r:id="rId382" xr:uid="{00000000-0004-0000-0000-00007D010000}"/>
    <hyperlink ref="A194" r:id="rId383" xr:uid="{00000000-0004-0000-0000-00007E010000}"/>
    <hyperlink ref="B194" r:id="rId384" xr:uid="{00000000-0004-0000-0000-00007F010000}"/>
    <hyperlink ref="A195" r:id="rId385" xr:uid="{00000000-0004-0000-0000-000080010000}"/>
    <hyperlink ref="B195" r:id="rId386" xr:uid="{00000000-0004-0000-0000-000081010000}"/>
    <hyperlink ref="A196" r:id="rId387" xr:uid="{00000000-0004-0000-0000-000082010000}"/>
    <hyperlink ref="B196" r:id="rId388" xr:uid="{00000000-0004-0000-0000-000083010000}"/>
    <hyperlink ref="A197" r:id="rId389" xr:uid="{00000000-0004-0000-0000-000084010000}"/>
    <hyperlink ref="B197" r:id="rId390" xr:uid="{00000000-0004-0000-0000-000085010000}"/>
    <hyperlink ref="A198" r:id="rId391" xr:uid="{00000000-0004-0000-0000-000086010000}"/>
    <hyperlink ref="B198" r:id="rId392" xr:uid="{00000000-0004-0000-0000-000087010000}"/>
    <hyperlink ref="A199" r:id="rId393" xr:uid="{00000000-0004-0000-0000-000088010000}"/>
    <hyperlink ref="B199" r:id="rId394" xr:uid="{00000000-0004-0000-0000-000089010000}"/>
    <hyperlink ref="A200" r:id="rId395" xr:uid="{00000000-0004-0000-0000-00008A010000}"/>
    <hyperlink ref="B200" r:id="rId396" xr:uid="{00000000-0004-0000-0000-00008B010000}"/>
    <hyperlink ref="A201" r:id="rId397" xr:uid="{00000000-0004-0000-0000-00008C010000}"/>
    <hyperlink ref="B201" r:id="rId398" xr:uid="{00000000-0004-0000-0000-00008D010000}"/>
    <hyperlink ref="A202" r:id="rId399" xr:uid="{00000000-0004-0000-0000-00008E010000}"/>
    <hyperlink ref="B202" r:id="rId400" xr:uid="{00000000-0004-0000-0000-00008F010000}"/>
    <hyperlink ref="A203" r:id="rId401" xr:uid="{00000000-0004-0000-0000-000090010000}"/>
    <hyperlink ref="B203" r:id="rId402" xr:uid="{00000000-0004-0000-0000-000091010000}"/>
    <hyperlink ref="A204" r:id="rId403" xr:uid="{00000000-0004-0000-0000-000092010000}"/>
    <hyperlink ref="B204" r:id="rId404" xr:uid="{00000000-0004-0000-0000-000093010000}"/>
    <hyperlink ref="A205" r:id="rId405" xr:uid="{00000000-0004-0000-0000-000094010000}"/>
    <hyperlink ref="B205" r:id="rId406" xr:uid="{00000000-0004-0000-0000-000095010000}"/>
    <hyperlink ref="A206" r:id="rId407" xr:uid="{00000000-0004-0000-0000-000096010000}"/>
    <hyperlink ref="B206" r:id="rId408" xr:uid="{00000000-0004-0000-0000-000097010000}"/>
    <hyperlink ref="A207" r:id="rId409" xr:uid="{00000000-0004-0000-0000-000098010000}"/>
    <hyperlink ref="B207" r:id="rId410" xr:uid="{00000000-0004-0000-0000-000099010000}"/>
    <hyperlink ref="A208" r:id="rId411" xr:uid="{00000000-0004-0000-0000-00009A010000}"/>
    <hyperlink ref="B208" r:id="rId412" xr:uid="{00000000-0004-0000-0000-00009B010000}"/>
    <hyperlink ref="A209" r:id="rId413" xr:uid="{00000000-0004-0000-0000-00009C010000}"/>
    <hyperlink ref="B209" r:id="rId414" xr:uid="{00000000-0004-0000-0000-00009D010000}"/>
    <hyperlink ref="A210" r:id="rId415" xr:uid="{00000000-0004-0000-0000-00009E010000}"/>
    <hyperlink ref="B210" r:id="rId416" xr:uid="{00000000-0004-0000-0000-00009F010000}"/>
    <hyperlink ref="A211" r:id="rId417" xr:uid="{00000000-0004-0000-0000-0000A0010000}"/>
    <hyperlink ref="B211" r:id="rId418" xr:uid="{00000000-0004-0000-0000-0000A1010000}"/>
    <hyperlink ref="A212" r:id="rId419" xr:uid="{00000000-0004-0000-0000-0000A2010000}"/>
    <hyperlink ref="B212" r:id="rId420" xr:uid="{00000000-0004-0000-0000-0000A3010000}"/>
    <hyperlink ref="A213" r:id="rId421" xr:uid="{00000000-0004-0000-0000-0000A4010000}"/>
    <hyperlink ref="B213" r:id="rId422" xr:uid="{00000000-0004-0000-0000-0000A5010000}"/>
    <hyperlink ref="A214" r:id="rId423" xr:uid="{00000000-0004-0000-0000-0000A6010000}"/>
    <hyperlink ref="B214" r:id="rId424" xr:uid="{00000000-0004-0000-0000-0000A7010000}"/>
    <hyperlink ref="A215" r:id="rId425" xr:uid="{00000000-0004-0000-0000-0000A8010000}"/>
    <hyperlink ref="B215" r:id="rId426" xr:uid="{00000000-0004-0000-0000-0000A9010000}"/>
    <hyperlink ref="A216" r:id="rId427" xr:uid="{00000000-0004-0000-0000-0000AA010000}"/>
    <hyperlink ref="B216" r:id="rId428" xr:uid="{00000000-0004-0000-0000-0000AB010000}"/>
    <hyperlink ref="A217" r:id="rId429" xr:uid="{00000000-0004-0000-0000-0000AC010000}"/>
    <hyperlink ref="B217" r:id="rId430" xr:uid="{00000000-0004-0000-0000-0000AD010000}"/>
    <hyperlink ref="A218" r:id="rId431" xr:uid="{00000000-0004-0000-0000-0000AE010000}"/>
    <hyperlink ref="B218" r:id="rId432" xr:uid="{00000000-0004-0000-0000-0000AF010000}"/>
    <hyperlink ref="A219" r:id="rId433" xr:uid="{00000000-0004-0000-0000-0000B0010000}"/>
    <hyperlink ref="B219" r:id="rId434" xr:uid="{00000000-0004-0000-0000-0000B1010000}"/>
    <hyperlink ref="A220" r:id="rId435" xr:uid="{00000000-0004-0000-0000-0000B2010000}"/>
    <hyperlink ref="B220" r:id="rId436" xr:uid="{00000000-0004-0000-0000-0000B3010000}"/>
    <hyperlink ref="A221" r:id="rId437" xr:uid="{00000000-0004-0000-0000-0000B4010000}"/>
    <hyperlink ref="B221" r:id="rId438" xr:uid="{00000000-0004-0000-0000-0000B5010000}"/>
    <hyperlink ref="A222" r:id="rId439" xr:uid="{00000000-0004-0000-0000-0000B6010000}"/>
    <hyperlink ref="B222" r:id="rId440" xr:uid="{00000000-0004-0000-0000-0000B7010000}"/>
    <hyperlink ref="A223" r:id="rId441" xr:uid="{00000000-0004-0000-0000-0000B8010000}"/>
    <hyperlink ref="B223" r:id="rId442" xr:uid="{00000000-0004-0000-0000-0000B9010000}"/>
    <hyperlink ref="A224" r:id="rId443" xr:uid="{00000000-0004-0000-0000-0000BA010000}"/>
    <hyperlink ref="B224" r:id="rId444" xr:uid="{00000000-0004-0000-0000-0000BB010000}"/>
    <hyperlink ref="A225" r:id="rId445" xr:uid="{00000000-0004-0000-0000-0000BC010000}"/>
    <hyperlink ref="B225" r:id="rId446" xr:uid="{00000000-0004-0000-0000-0000BD010000}"/>
    <hyperlink ref="A226" r:id="rId447" xr:uid="{00000000-0004-0000-0000-0000BE010000}"/>
    <hyperlink ref="B226" r:id="rId448" xr:uid="{00000000-0004-0000-0000-0000BF010000}"/>
    <hyperlink ref="A227" r:id="rId449" xr:uid="{00000000-0004-0000-0000-0000C0010000}"/>
    <hyperlink ref="B227" r:id="rId450" xr:uid="{00000000-0004-0000-0000-0000C1010000}"/>
    <hyperlink ref="A228" r:id="rId451" xr:uid="{00000000-0004-0000-0000-0000C2010000}"/>
    <hyperlink ref="B228" r:id="rId452" xr:uid="{00000000-0004-0000-0000-0000C3010000}"/>
    <hyperlink ref="A229" r:id="rId453" xr:uid="{00000000-0004-0000-0000-0000C4010000}"/>
    <hyperlink ref="B229" r:id="rId454" xr:uid="{00000000-0004-0000-0000-0000C5010000}"/>
    <hyperlink ref="A230" r:id="rId455" xr:uid="{00000000-0004-0000-0000-0000C6010000}"/>
    <hyperlink ref="B230" r:id="rId456" xr:uid="{00000000-0004-0000-0000-0000C7010000}"/>
    <hyperlink ref="A231" r:id="rId457" xr:uid="{00000000-0004-0000-0000-0000C8010000}"/>
    <hyperlink ref="B231" r:id="rId458" xr:uid="{00000000-0004-0000-0000-0000C9010000}"/>
    <hyperlink ref="A232" r:id="rId459" xr:uid="{00000000-0004-0000-0000-0000CA010000}"/>
    <hyperlink ref="B232" r:id="rId460" xr:uid="{00000000-0004-0000-0000-0000CB010000}"/>
    <hyperlink ref="A233" r:id="rId461" xr:uid="{00000000-0004-0000-0000-0000CC010000}"/>
    <hyperlink ref="B233" r:id="rId462" xr:uid="{00000000-0004-0000-0000-0000CD010000}"/>
    <hyperlink ref="A234" r:id="rId463" xr:uid="{00000000-0004-0000-0000-0000CE010000}"/>
    <hyperlink ref="B234" r:id="rId464" xr:uid="{00000000-0004-0000-0000-0000CF010000}"/>
    <hyperlink ref="A235" r:id="rId465" xr:uid="{00000000-0004-0000-0000-0000D0010000}"/>
    <hyperlink ref="B235" r:id="rId466" xr:uid="{00000000-0004-0000-0000-0000D1010000}"/>
    <hyperlink ref="A236" r:id="rId467" xr:uid="{00000000-0004-0000-0000-0000D2010000}"/>
    <hyperlink ref="B236" r:id="rId468" xr:uid="{00000000-0004-0000-0000-0000D3010000}"/>
    <hyperlink ref="A237" r:id="rId469" xr:uid="{00000000-0004-0000-0000-0000D4010000}"/>
    <hyperlink ref="B237" r:id="rId470" xr:uid="{00000000-0004-0000-0000-0000D5010000}"/>
    <hyperlink ref="A238" r:id="rId471" xr:uid="{00000000-0004-0000-0000-0000D6010000}"/>
    <hyperlink ref="B238" r:id="rId472" xr:uid="{00000000-0004-0000-0000-0000D7010000}"/>
    <hyperlink ref="A239" r:id="rId473" xr:uid="{00000000-0004-0000-0000-0000D8010000}"/>
    <hyperlink ref="B239" r:id="rId474" xr:uid="{00000000-0004-0000-0000-0000D9010000}"/>
    <hyperlink ref="A240" r:id="rId475" xr:uid="{00000000-0004-0000-0000-0000DA010000}"/>
    <hyperlink ref="B240" r:id="rId476" xr:uid="{00000000-0004-0000-0000-0000DB010000}"/>
    <hyperlink ref="A241" r:id="rId477" xr:uid="{00000000-0004-0000-0000-0000DC010000}"/>
    <hyperlink ref="B241" r:id="rId478" xr:uid="{00000000-0004-0000-0000-0000DD010000}"/>
    <hyperlink ref="A242" r:id="rId479" xr:uid="{00000000-0004-0000-0000-0000DE010000}"/>
    <hyperlink ref="B242" r:id="rId480" xr:uid="{00000000-0004-0000-0000-0000DF010000}"/>
    <hyperlink ref="A243" r:id="rId481" xr:uid="{00000000-0004-0000-0000-0000E0010000}"/>
    <hyperlink ref="B243" r:id="rId482" xr:uid="{00000000-0004-0000-0000-0000E1010000}"/>
    <hyperlink ref="A244" r:id="rId483" xr:uid="{00000000-0004-0000-0000-0000E2010000}"/>
    <hyperlink ref="B244" r:id="rId484" xr:uid="{00000000-0004-0000-0000-0000E3010000}"/>
    <hyperlink ref="A245" r:id="rId485" xr:uid="{00000000-0004-0000-0000-0000E4010000}"/>
    <hyperlink ref="B245" r:id="rId486" xr:uid="{00000000-0004-0000-0000-0000E5010000}"/>
    <hyperlink ref="A246" r:id="rId487" xr:uid="{00000000-0004-0000-0000-0000E6010000}"/>
    <hyperlink ref="B246" r:id="rId488" xr:uid="{00000000-0004-0000-0000-0000E7010000}"/>
    <hyperlink ref="A247" r:id="rId489" xr:uid="{00000000-0004-0000-0000-0000E8010000}"/>
    <hyperlink ref="B247" r:id="rId490" xr:uid="{00000000-0004-0000-0000-0000E9010000}"/>
    <hyperlink ref="A248" r:id="rId491" xr:uid="{00000000-0004-0000-0000-0000EA010000}"/>
    <hyperlink ref="B248" r:id="rId492" xr:uid="{00000000-0004-0000-0000-0000EB010000}"/>
    <hyperlink ref="A249" r:id="rId493" xr:uid="{00000000-0004-0000-0000-0000EC010000}"/>
    <hyperlink ref="B249" r:id="rId494" xr:uid="{00000000-0004-0000-0000-0000ED010000}"/>
    <hyperlink ref="A250" r:id="rId495" xr:uid="{00000000-0004-0000-0000-0000EE010000}"/>
    <hyperlink ref="B250" r:id="rId496" xr:uid="{00000000-0004-0000-0000-0000EF010000}"/>
    <hyperlink ref="A251" r:id="rId497" xr:uid="{00000000-0004-0000-0000-0000F0010000}"/>
    <hyperlink ref="B251" r:id="rId498" xr:uid="{00000000-0004-0000-0000-0000F1010000}"/>
    <hyperlink ref="A252" r:id="rId499" xr:uid="{00000000-0004-0000-0000-0000F2010000}"/>
    <hyperlink ref="B252" r:id="rId500" xr:uid="{00000000-0004-0000-0000-0000F3010000}"/>
    <hyperlink ref="A253" r:id="rId501" xr:uid="{00000000-0004-0000-0000-0000F4010000}"/>
    <hyperlink ref="B253" r:id="rId502" xr:uid="{00000000-0004-0000-0000-0000F5010000}"/>
    <hyperlink ref="A254" r:id="rId503" xr:uid="{00000000-0004-0000-0000-0000F6010000}"/>
    <hyperlink ref="B254" r:id="rId504" xr:uid="{00000000-0004-0000-0000-0000F7010000}"/>
    <hyperlink ref="A255" r:id="rId505" xr:uid="{00000000-0004-0000-0000-0000F8010000}"/>
    <hyperlink ref="B255" r:id="rId506" xr:uid="{00000000-0004-0000-0000-0000F9010000}"/>
    <hyperlink ref="A256" r:id="rId507" xr:uid="{00000000-0004-0000-0000-0000FA010000}"/>
    <hyperlink ref="B256" r:id="rId508" xr:uid="{00000000-0004-0000-0000-0000FB010000}"/>
    <hyperlink ref="A257" r:id="rId509" xr:uid="{00000000-0004-0000-0000-0000FC010000}"/>
    <hyperlink ref="B257" r:id="rId510" xr:uid="{00000000-0004-0000-0000-0000FD010000}"/>
    <hyperlink ref="A258" r:id="rId511" xr:uid="{00000000-0004-0000-0000-0000FE010000}"/>
    <hyperlink ref="B258" r:id="rId512" xr:uid="{00000000-0004-0000-0000-0000FF010000}"/>
    <hyperlink ref="A259" r:id="rId513" xr:uid="{00000000-0004-0000-0000-000000020000}"/>
    <hyperlink ref="B259" r:id="rId514" xr:uid="{00000000-0004-0000-0000-000001020000}"/>
    <hyperlink ref="A260" r:id="rId515" xr:uid="{00000000-0004-0000-0000-000002020000}"/>
    <hyperlink ref="B260" r:id="rId516" xr:uid="{00000000-0004-0000-0000-000003020000}"/>
    <hyperlink ref="A261" r:id="rId517" xr:uid="{00000000-0004-0000-0000-000004020000}"/>
    <hyperlink ref="B261" r:id="rId518" xr:uid="{00000000-0004-0000-0000-000005020000}"/>
    <hyperlink ref="A262" r:id="rId519" xr:uid="{00000000-0004-0000-0000-000006020000}"/>
    <hyperlink ref="B262" r:id="rId520" xr:uid="{00000000-0004-0000-0000-000007020000}"/>
    <hyperlink ref="A263" r:id="rId521" xr:uid="{00000000-0004-0000-0000-000008020000}"/>
    <hyperlink ref="B263" r:id="rId522" xr:uid="{00000000-0004-0000-0000-000009020000}"/>
    <hyperlink ref="A264" r:id="rId523" xr:uid="{00000000-0004-0000-0000-00000A020000}"/>
    <hyperlink ref="B264" r:id="rId524" xr:uid="{00000000-0004-0000-0000-00000B020000}"/>
    <hyperlink ref="A265" r:id="rId525" xr:uid="{00000000-0004-0000-0000-00000C020000}"/>
    <hyperlink ref="B265" r:id="rId526" xr:uid="{00000000-0004-0000-0000-00000D020000}"/>
    <hyperlink ref="A266" r:id="rId527" xr:uid="{00000000-0004-0000-0000-00000E020000}"/>
    <hyperlink ref="B266" r:id="rId528" xr:uid="{00000000-0004-0000-0000-00000F020000}"/>
    <hyperlink ref="A267" r:id="rId529" xr:uid="{00000000-0004-0000-0000-000010020000}"/>
    <hyperlink ref="B267" r:id="rId530" xr:uid="{00000000-0004-0000-0000-000011020000}"/>
    <hyperlink ref="A268" r:id="rId531" xr:uid="{00000000-0004-0000-0000-000012020000}"/>
    <hyperlink ref="B268" r:id="rId532" xr:uid="{00000000-0004-0000-0000-000013020000}"/>
    <hyperlink ref="A269" r:id="rId533" xr:uid="{00000000-0004-0000-0000-000014020000}"/>
    <hyperlink ref="B269" r:id="rId534" xr:uid="{00000000-0004-0000-0000-000015020000}"/>
    <hyperlink ref="A270" r:id="rId535" xr:uid="{00000000-0004-0000-0000-000016020000}"/>
    <hyperlink ref="B270" r:id="rId536" xr:uid="{00000000-0004-0000-0000-000017020000}"/>
    <hyperlink ref="A271" r:id="rId537" xr:uid="{00000000-0004-0000-0000-000018020000}"/>
    <hyperlink ref="B271" r:id="rId538" xr:uid="{00000000-0004-0000-0000-000019020000}"/>
    <hyperlink ref="A272" r:id="rId539" xr:uid="{00000000-0004-0000-0000-00001A020000}"/>
    <hyperlink ref="B272" r:id="rId540" xr:uid="{00000000-0004-0000-0000-00001B020000}"/>
    <hyperlink ref="A273" r:id="rId541" xr:uid="{00000000-0004-0000-0000-00001C020000}"/>
    <hyperlink ref="B273" r:id="rId542" xr:uid="{00000000-0004-0000-0000-00001D020000}"/>
    <hyperlink ref="A274" r:id="rId543" xr:uid="{00000000-0004-0000-0000-00001E020000}"/>
    <hyperlink ref="B274" r:id="rId544" xr:uid="{00000000-0004-0000-0000-00001F020000}"/>
    <hyperlink ref="A275" r:id="rId545" xr:uid="{00000000-0004-0000-0000-000020020000}"/>
    <hyperlink ref="B275" r:id="rId546" xr:uid="{00000000-0004-0000-0000-000021020000}"/>
    <hyperlink ref="A276" r:id="rId547" xr:uid="{00000000-0004-0000-0000-000022020000}"/>
    <hyperlink ref="B276" r:id="rId548" xr:uid="{00000000-0004-0000-0000-000023020000}"/>
    <hyperlink ref="A277" r:id="rId549" xr:uid="{00000000-0004-0000-0000-000024020000}"/>
    <hyperlink ref="B277" r:id="rId550" xr:uid="{00000000-0004-0000-0000-000025020000}"/>
    <hyperlink ref="A278" r:id="rId551" xr:uid="{00000000-0004-0000-0000-000026020000}"/>
    <hyperlink ref="B278" r:id="rId552" xr:uid="{00000000-0004-0000-0000-000027020000}"/>
    <hyperlink ref="A279" r:id="rId553" xr:uid="{00000000-0004-0000-0000-000028020000}"/>
    <hyperlink ref="B279" r:id="rId554" xr:uid="{00000000-0004-0000-0000-000029020000}"/>
    <hyperlink ref="A280" r:id="rId555" xr:uid="{00000000-0004-0000-0000-00002A020000}"/>
    <hyperlink ref="B280" r:id="rId556" xr:uid="{00000000-0004-0000-0000-00002B020000}"/>
    <hyperlink ref="A281" r:id="rId557" xr:uid="{00000000-0004-0000-0000-00002C020000}"/>
    <hyperlink ref="B281" r:id="rId558" xr:uid="{00000000-0004-0000-0000-00002D020000}"/>
    <hyperlink ref="A282" r:id="rId559" xr:uid="{00000000-0004-0000-0000-00002E020000}"/>
    <hyperlink ref="B282" r:id="rId560" xr:uid="{00000000-0004-0000-0000-00002F020000}"/>
    <hyperlink ref="A283" r:id="rId561" xr:uid="{00000000-0004-0000-0000-000030020000}"/>
    <hyperlink ref="B283" r:id="rId562" xr:uid="{00000000-0004-0000-0000-000031020000}"/>
    <hyperlink ref="A284" r:id="rId563" xr:uid="{00000000-0004-0000-0000-000032020000}"/>
    <hyperlink ref="B284" r:id="rId564" xr:uid="{00000000-0004-0000-0000-000033020000}"/>
    <hyperlink ref="A285" r:id="rId565" xr:uid="{00000000-0004-0000-0000-000034020000}"/>
    <hyperlink ref="B285" r:id="rId566" xr:uid="{00000000-0004-0000-0000-000035020000}"/>
    <hyperlink ref="A286" r:id="rId567" xr:uid="{00000000-0004-0000-0000-000036020000}"/>
    <hyperlink ref="B286" r:id="rId568" xr:uid="{00000000-0004-0000-0000-000037020000}"/>
    <hyperlink ref="A287" r:id="rId569" xr:uid="{00000000-0004-0000-0000-000038020000}"/>
    <hyperlink ref="B287" r:id="rId570" xr:uid="{00000000-0004-0000-0000-000039020000}"/>
    <hyperlink ref="A288" r:id="rId571" xr:uid="{00000000-0004-0000-0000-00003A020000}"/>
    <hyperlink ref="B288" r:id="rId572" xr:uid="{00000000-0004-0000-0000-00003B020000}"/>
    <hyperlink ref="A289" r:id="rId573" xr:uid="{00000000-0004-0000-0000-00003C020000}"/>
    <hyperlink ref="B289" r:id="rId574" xr:uid="{00000000-0004-0000-0000-00003D020000}"/>
    <hyperlink ref="A290" r:id="rId575" xr:uid="{00000000-0004-0000-0000-00003E020000}"/>
    <hyperlink ref="B290" r:id="rId576" xr:uid="{00000000-0004-0000-0000-00003F020000}"/>
    <hyperlink ref="A291" r:id="rId577" xr:uid="{00000000-0004-0000-0000-000040020000}"/>
    <hyperlink ref="B291" r:id="rId578" xr:uid="{00000000-0004-0000-0000-000041020000}"/>
    <hyperlink ref="A292" r:id="rId579" xr:uid="{00000000-0004-0000-0000-000042020000}"/>
    <hyperlink ref="B292" r:id="rId580" xr:uid="{00000000-0004-0000-0000-000043020000}"/>
    <hyperlink ref="A293" r:id="rId581" xr:uid="{00000000-0004-0000-0000-000044020000}"/>
    <hyperlink ref="B293" r:id="rId582" xr:uid="{00000000-0004-0000-0000-000045020000}"/>
    <hyperlink ref="A294" r:id="rId583" xr:uid="{00000000-0004-0000-0000-000046020000}"/>
    <hyperlink ref="B294" r:id="rId584" xr:uid="{00000000-0004-0000-0000-000047020000}"/>
    <hyperlink ref="A295" r:id="rId585" xr:uid="{00000000-0004-0000-0000-000048020000}"/>
    <hyperlink ref="B295" r:id="rId586" xr:uid="{00000000-0004-0000-0000-000049020000}"/>
    <hyperlink ref="A296" r:id="rId587" xr:uid="{00000000-0004-0000-0000-00004A020000}"/>
    <hyperlink ref="B296" r:id="rId588" xr:uid="{00000000-0004-0000-0000-00004B020000}"/>
    <hyperlink ref="A297" r:id="rId589" xr:uid="{00000000-0004-0000-0000-00004C020000}"/>
    <hyperlink ref="B297" r:id="rId590" xr:uid="{00000000-0004-0000-0000-00004D020000}"/>
    <hyperlink ref="A298" r:id="rId591" xr:uid="{00000000-0004-0000-0000-00004E020000}"/>
    <hyperlink ref="B298" r:id="rId592" xr:uid="{00000000-0004-0000-0000-00004F020000}"/>
    <hyperlink ref="A299" r:id="rId593" xr:uid="{00000000-0004-0000-0000-000050020000}"/>
    <hyperlink ref="B299" r:id="rId594" xr:uid="{00000000-0004-0000-0000-000051020000}"/>
    <hyperlink ref="A300" r:id="rId595" xr:uid="{00000000-0004-0000-0000-000052020000}"/>
    <hyperlink ref="B300" r:id="rId596" xr:uid="{00000000-0004-0000-0000-000053020000}"/>
    <hyperlink ref="A301" r:id="rId597" xr:uid="{00000000-0004-0000-0000-000054020000}"/>
    <hyperlink ref="B301" r:id="rId598" xr:uid="{00000000-0004-0000-0000-000055020000}"/>
    <hyperlink ref="A302" r:id="rId599" xr:uid="{00000000-0004-0000-0000-000056020000}"/>
    <hyperlink ref="B302" r:id="rId600" xr:uid="{00000000-0004-0000-0000-000057020000}"/>
    <hyperlink ref="A303" r:id="rId601" xr:uid="{00000000-0004-0000-0000-000058020000}"/>
    <hyperlink ref="B303" r:id="rId602" xr:uid="{00000000-0004-0000-0000-000059020000}"/>
    <hyperlink ref="A304" r:id="rId603" xr:uid="{00000000-0004-0000-0000-00005A020000}"/>
    <hyperlink ref="B304" r:id="rId604" xr:uid="{00000000-0004-0000-0000-00005B020000}"/>
    <hyperlink ref="A305" r:id="rId605" xr:uid="{00000000-0004-0000-0000-00005C020000}"/>
    <hyperlink ref="B305" r:id="rId606" xr:uid="{00000000-0004-0000-0000-00005D020000}"/>
    <hyperlink ref="A306" r:id="rId607" xr:uid="{00000000-0004-0000-0000-00005E020000}"/>
    <hyperlink ref="B306" r:id="rId608" xr:uid="{00000000-0004-0000-0000-00005F020000}"/>
    <hyperlink ref="A307" r:id="rId609" xr:uid="{00000000-0004-0000-0000-000060020000}"/>
    <hyperlink ref="B307" r:id="rId610" xr:uid="{00000000-0004-0000-0000-000061020000}"/>
    <hyperlink ref="A308" r:id="rId611" xr:uid="{00000000-0004-0000-0000-000062020000}"/>
    <hyperlink ref="B308" r:id="rId612" xr:uid="{00000000-0004-0000-0000-000063020000}"/>
    <hyperlink ref="A309" r:id="rId613" xr:uid="{00000000-0004-0000-0000-000064020000}"/>
    <hyperlink ref="B309" r:id="rId614" xr:uid="{00000000-0004-0000-0000-000065020000}"/>
    <hyperlink ref="A310" r:id="rId615" xr:uid="{00000000-0004-0000-0000-000066020000}"/>
    <hyperlink ref="B310" r:id="rId616" xr:uid="{00000000-0004-0000-0000-000067020000}"/>
    <hyperlink ref="A311" r:id="rId617" xr:uid="{00000000-0004-0000-0000-000068020000}"/>
    <hyperlink ref="B311" r:id="rId618" xr:uid="{00000000-0004-0000-0000-000069020000}"/>
    <hyperlink ref="A312" r:id="rId619" xr:uid="{00000000-0004-0000-0000-00006A020000}"/>
    <hyperlink ref="B312" r:id="rId620" xr:uid="{00000000-0004-0000-0000-00006B020000}"/>
    <hyperlink ref="A313" r:id="rId621" xr:uid="{00000000-0004-0000-0000-00006C020000}"/>
    <hyperlink ref="B313" r:id="rId622" xr:uid="{00000000-0004-0000-0000-00006D020000}"/>
    <hyperlink ref="A314" r:id="rId623" xr:uid="{00000000-0004-0000-0000-00006E020000}"/>
    <hyperlink ref="B314" r:id="rId624" xr:uid="{00000000-0004-0000-0000-00006F020000}"/>
    <hyperlink ref="A315" r:id="rId625" xr:uid="{00000000-0004-0000-0000-000070020000}"/>
    <hyperlink ref="B315" r:id="rId626" xr:uid="{00000000-0004-0000-0000-000071020000}"/>
    <hyperlink ref="A316" r:id="rId627" xr:uid="{00000000-0004-0000-0000-000072020000}"/>
    <hyperlink ref="B316" r:id="rId628" xr:uid="{00000000-0004-0000-0000-000073020000}"/>
    <hyperlink ref="A317" r:id="rId629" xr:uid="{00000000-0004-0000-0000-000074020000}"/>
    <hyperlink ref="B317" r:id="rId630" xr:uid="{00000000-0004-0000-0000-000075020000}"/>
    <hyperlink ref="A318" r:id="rId631" xr:uid="{00000000-0004-0000-0000-000076020000}"/>
    <hyperlink ref="B318" r:id="rId632" xr:uid="{00000000-0004-0000-0000-000077020000}"/>
    <hyperlink ref="A319" r:id="rId633" xr:uid="{00000000-0004-0000-0000-000078020000}"/>
    <hyperlink ref="B319" r:id="rId634" xr:uid="{00000000-0004-0000-0000-000079020000}"/>
    <hyperlink ref="A320" r:id="rId635" xr:uid="{00000000-0004-0000-0000-00007A020000}"/>
    <hyperlink ref="B320" r:id="rId636" xr:uid="{00000000-0004-0000-0000-00007B020000}"/>
    <hyperlink ref="A321" r:id="rId637" xr:uid="{00000000-0004-0000-0000-00007C020000}"/>
    <hyperlink ref="B321" r:id="rId638" xr:uid="{00000000-0004-0000-0000-00007D020000}"/>
    <hyperlink ref="A322" r:id="rId639" xr:uid="{00000000-0004-0000-0000-00007E020000}"/>
    <hyperlink ref="B322" r:id="rId640" xr:uid="{00000000-0004-0000-0000-00007F020000}"/>
    <hyperlink ref="A323" r:id="rId641" xr:uid="{00000000-0004-0000-0000-000080020000}"/>
    <hyperlink ref="B323" r:id="rId642" xr:uid="{00000000-0004-0000-0000-000081020000}"/>
    <hyperlink ref="A324" r:id="rId643" xr:uid="{00000000-0004-0000-0000-000082020000}"/>
    <hyperlink ref="B324" r:id="rId644" xr:uid="{00000000-0004-0000-0000-000083020000}"/>
    <hyperlink ref="A325" r:id="rId645" xr:uid="{00000000-0004-0000-0000-000084020000}"/>
    <hyperlink ref="B325" r:id="rId646" xr:uid="{00000000-0004-0000-0000-000085020000}"/>
    <hyperlink ref="A326" r:id="rId647" xr:uid="{00000000-0004-0000-0000-000086020000}"/>
    <hyperlink ref="B326" r:id="rId648" xr:uid="{00000000-0004-0000-0000-000087020000}"/>
    <hyperlink ref="A327" r:id="rId649" xr:uid="{00000000-0004-0000-0000-000088020000}"/>
    <hyperlink ref="B327" r:id="rId650" xr:uid="{00000000-0004-0000-0000-000089020000}"/>
    <hyperlink ref="A328" r:id="rId651" xr:uid="{00000000-0004-0000-0000-00008A020000}"/>
    <hyperlink ref="B328" r:id="rId652" xr:uid="{00000000-0004-0000-0000-00008B020000}"/>
    <hyperlink ref="A329" r:id="rId653" xr:uid="{00000000-0004-0000-0000-00008C020000}"/>
    <hyperlink ref="B329" r:id="rId654" xr:uid="{00000000-0004-0000-0000-00008D020000}"/>
    <hyperlink ref="A330" r:id="rId655" xr:uid="{00000000-0004-0000-0000-00008E020000}"/>
    <hyperlink ref="B330" r:id="rId656" xr:uid="{00000000-0004-0000-0000-00008F020000}"/>
    <hyperlink ref="A331" r:id="rId657" xr:uid="{00000000-0004-0000-0000-000090020000}"/>
    <hyperlink ref="B331" r:id="rId658" xr:uid="{00000000-0004-0000-0000-000091020000}"/>
    <hyperlink ref="A332" r:id="rId659" xr:uid="{00000000-0004-0000-0000-000092020000}"/>
    <hyperlink ref="B332" r:id="rId660" xr:uid="{00000000-0004-0000-0000-000093020000}"/>
    <hyperlink ref="A333" r:id="rId661" xr:uid="{00000000-0004-0000-0000-000094020000}"/>
    <hyperlink ref="B333" r:id="rId662" xr:uid="{00000000-0004-0000-0000-000095020000}"/>
    <hyperlink ref="A334" r:id="rId663" xr:uid="{00000000-0004-0000-0000-000096020000}"/>
    <hyperlink ref="B334" r:id="rId664" xr:uid="{00000000-0004-0000-0000-000097020000}"/>
    <hyperlink ref="A335" r:id="rId665" xr:uid="{00000000-0004-0000-0000-000098020000}"/>
    <hyperlink ref="B335" r:id="rId666" xr:uid="{00000000-0004-0000-0000-000099020000}"/>
    <hyperlink ref="A336" r:id="rId667" xr:uid="{00000000-0004-0000-0000-00009A020000}"/>
    <hyperlink ref="B336" r:id="rId668" xr:uid="{00000000-0004-0000-0000-00009B020000}"/>
    <hyperlink ref="A337" r:id="rId669" xr:uid="{00000000-0004-0000-0000-00009C020000}"/>
    <hyperlink ref="B337" r:id="rId670" xr:uid="{00000000-0004-0000-0000-00009D020000}"/>
    <hyperlink ref="A338" r:id="rId671" xr:uid="{00000000-0004-0000-0000-00009E020000}"/>
    <hyperlink ref="B338" r:id="rId672" xr:uid="{00000000-0004-0000-0000-00009F020000}"/>
    <hyperlink ref="A339" r:id="rId673" xr:uid="{00000000-0004-0000-0000-0000A0020000}"/>
    <hyperlink ref="B339" r:id="rId674" xr:uid="{00000000-0004-0000-0000-0000A1020000}"/>
    <hyperlink ref="A340" r:id="rId675" xr:uid="{00000000-0004-0000-0000-0000A2020000}"/>
    <hyperlink ref="B340" r:id="rId676" xr:uid="{00000000-0004-0000-0000-0000A3020000}"/>
    <hyperlink ref="A341" r:id="rId677" xr:uid="{00000000-0004-0000-0000-0000A4020000}"/>
    <hyperlink ref="B341" r:id="rId678" xr:uid="{00000000-0004-0000-0000-0000A5020000}"/>
    <hyperlink ref="A342" r:id="rId679" xr:uid="{00000000-0004-0000-0000-0000A6020000}"/>
    <hyperlink ref="B342" r:id="rId680" xr:uid="{00000000-0004-0000-0000-0000A7020000}"/>
    <hyperlink ref="A343" r:id="rId681" xr:uid="{00000000-0004-0000-0000-0000A8020000}"/>
    <hyperlink ref="B343" r:id="rId682" xr:uid="{00000000-0004-0000-0000-0000A9020000}"/>
    <hyperlink ref="A344" r:id="rId683" xr:uid="{00000000-0004-0000-0000-0000AA020000}"/>
    <hyperlink ref="B344" r:id="rId684" xr:uid="{00000000-0004-0000-0000-0000AB020000}"/>
    <hyperlink ref="A345" r:id="rId685" xr:uid="{00000000-0004-0000-0000-0000AC020000}"/>
    <hyperlink ref="B345" r:id="rId686" xr:uid="{00000000-0004-0000-0000-0000AD020000}"/>
    <hyperlink ref="A346" r:id="rId687" xr:uid="{00000000-0004-0000-0000-0000AE020000}"/>
    <hyperlink ref="B346" r:id="rId688" xr:uid="{00000000-0004-0000-0000-0000AF020000}"/>
    <hyperlink ref="A347" r:id="rId689" xr:uid="{00000000-0004-0000-0000-0000B0020000}"/>
    <hyperlink ref="B347" r:id="rId690" xr:uid="{00000000-0004-0000-0000-0000B1020000}"/>
    <hyperlink ref="A348" r:id="rId691" xr:uid="{00000000-0004-0000-0000-0000B2020000}"/>
    <hyperlink ref="B348" r:id="rId692" xr:uid="{00000000-0004-0000-0000-0000B3020000}"/>
    <hyperlink ref="A349" r:id="rId693" xr:uid="{00000000-0004-0000-0000-0000B4020000}"/>
    <hyperlink ref="B349" r:id="rId694" xr:uid="{00000000-0004-0000-0000-0000B5020000}"/>
    <hyperlink ref="A350" r:id="rId695" xr:uid="{00000000-0004-0000-0000-0000B6020000}"/>
    <hyperlink ref="B350" r:id="rId696" xr:uid="{00000000-0004-0000-0000-0000B7020000}"/>
    <hyperlink ref="A351" r:id="rId697" xr:uid="{00000000-0004-0000-0000-0000B8020000}"/>
    <hyperlink ref="B351" r:id="rId698" xr:uid="{00000000-0004-0000-0000-0000B9020000}"/>
    <hyperlink ref="A352" r:id="rId699" xr:uid="{00000000-0004-0000-0000-0000BA020000}"/>
    <hyperlink ref="B352" r:id="rId700" xr:uid="{00000000-0004-0000-0000-0000BB020000}"/>
    <hyperlink ref="A353" r:id="rId701" xr:uid="{00000000-0004-0000-0000-0000BC020000}"/>
    <hyperlink ref="B353" r:id="rId702" xr:uid="{00000000-0004-0000-0000-0000BD020000}"/>
    <hyperlink ref="A354" r:id="rId703" xr:uid="{00000000-0004-0000-0000-0000BE020000}"/>
    <hyperlink ref="B354" r:id="rId704" xr:uid="{00000000-0004-0000-0000-0000BF020000}"/>
    <hyperlink ref="A355" r:id="rId705" xr:uid="{00000000-0004-0000-0000-0000C0020000}"/>
    <hyperlink ref="B355" r:id="rId706" xr:uid="{00000000-0004-0000-0000-0000C1020000}"/>
    <hyperlink ref="A356" r:id="rId707" xr:uid="{00000000-0004-0000-0000-0000C2020000}"/>
    <hyperlink ref="B356" r:id="rId708" xr:uid="{00000000-0004-0000-0000-0000C3020000}"/>
    <hyperlink ref="A357" r:id="rId709" xr:uid="{00000000-0004-0000-0000-0000C4020000}"/>
    <hyperlink ref="B357" r:id="rId710" xr:uid="{00000000-0004-0000-0000-0000C5020000}"/>
    <hyperlink ref="A358" r:id="rId711" xr:uid="{00000000-0004-0000-0000-0000C6020000}"/>
    <hyperlink ref="B358" r:id="rId712" xr:uid="{00000000-0004-0000-0000-0000C7020000}"/>
    <hyperlink ref="A359" r:id="rId713" xr:uid="{00000000-0004-0000-0000-0000C8020000}"/>
    <hyperlink ref="B359" r:id="rId714" xr:uid="{00000000-0004-0000-0000-0000C9020000}"/>
    <hyperlink ref="A360" r:id="rId715" xr:uid="{00000000-0004-0000-0000-0000CA020000}"/>
    <hyperlink ref="B360" r:id="rId716" xr:uid="{00000000-0004-0000-0000-0000CB020000}"/>
    <hyperlink ref="A361" r:id="rId717" xr:uid="{00000000-0004-0000-0000-0000CC020000}"/>
    <hyperlink ref="B361" r:id="rId718" xr:uid="{00000000-0004-0000-0000-0000CD020000}"/>
    <hyperlink ref="A362" r:id="rId719" xr:uid="{00000000-0004-0000-0000-0000CE020000}"/>
    <hyperlink ref="B362" r:id="rId720" xr:uid="{00000000-0004-0000-0000-0000CF020000}"/>
    <hyperlink ref="A363" r:id="rId721" xr:uid="{00000000-0004-0000-0000-0000D0020000}"/>
    <hyperlink ref="B363" r:id="rId722" xr:uid="{00000000-0004-0000-0000-0000D1020000}"/>
    <hyperlink ref="A364" r:id="rId723" xr:uid="{00000000-0004-0000-0000-0000D2020000}"/>
    <hyperlink ref="B364" r:id="rId724" xr:uid="{00000000-0004-0000-0000-0000D3020000}"/>
    <hyperlink ref="A365" r:id="rId725" xr:uid="{00000000-0004-0000-0000-0000D4020000}"/>
    <hyperlink ref="B365" r:id="rId726" xr:uid="{00000000-0004-0000-0000-0000D5020000}"/>
    <hyperlink ref="A366" r:id="rId727" xr:uid="{00000000-0004-0000-0000-0000D6020000}"/>
    <hyperlink ref="B366" r:id="rId728" xr:uid="{00000000-0004-0000-0000-0000D7020000}"/>
    <hyperlink ref="A367" r:id="rId729" xr:uid="{00000000-0004-0000-0000-0000D8020000}"/>
    <hyperlink ref="B367" r:id="rId730" xr:uid="{00000000-0004-0000-0000-0000D9020000}"/>
    <hyperlink ref="A368" r:id="rId731" xr:uid="{00000000-0004-0000-0000-0000DA020000}"/>
    <hyperlink ref="B368" r:id="rId732" xr:uid="{00000000-0004-0000-0000-0000DB020000}"/>
    <hyperlink ref="A369" r:id="rId733" xr:uid="{00000000-0004-0000-0000-0000DC020000}"/>
    <hyperlink ref="B369" r:id="rId734" xr:uid="{00000000-0004-0000-0000-0000DD020000}"/>
    <hyperlink ref="A370" r:id="rId735" xr:uid="{00000000-0004-0000-0000-0000DE020000}"/>
    <hyperlink ref="B370" r:id="rId736" xr:uid="{00000000-0004-0000-0000-0000DF020000}"/>
    <hyperlink ref="A371" r:id="rId737" xr:uid="{00000000-0004-0000-0000-0000E0020000}"/>
    <hyperlink ref="B371" r:id="rId738" xr:uid="{00000000-0004-0000-0000-0000E1020000}"/>
    <hyperlink ref="A372" r:id="rId739" xr:uid="{00000000-0004-0000-0000-0000E2020000}"/>
    <hyperlink ref="B372" r:id="rId740" xr:uid="{00000000-0004-0000-0000-0000E3020000}"/>
    <hyperlink ref="A373" r:id="rId741" xr:uid="{00000000-0004-0000-0000-0000E4020000}"/>
    <hyperlink ref="B373" r:id="rId742" xr:uid="{00000000-0004-0000-0000-0000E5020000}"/>
    <hyperlink ref="A374" r:id="rId743" xr:uid="{00000000-0004-0000-0000-0000E6020000}"/>
    <hyperlink ref="B374" r:id="rId744" xr:uid="{00000000-0004-0000-0000-0000E7020000}"/>
    <hyperlink ref="A375" r:id="rId745" xr:uid="{00000000-0004-0000-0000-0000E8020000}"/>
    <hyperlink ref="B375" r:id="rId746" xr:uid="{00000000-0004-0000-0000-0000E9020000}"/>
    <hyperlink ref="A376" r:id="rId747" xr:uid="{00000000-0004-0000-0000-0000EA020000}"/>
    <hyperlink ref="B376" r:id="rId748" xr:uid="{00000000-0004-0000-0000-0000EB020000}"/>
    <hyperlink ref="A377" r:id="rId749" xr:uid="{00000000-0004-0000-0000-0000EC020000}"/>
    <hyperlink ref="B377" r:id="rId750" xr:uid="{00000000-0004-0000-0000-0000ED020000}"/>
    <hyperlink ref="A378" r:id="rId751" xr:uid="{00000000-0004-0000-0000-0000EE020000}"/>
    <hyperlink ref="B378" r:id="rId752" xr:uid="{00000000-0004-0000-0000-0000EF020000}"/>
    <hyperlink ref="A379" r:id="rId753" xr:uid="{00000000-0004-0000-0000-0000F0020000}"/>
    <hyperlink ref="B379" r:id="rId754" xr:uid="{00000000-0004-0000-0000-0000F1020000}"/>
    <hyperlink ref="A380" r:id="rId755" xr:uid="{00000000-0004-0000-0000-0000F2020000}"/>
    <hyperlink ref="B380" r:id="rId756" xr:uid="{00000000-0004-0000-0000-0000F3020000}"/>
    <hyperlink ref="A381" r:id="rId757" xr:uid="{00000000-0004-0000-0000-0000F4020000}"/>
    <hyperlink ref="B381" r:id="rId758" xr:uid="{00000000-0004-0000-0000-0000F5020000}"/>
    <hyperlink ref="A382" r:id="rId759" xr:uid="{00000000-0004-0000-0000-0000F6020000}"/>
    <hyperlink ref="B382" r:id="rId760" xr:uid="{00000000-0004-0000-0000-0000F7020000}"/>
    <hyperlink ref="A383" r:id="rId761" xr:uid="{00000000-0004-0000-0000-0000F8020000}"/>
    <hyperlink ref="B383" r:id="rId762" xr:uid="{00000000-0004-0000-0000-0000F9020000}"/>
    <hyperlink ref="A384" r:id="rId763" xr:uid="{00000000-0004-0000-0000-0000FA020000}"/>
    <hyperlink ref="B384" r:id="rId764" xr:uid="{00000000-0004-0000-0000-0000FB020000}"/>
    <hyperlink ref="A385" r:id="rId765" xr:uid="{00000000-0004-0000-0000-0000FC020000}"/>
    <hyperlink ref="B385" r:id="rId766" xr:uid="{00000000-0004-0000-0000-0000FD020000}"/>
    <hyperlink ref="A386" r:id="rId767" xr:uid="{00000000-0004-0000-0000-0000FE020000}"/>
    <hyperlink ref="B386" r:id="rId768" xr:uid="{00000000-0004-0000-0000-0000FF020000}"/>
    <hyperlink ref="A387" r:id="rId769" xr:uid="{00000000-0004-0000-0000-000000030000}"/>
    <hyperlink ref="B387" r:id="rId770" xr:uid="{00000000-0004-0000-0000-000001030000}"/>
    <hyperlink ref="A388" r:id="rId771" xr:uid="{00000000-0004-0000-0000-000002030000}"/>
    <hyperlink ref="B388" r:id="rId772" xr:uid="{00000000-0004-0000-0000-000003030000}"/>
    <hyperlink ref="A389" r:id="rId773" xr:uid="{00000000-0004-0000-0000-000004030000}"/>
    <hyperlink ref="B389" r:id="rId774" xr:uid="{00000000-0004-0000-0000-000005030000}"/>
    <hyperlink ref="A390" r:id="rId775" xr:uid="{00000000-0004-0000-0000-000006030000}"/>
    <hyperlink ref="B390" r:id="rId776" xr:uid="{00000000-0004-0000-0000-000007030000}"/>
    <hyperlink ref="A391" r:id="rId777" xr:uid="{00000000-0004-0000-0000-000008030000}"/>
    <hyperlink ref="B391" r:id="rId778" xr:uid="{00000000-0004-0000-0000-000009030000}"/>
    <hyperlink ref="A392" r:id="rId779" xr:uid="{00000000-0004-0000-0000-00000A030000}"/>
    <hyperlink ref="B392" r:id="rId780" xr:uid="{00000000-0004-0000-0000-00000B030000}"/>
    <hyperlink ref="A393" r:id="rId781" xr:uid="{00000000-0004-0000-0000-00000C030000}"/>
    <hyperlink ref="B393" r:id="rId782" xr:uid="{00000000-0004-0000-0000-00000D030000}"/>
    <hyperlink ref="A394" r:id="rId783" xr:uid="{00000000-0004-0000-0000-00000E030000}"/>
    <hyperlink ref="B394" r:id="rId784" xr:uid="{00000000-0004-0000-0000-00000F030000}"/>
    <hyperlink ref="A395" r:id="rId785" xr:uid="{00000000-0004-0000-0000-000010030000}"/>
    <hyperlink ref="B395" r:id="rId786" xr:uid="{00000000-0004-0000-0000-000011030000}"/>
    <hyperlink ref="A396" r:id="rId787" xr:uid="{00000000-0004-0000-0000-000012030000}"/>
    <hyperlink ref="B396" r:id="rId788" xr:uid="{00000000-0004-0000-0000-000013030000}"/>
    <hyperlink ref="A397" r:id="rId789" xr:uid="{00000000-0004-0000-0000-000014030000}"/>
    <hyperlink ref="B397" r:id="rId790" xr:uid="{00000000-0004-0000-0000-000015030000}"/>
    <hyperlink ref="A398" r:id="rId791" xr:uid="{00000000-0004-0000-0000-000016030000}"/>
    <hyperlink ref="B398" r:id="rId792" xr:uid="{00000000-0004-0000-0000-000017030000}"/>
    <hyperlink ref="A399" r:id="rId793" xr:uid="{00000000-0004-0000-0000-000018030000}"/>
    <hyperlink ref="B399" r:id="rId794" xr:uid="{00000000-0004-0000-0000-000019030000}"/>
    <hyperlink ref="A400" r:id="rId795" xr:uid="{00000000-0004-0000-0000-00001A030000}"/>
    <hyperlink ref="B400" r:id="rId796" xr:uid="{00000000-0004-0000-0000-00001B030000}"/>
    <hyperlink ref="A401" r:id="rId797" xr:uid="{00000000-0004-0000-0000-00001C030000}"/>
    <hyperlink ref="B401" r:id="rId798" xr:uid="{00000000-0004-0000-0000-00001D030000}"/>
    <hyperlink ref="A402" r:id="rId799" xr:uid="{00000000-0004-0000-0000-00001E030000}"/>
    <hyperlink ref="B402" r:id="rId800" xr:uid="{00000000-0004-0000-0000-00001F030000}"/>
    <hyperlink ref="A403" r:id="rId801" xr:uid="{00000000-0004-0000-0000-000020030000}"/>
    <hyperlink ref="B403" r:id="rId802" xr:uid="{00000000-0004-0000-0000-000021030000}"/>
    <hyperlink ref="A404" r:id="rId803" xr:uid="{00000000-0004-0000-0000-000022030000}"/>
    <hyperlink ref="B404" r:id="rId804" xr:uid="{00000000-0004-0000-0000-000023030000}"/>
    <hyperlink ref="A405" r:id="rId805" xr:uid="{00000000-0004-0000-0000-000024030000}"/>
    <hyperlink ref="B405" r:id="rId806" xr:uid="{00000000-0004-0000-0000-000025030000}"/>
    <hyperlink ref="A406" r:id="rId807" xr:uid="{00000000-0004-0000-0000-000026030000}"/>
    <hyperlink ref="B406" r:id="rId808" xr:uid="{00000000-0004-0000-0000-000027030000}"/>
    <hyperlink ref="A407" r:id="rId809" xr:uid="{00000000-0004-0000-0000-000028030000}"/>
    <hyperlink ref="B407" r:id="rId810" xr:uid="{00000000-0004-0000-0000-000029030000}"/>
    <hyperlink ref="A408" r:id="rId811" xr:uid="{00000000-0004-0000-0000-00002A030000}"/>
    <hyperlink ref="B408" r:id="rId812" xr:uid="{00000000-0004-0000-0000-00002B030000}"/>
    <hyperlink ref="A409" r:id="rId813" xr:uid="{00000000-0004-0000-0000-00002C030000}"/>
    <hyperlink ref="B409" r:id="rId814" xr:uid="{00000000-0004-0000-0000-00002D030000}"/>
    <hyperlink ref="A410" r:id="rId815" xr:uid="{00000000-0004-0000-0000-00002E030000}"/>
    <hyperlink ref="B410" r:id="rId816" xr:uid="{00000000-0004-0000-0000-00002F030000}"/>
    <hyperlink ref="A411" r:id="rId817" xr:uid="{00000000-0004-0000-0000-000030030000}"/>
    <hyperlink ref="B411" r:id="rId818" xr:uid="{00000000-0004-0000-0000-000031030000}"/>
    <hyperlink ref="A412" r:id="rId819" xr:uid="{00000000-0004-0000-0000-000032030000}"/>
    <hyperlink ref="B412" r:id="rId820" xr:uid="{00000000-0004-0000-0000-000033030000}"/>
    <hyperlink ref="A413" r:id="rId821" xr:uid="{00000000-0004-0000-0000-000034030000}"/>
    <hyperlink ref="B413" r:id="rId822" xr:uid="{00000000-0004-0000-0000-000035030000}"/>
    <hyperlink ref="A414" r:id="rId823" xr:uid="{00000000-0004-0000-0000-000036030000}"/>
    <hyperlink ref="B414" r:id="rId824" xr:uid="{00000000-0004-0000-0000-000037030000}"/>
    <hyperlink ref="A415" r:id="rId825" xr:uid="{00000000-0004-0000-0000-000038030000}"/>
    <hyperlink ref="B415" r:id="rId826" xr:uid="{00000000-0004-0000-0000-000039030000}"/>
    <hyperlink ref="A416" r:id="rId827" xr:uid="{00000000-0004-0000-0000-00003A030000}"/>
    <hyperlink ref="B416" r:id="rId828" xr:uid="{00000000-0004-0000-0000-00003B030000}"/>
    <hyperlink ref="A417" r:id="rId829" xr:uid="{00000000-0004-0000-0000-00003C030000}"/>
    <hyperlink ref="B417" r:id="rId830" xr:uid="{00000000-0004-0000-0000-00003D030000}"/>
    <hyperlink ref="A418" r:id="rId831" xr:uid="{00000000-0004-0000-0000-00003E030000}"/>
    <hyperlink ref="B418" r:id="rId832" xr:uid="{00000000-0004-0000-0000-00003F030000}"/>
    <hyperlink ref="A419" r:id="rId833" xr:uid="{00000000-0004-0000-0000-000040030000}"/>
    <hyperlink ref="B419" r:id="rId834" xr:uid="{00000000-0004-0000-0000-000041030000}"/>
    <hyperlink ref="A420" r:id="rId835" xr:uid="{00000000-0004-0000-0000-000042030000}"/>
    <hyperlink ref="B420" r:id="rId836" xr:uid="{00000000-0004-0000-0000-000043030000}"/>
    <hyperlink ref="A421" r:id="rId837" xr:uid="{00000000-0004-0000-0000-000044030000}"/>
    <hyperlink ref="B421" r:id="rId838" xr:uid="{00000000-0004-0000-0000-000045030000}"/>
    <hyperlink ref="A422" r:id="rId839" xr:uid="{00000000-0004-0000-0000-000046030000}"/>
    <hyperlink ref="B422" r:id="rId840" xr:uid="{00000000-0004-0000-0000-000047030000}"/>
    <hyperlink ref="A423" r:id="rId841" xr:uid="{00000000-0004-0000-0000-000048030000}"/>
    <hyperlink ref="B423" r:id="rId842" xr:uid="{00000000-0004-0000-0000-000049030000}"/>
    <hyperlink ref="A424" r:id="rId843" xr:uid="{00000000-0004-0000-0000-00004A030000}"/>
    <hyperlink ref="B424" r:id="rId844" xr:uid="{00000000-0004-0000-0000-00004B030000}"/>
    <hyperlink ref="A425" r:id="rId845" xr:uid="{00000000-0004-0000-0000-00004C030000}"/>
    <hyperlink ref="B425" r:id="rId846" xr:uid="{00000000-0004-0000-0000-00004D030000}"/>
    <hyperlink ref="A426" r:id="rId847" xr:uid="{00000000-0004-0000-0000-00004E030000}"/>
    <hyperlink ref="B426" r:id="rId848" xr:uid="{00000000-0004-0000-0000-00004F030000}"/>
    <hyperlink ref="A427" r:id="rId849" xr:uid="{00000000-0004-0000-0000-000050030000}"/>
    <hyperlink ref="B427" r:id="rId850" xr:uid="{00000000-0004-0000-0000-000051030000}"/>
    <hyperlink ref="A428" r:id="rId851" xr:uid="{00000000-0004-0000-0000-000052030000}"/>
    <hyperlink ref="B428" r:id="rId852" xr:uid="{00000000-0004-0000-0000-000053030000}"/>
    <hyperlink ref="A429" r:id="rId853" xr:uid="{00000000-0004-0000-0000-000054030000}"/>
    <hyperlink ref="B429" r:id="rId854" xr:uid="{00000000-0004-0000-0000-000055030000}"/>
    <hyperlink ref="A430" r:id="rId855" xr:uid="{00000000-0004-0000-0000-000056030000}"/>
    <hyperlink ref="B430" r:id="rId856" xr:uid="{00000000-0004-0000-0000-000057030000}"/>
    <hyperlink ref="A431" r:id="rId857" xr:uid="{00000000-0004-0000-0000-000058030000}"/>
    <hyperlink ref="B431" r:id="rId858" xr:uid="{00000000-0004-0000-0000-000059030000}"/>
    <hyperlink ref="A432" r:id="rId859" xr:uid="{00000000-0004-0000-0000-00005A030000}"/>
    <hyperlink ref="B432" r:id="rId860" xr:uid="{00000000-0004-0000-0000-00005B030000}"/>
    <hyperlink ref="A433" r:id="rId861" xr:uid="{00000000-0004-0000-0000-00005C030000}"/>
    <hyperlink ref="B433" r:id="rId862" xr:uid="{00000000-0004-0000-0000-00005D030000}"/>
    <hyperlink ref="A434" r:id="rId863" xr:uid="{00000000-0004-0000-0000-00005E030000}"/>
    <hyperlink ref="B434" r:id="rId864" xr:uid="{00000000-0004-0000-0000-00005F030000}"/>
    <hyperlink ref="A435" r:id="rId865" xr:uid="{00000000-0004-0000-0000-000060030000}"/>
    <hyperlink ref="B435" r:id="rId866" xr:uid="{00000000-0004-0000-0000-000061030000}"/>
    <hyperlink ref="A436" r:id="rId867" xr:uid="{00000000-0004-0000-0000-000062030000}"/>
    <hyperlink ref="B436" r:id="rId868" xr:uid="{00000000-0004-0000-0000-000063030000}"/>
    <hyperlink ref="A437" r:id="rId869" xr:uid="{00000000-0004-0000-0000-000064030000}"/>
    <hyperlink ref="B437" r:id="rId870" xr:uid="{00000000-0004-0000-0000-000065030000}"/>
    <hyperlink ref="A438" r:id="rId871" xr:uid="{00000000-0004-0000-0000-000066030000}"/>
    <hyperlink ref="B438" r:id="rId872" xr:uid="{00000000-0004-0000-0000-000067030000}"/>
    <hyperlink ref="A439" r:id="rId873" xr:uid="{00000000-0004-0000-0000-000068030000}"/>
    <hyperlink ref="B439" r:id="rId874" xr:uid="{00000000-0004-0000-0000-000069030000}"/>
    <hyperlink ref="A440" r:id="rId875" xr:uid="{00000000-0004-0000-0000-00006A030000}"/>
    <hyperlink ref="B440" r:id="rId876" xr:uid="{00000000-0004-0000-0000-00006B030000}"/>
    <hyperlink ref="A441" r:id="rId877" xr:uid="{00000000-0004-0000-0000-00006C030000}"/>
    <hyperlink ref="B441" r:id="rId878" xr:uid="{00000000-0004-0000-0000-00006D030000}"/>
    <hyperlink ref="A442" r:id="rId879" xr:uid="{00000000-0004-0000-0000-00006E030000}"/>
    <hyperlink ref="B442" r:id="rId880" xr:uid="{00000000-0004-0000-0000-00006F030000}"/>
    <hyperlink ref="A443" r:id="rId881" xr:uid="{00000000-0004-0000-0000-000070030000}"/>
    <hyperlink ref="B443" r:id="rId882" xr:uid="{00000000-0004-0000-0000-000071030000}"/>
    <hyperlink ref="A444" r:id="rId883" xr:uid="{00000000-0004-0000-0000-000072030000}"/>
    <hyperlink ref="B444" r:id="rId884" xr:uid="{00000000-0004-0000-0000-000073030000}"/>
    <hyperlink ref="A445" r:id="rId885" xr:uid="{00000000-0004-0000-0000-000074030000}"/>
    <hyperlink ref="B445" r:id="rId886" xr:uid="{00000000-0004-0000-0000-000075030000}"/>
    <hyperlink ref="A446" r:id="rId887" xr:uid="{00000000-0004-0000-0000-000076030000}"/>
    <hyperlink ref="B446" r:id="rId888" xr:uid="{00000000-0004-0000-0000-000077030000}"/>
    <hyperlink ref="A447" r:id="rId889" xr:uid="{00000000-0004-0000-0000-000078030000}"/>
    <hyperlink ref="B447" r:id="rId890" xr:uid="{00000000-0004-0000-0000-000079030000}"/>
    <hyperlink ref="A448" r:id="rId891" xr:uid="{00000000-0004-0000-0000-00007A030000}"/>
    <hyperlink ref="B448" r:id="rId892" xr:uid="{00000000-0004-0000-0000-00007B030000}"/>
    <hyperlink ref="A449" r:id="rId893" xr:uid="{00000000-0004-0000-0000-00007C030000}"/>
    <hyperlink ref="B449" r:id="rId894" xr:uid="{00000000-0004-0000-0000-00007D030000}"/>
    <hyperlink ref="A450" r:id="rId895" xr:uid="{00000000-0004-0000-0000-00007E030000}"/>
    <hyperlink ref="B450" r:id="rId896" xr:uid="{00000000-0004-0000-0000-00007F030000}"/>
    <hyperlink ref="A451" r:id="rId897" xr:uid="{00000000-0004-0000-0000-000080030000}"/>
    <hyperlink ref="B451" r:id="rId898" xr:uid="{00000000-0004-0000-0000-000081030000}"/>
    <hyperlink ref="A452" r:id="rId899" xr:uid="{00000000-0004-0000-0000-000082030000}"/>
    <hyperlink ref="B452" r:id="rId900" xr:uid="{00000000-0004-0000-0000-000083030000}"/>
    <hyperlink ref="A453" r:id="rId901" xr:uid="{00000000-0004-0000-0000-000084030000}"/>
    <hyperlink ref="B453" r:id="rId902" xr:uid="{00000000-0004-0000-0000-000085030000}"/>
    <hyperlink ref="A454" r:id="rId903" xr:uid="{00000000-0004-0000-0000-000086030000}"/>
    <hyperlink ref="B454" r:id="rId904" xr:uid="{00000000-0004-0000-0000-000087030000}"/>
    <hyperlink ref="A455" r:id="rId905" xr:uid="{00000000-0004-0000-0000-000088030000}"/>
    <hyperlink ref="B455" r:id="rId906" xr:uid="{00000000-0004-0000-0000-000089030000}"/>
    <hyperlink ref="A456" r:id="rId907" xr:uid="{00000000-0004-0000-0000-00008A030000}"/>
    <hyperlink ref="B456" r:id="rId908" xr:uid="{00000000-0004-0000-0000-00008B030000}"/>
    <hyperlink ref="A457" r:id="rId909" xr:uid="{00000000-0004-0000-0000-00008C030000}"/>
    <hyperlink ref="B457" r:id="rId910" xr:uid="{00000000-0004-0000-0000-00008D030000}"/>
    <hyperlink ref="A458" r:id="rId911" xr:uid="{00000000-0004-0000-0000-00008E030000}"/>
    <hyperlink ref="B458" r:id="rId912" xr:uid="{00000000-0004-0000-0000-00008F030000}"/>
    <hyperlink ref="A459" r:id="rId913" xr:uid="{00000000-0004-0000-0000-000090030000}"/>
    <hyperlink ref="B459" r:id="rId914" xr:uid="{00000000-0004-0000-0000-000091030000}"/>
    <hyperlink ref="A460" r:id="rId915" xr:uid="{00000000-0004-0000-0000-000092030000}"/>
    <hyperlink ref="B460" r:id="rId916" xr:uid="{00000000-0004-0000-0000-000093030000}"/>
    <hyperlink ref="A461" r:id="rId917" xr:uid="{00000000-0004-0000-0000-000094030000}"/>
    <hyperlink ref="B461" r:id="rId918" xr:uid="{00000000-0004-0000-0000-000095030000}"/>
    <hyperlink ref="A462" r:id="rId919" xr:uid="{00000000-0004-0000-0000-000096030000}"/>
    <hyperlink ref="B462" r:id="rId920" xr:uid="{00000000-0004-0000-0000-000097030000}"/>
    <hyperlink ref="A463" r:id="rId921" xr:uid="{00000000-0004-0000-0000-000098030000}"/>
    <hyperlink ref="B463" r:id="rId922" xr:uid="{00000000-0004-0000-0000-000099030000}"/>
    <hyperlink ref="A464" r:id="rId923" xr:uid="{00000000-0004-0000-0000-00009A030000}"/>
    <hyperlink ref="B464" r:id="rId924" xr:uid="{00000000-0004-0000-0000-00009B030000}"/>
    <hyperlink ref="A465" r:id="rId925" xr:uid="{00000000-0004-0000-0000-00009C030000}"/>
    <hyperlink ref="B465" r:id="rId926" xr:uid="{00000000-0004-0000-0000-00009D030000}"/>
    <hyperlink ref="A466" r:id="rId927" xr:uid="{00000000-0004-0000-0000-00009E030000}"/>
    <hyperlink ref="B466" r:id="rId928" xr:uid="{00000000-0004-0000-0000-00009F030000}"/>
    <hyperlink ref="A467" r:id="rId929" xr:uid="{00000000-0004-0000-0000-0000A0030000}"/>
    <hyperlink ref="B467" r:id="rId930" xr:uid="{00000000-0004-0000-0000-0000A1030000}"/>
    <hyperlink ref="A468" r:id="rId931" xr:uid="{00000000-0004-0000-0000-0000A2030000}"/>
    <hyperlink ref="B468" r:id="rId932" xr:uid="{00000000-0004-0000-0000-0000A3030000}"/>
    <hyperlink ref="A469" r:id="rId933" xr:uid="{00000000-0004-0000-0000-0000A4030000}"/>
    <hyperlink ref="B469" r:id="rId934" xr:uid="{00000000-0004-0000-0000-0000A5030000}"/>
    <hyperlink ref="A470" r:id="rId935" xr:uid="{00000000-0004-0000-0000-0000A6030000}"/>
    <hyperlink ref="B470" r:id="rId936" xr:uid="{00000000-0004-0000-0000-0000A7030000}"/>
    <hyperlink ref="A471" r:id="rId937" xr:uid="{00000000-0004-0000-0000-0000A8030000}"/>
    <hyperlink ref="B471" r:id="rId938" xr:uid="{00000000-0004-0000-0000-0000A9030000}"/>
    <hyperlink ref="A472" r:id="rId939" xr:uid="{00000000-0004-0000-0000-0000AA030000}"/>
    <hyperlink ref="B472" r:id="rId940" xr:uid="{00000000-0004-0000-0000-0000AB030000}"/>
    <hyperlink ref="A473" r:id="rId941" xr:uid="{00000000-0004-0000-0000-0000AC030000}"/>
    <hyperlink ref="B473" r:id="rId942" xr:uid="{00000000-0004-0000-0000-0000AD030000}"/>
    <hyperlink ref="A474" r:id="rId943" xr:uid="{00000000-0004-0000-0000-0000AE030000}"/>
    <hyperlink ref="B474" r:id="rId944" xr:uid="{00000000-0004-0000-0000-0000AF030000}"/>
    <hyperlink ref="A475" r:id="rId945" xr:uid="{00000000-0004-0000-0000-0000B0030000}"/>
    <hyperlink ref="B475" r:id="rId946" xr:uid="{00000000-0004-0000-0000-0000B1030000}"/>
    <hyperlink ref="A476" r:id="rId947" xr:uid="{00000000-0004-0000-0000-0000B2030000}"/>
    <hyperlink ref="B476" r:id="rId948" xr:uid="{00000000-0004-0000-0000-0000B3030000}"/>
    <hyperlink ref="A477" r:id="rId949" xr:uid="{00000000-0004-0000-0000-0000B4030000}"/>
    <hyperlink ref="B477" r:id="rId950" xr:uid="{00000000-0004-0000-0000-0000B5030000}"/>
    <hyperlink ref="A478" r:id="rId951" xr:uid="{00000000-0004-0000-0000-0000B6030000}"/>
    <hyperlink ref="B478" r:id="rId952" xr:uid="{00000000-0004-0000-0000-0000B7030000}"/>
    <hyperlink ref="A479" r:id="rId953" xr:uid="{00000000-0004-0000-0000-0000B8030000}"/>
    <hyperlink ref="B479" r:id="rId954" xr:uid="{00000000-0004-0000-0000-0000B9030000}"/>
    <hyperlink ref="A480" r:id="rId955" xr:uid="{00000000-0004-0000-0000-0000BA030000}"/>
    <hyperlink ref="B480" r:id="rId956" xr:uid="{00000000-0004-0000-0000-0000BB030000}"/>
    <hyperlink ref="A481" r:id="rId957" xr:uid="{00000000-0004-0000-0000-0000BC030000}"/>
    <hyperlink ref="B481" r:id="rId958" xr:uid="{00000000-0004-0000-0000-0000BD030000}"/>
    <hyperlink ref="A482" r:id="rId959" xr:uid="{00000000-0004-0000-0000-0000BE030000}"/>
    <hyperlink ref="B482" r:id="rId960" xr:uid="{00000000-0004-0000-0000-0000BF030000}"/>
    <hyperlink ref="A483" r:id="rId961" xr:uid="{00000000-0004-0000-0000-0000C0030000}"/>
    <hyperlink ref="B483" r:id="rId962" xr:uid="{00000000-0004-0000-0000-0000C1030000}"/>
    <hyperlink ref="A484" r:id="rId963" xr:uid="{00000000-0004-0000-0000-0000C2030000}"/>
    <hyperlink ref="B484" r:id="rId964" xr:uid="{00000000-0004-0000-0000-0000C3030000}"/>
    <hyperlink ref="A485" r:id="rId965" xr:uid="{00000000-0004-0000-0000-0000C4030000}"/>
    <hyperlink ref="B485" r:id="rId966" xr:uid="{00000000-0004-0000-0000-0000C5030000}"/>
    <hyperlink ref="A486" r:id="rId967" xr:uid="{00000000-0004-0000-0000-0000C6030000}"/>
    <hyperlink ref="B486" r:id="rId968" xr:uid="{00000000-0004-0000-0000-0000C7030000}"/>
    <hyperlink ref="A487" r:id="rId969" xr:uid="{00000000-0004-0000-0000-0000C8030000}"/>
    <hyperlink ref="B487" r:id="rId970" xr:uid="{00000000-0004-0000-0000-0000C9030000}"/>
    <hyperlink ref="A488" r:id="rId971" xr:uid="{00000000-0004-0000-0000-0000CA030000}"/>
    <hyperlink ref="B488" r:id="rId972" xr:uid="{00000000-0004-0000-0000-0000CB030000}"/>
    <hyperlink ref="A489" r:id="rId973" xr:uid="{00000000-0004-0000-0000-0000CC030000}"/>
    <hyperlink ref="B489" r:id="rId974" xr:uid="{00000000-0004-0000-0000-0000CD030000}"/>
    <hyperlink ref="A490" r:id="rId975" xr:uid="{00000000-0004-0000-0000-0000CE030000}"/>
    <hyperlink ref="B490" r:id="rId976" xr:uid="{00000000-0004-0000-0000-0000CF030000}"/>
    <hyperlink ref="A491" r:id="rId977" xr:uid="{00000000-0004-0000-0000-0000D0030000}"/>
    <hyperlink ref="B491" r:id="rId978" xr:uid="{00000000-0004-0000-0000-0000D1030000}"/>
    <hyperlink ref="A492" r:id="rId979" xr:uid="{00000000-0004-0000-0000-0000D2030000}"/>
    <hyperlink ref="B492" r:id="rId980" xr:uid="{00000000-0004-0000-0000-0000D3030000}"/>
    <hyperlink ref="A493" r:id="rId981" xr:uid="{00000000-0004-0000-0000-0000D4030000}"/>
    <hyperlink ref="B493" r:id="rId982" xr:uid="{00000000-0004-0000-0000-0000D5030000}"/>
    <hyperlink ref="A494" r:id="rId983" xr:uid="{00000000-0004-0000-0000-0000D6030000}"/>
    <hyperlink ref="B494" r:id="rId984" xr:uid="{00000000-0004-0000-0000-0000D7030000}"/>
    <hyperlink ref="A495" r:id="rId985" xr:uid="{00000000-0004-0000-0000-0000D8030000}"/>
    <hyperlink ref="B495" r:id="rId986" xr:uid="{00000000-0004-0000-0000-0000D9030000}"/>
    <hyperlink ref="A496" r:id="rId987" xr:uid="{00000000-0004-0000-0000-0000DA030000}"/>
    <hyperlink ref="B496" r:id="rId988" xr:uid="{00000000-0004-0000-0000-0000DB030000}"/>
    <hyperlink ref="A497" r:id="rId989" xr:uid="{00000000-0004-0000-0000-0000DC030000}"/>
    <hyperlink ref="B497" r:id="rId990" xr:uid="{00000000-0004-0000-0000-0000DD030000}"/>
    <hyperlink ref="A498" r:id="rId991" xr:uid="{00000000-0004-0000-0000-0000DE030000}"/>
    <hyperlink ref="B498" r:id="rId992" xr:uid="{00000000-0004-0000-0000-0000DF030000}"/>
    <hyperlink ref="A499" r:id="rId993" xr:uid="{00000000-0004-0000-0000-0000E0030000}"/>
    <hyperlink ref="B499" r:id="rId994" xr:uid="{00000000-0004-0000-0000-0000E1030000}"/>
    <hyperlink ref="A500" r:id="rId995" xr:uid="{00000000-0004-0000-0000-0000E2030000}"/>
    <hyperlink ref="B500" r:id="rId996" xr:uid="{00000000-0004-0000-0000-0000E3030000}"/>
    <hyperlink ref="A501" r:id="rId997" xr:uid="{00000000-0004-0000-0000-0000E4030000}"/>
    <hyperlink ref="B501" r:id="rId998" xr:uid="{00000000-0004-0000-0000-0000E5030000}"/>
    <hyperlink ref="A502" r:id="rId999" xr:uid="{00000000-0004-0000-0000-0000E6030000}"/>
    <hyperlink ref="B502" r:id="rId1000" xr:uid="{00000000-0004-0000-0000-0000E7030000}"/>
    <hyperlink ref="A503" r:id="rId1001" xr:uid="{00000000-0004-0000-0000-0000E8030000}"/>
    <hyperlink ref="B503" r:id="rId1002" xr:uid="{00000000-0004-0000-0000-0000E9030000}"/>
    <hyperlink ref="A504" r:id="rId1003" xr:uid="{00000000-0004-0000-0000-0000EA030000}"/>
    <hyperlink ref="B504" r:id="rId1004" xr:uid="{00000000-0004-0000-0000-0000EB030000}"/>
    <hyperlink ref="A505" r:id="rId1005" xr:uid="{00000000-0004-0000-0000-0000EC030000}"/>
    <hyperlink ref="B505" r:id="rId1006" xr:uid="{00000000-0004-0000-0000-0000ED030000}"/>
    <hyperlink ref="A506" r:id="rId1007" xr:uid="{00000000-0004-0000-0000-0000EE030000}"/>
    <hyperlink ref="B506" r:id="rId1008" xr:uid="{00000000-0004-0000-0000-0000EF030000}"/>
    <hyperlink ref="A507" r:id="rId1009" xr:uid="{00000000-0004-0000-0000-0000F0030000}"/>
    <hyperlink ref="B507" r:id="rId1010" xr:uid="{00000000-0004-0000-0000-0000F1030000}"/>
    <hyperlink ref="A508" r:id="rId1011" xr:uid="{00000000-0004-0000-0000-0000F2030000}"/>
    <hyperlink ref="B508" r:id="rId1012" xr:uid="{00000000-0004-0000-0000-0000F3030000}"/>
    <hyperlink ref="A509" r:id="rId1013" xr:uid="{00000000-0004-0000-0000-0000F4030000}"/>
    <hyperlink ref="B509" r:id="rId1014" xr:uid="{00000000-0004-0000-0000-0000F5030000}"/>
    <hyperlink ref="A510" r:id="rId1015" xr:uid="{00000000-0004-0000-0000-0000F6030000}"/>
    <hyperlink ref="B510" r:id="rId1016" xr:uid="{00000000-0004-0000-0000-0000F7030000}"/>
    <hyperlink ref="A511" r:id="rId1017" xr:uid="{00000000-0004-0000-0000-0000F8030000}"/>
    <hyperlink ref="B511" r:id="rId1018" xr:uid="{00000000-0004-0000-0000-0000F9030000}"/>
    <hyperlink ref="A512" r:id="rId1019" xr:uid="{00000000-0004-0000-0000-0000FA030000}"/>
    <hyperlink ref="B512" r:id="rId1020" xr:uid="{00000000-0004-0000-0000-0000FB030000}"/>
    <hyperlink ref="A513" r:id="rId1021" xr:uid="{00000000-0004-0000-0000-0000FC030000}"/>
    <hyperlink ref="B513" r:id="rId1022" xr:uid="{00000000-0004-0000-0000-0000FD030000}"/>
    <hyperlink ref="A514" r:id="rId1023" xr:uid="{00000000-0004-0000-0000-0000FE030000}"/>
    <hyperlink ref="B514" r:id="rId1024" xr:uid="{00000000-0004-0000-0000-0000FF030000}"/>
    <hyperlink ref="A515" r:id="rId1025" xr:uid="{00000000-0004-0000-0000-000000040000}"/>
    <hyperlink ref="B515" r:id="rId1026" xr:uid="{00000000-0004-0000-0000-000001040000}"/>
    <hyperlink ref="A516" r:id="rId1027" xr:uid="{00000000-0004-0000-0000-000002040000}"/>
    <hyperlink ref="B516" r:id="rId1028" xr:uid="{00000000-0004-0000-0000-000003040000}"/>
    <hyperlink ref="A517" r:id="rId1029" xr:uid="{00000000-0004-0000-0000-000004040000}"/>
    <hyperlink ref="B517" r:id="rId1030" xr:uid="{00000000-0004-0000-0000-000005040000}"/>
    <hyperlink ref="A518" r:id="rId1031" xr:uid="{00000000-0004-0000-0000-000006040000}"/>
    <hyperlink ref="B518" r:id="rId1032" xr:uid="{00000000-0004-0000-0000-000007040000}"/>
    <hyperlink ref="A519" r:id="rId1033" xr:uid="{00000000-0004-0000-0000-000008040000}"/>
    <hyperlink ref="B519" r:id="rId1034" xr:uid="{00000000-0004-0000-0000-000009040000}"/>
    <hyperlink ref="A520" r:id="rId1035" xr:uid="{00000000-0004-0000-0000-00000A040000}"/>
    <hyperlink ref="B520" r:id="rId1036" xr:uid="{00000000-0004-0000-0000-00000B040000}"/>
    <hyperlink ref="A521" r:id="rId1037" xr:uid="{00000000-0004-0000-0000-00000C040000}"/>
    <hyperlink ref="B521" r:id="rId1038" xr:uid="{00000000-0004-0000-0000-00000D040000}"/>
    <hyperlink ref="A522" r:id="rId1039" xr:uid="{00000000-0004-0000-0000-00000E040000}"/>
    <hyperlink ref="B522" r:id="rId1040" xr:uid="{00000000-0004-0000-0000-00000F040000}"/>
    <hyperlink ref="A523" r:id="rId1041" xr:uid="{00000000-0004-0000-0000-000010040000}"/>
    <hyperlink ref="B523" r:id="rId1042" xr:uid="{00000000-0004-0000-0000-000011040000}"/>
    <hyperlink ref="A524" r:id="rId1043" xr:uid="{00000000-0004-0000-0000-000012040000}"/>
    <hyperlink ref="B524" r:id="rId1044" xr:uid="{00000000-0004-0000-0000-000013040000}"/>
    <hyperlink ref="A525" r:id="rId1045" xr:uid="{00000000-0004-0000-0000-000014040000}"/>
    <hyperlink ref="B525" r:id="rId1046" xr:uid="{00000000-0004-0000-0000-000015040000}"/>
    <hyperlink ref="A526" r:id="rId1047" xr:uid="{00000000-0004-0000-0000-000016040000}"/>
    <hyperlink ref="B526" r:id="rId1048" xr:uid="{00000000-0004-0000-0000-000017040000}"/>
    <hyperlink ref="A527" r:id="rId1049" xr:uid="{00000000-0004-0000-0000-000018040000}"/>
    <hyperlink ref="B527" r:id="rId1050" xr:uid="{00000000-0004-0000-0000-000019040000}"/>
    <hyperlink ref="A528" r:id="rId1051" xr:uid="{00000000-0004-0000-0000-00001A040000}"/>
    <hyperlink ref="B528" r:id="rId1052" xr:uid="{00000000-0004-0000-0000-00001B040000}"/>
    <hyperlink ref="A529" r:id="rId1053" xr:uid="{00000000-0004-0000-0000-00001C040000}"/>
    <hyperlink ref="B529" r:id="rId1054" xr:uid="{00000000-0004-0000-0000-00001D040000}"/>
    <hyperlink ref="A530" r:id="rId1055" xr:uid="{00000000-0004-0000-0000-00001E040000}"/>
    <hyperlink ref="B530" r:id="rId1056" xr:uid="{00000000-0004-0000-0000-00001F040000}"/>
    <hyperlink ref="A531" r:id="rId1057" xr:uid="{00000000-0004-0000-0000-000020040000}"/>
    <hyperlink ref="B531" r:id="rId1058" xr:uid="{00000000-0004-0000-0000-000021040000}"/>
    <hyperlink ref="A532" r:id="rId1059" xr:uid="{00000000-0004-0000-0000-000022040000}"/>
    <hyperlink ref="B532" r:id="rId1060" xr:uid="{00000000-0004-0000-0000-000023040000}"/>
    <hyperlink ref="A533" r:id="rId1061" xr:uid="{00000000-0004-0000-0000-000024040000}"/>
    <hyperlink ref="B533" r:id="rId1062" xr:uid="{00000000-0004-0000-0000-000025040000}"/>
    <hyperlink ref="A534" r:id="rId1063" xr:uid="{00000000-0004-0000-0000-000026040000}"/>
    <hyperlink ref="B534" r:id="rId1064" xr:uid="{00000000-0004-0000-0000-000027040000}"/>
    <hyperlink ref="A535" r:id="rId1065" xr:uid="{00000000-0004-0000-0000-000028040000}"/>
    <hyperlink ref="B535" r:id="rId1066" xr:uid="{00000000-0004-0000-0000-000029040000}"/>
    <hyperlink ref="A536" r:id="rId1067" xr:uid="{00000000-0004-0000-0000-00002A040000}"/>
    <hyperlink ref="B536" r:id="rId1068" xr:uid="{00000000-0004-0000-0000-00002B040000}"/>
    <hyperlink ref="A537" r:id="rId1069" xr:uid="{00000000-0004-0000-0000-00002C040000}"/>
    <hyperlink ref="B537" r:id="rId1070" xr:uid="{00000000-0004-0000-0000-00002D040000}"/>
    <hyperlink ref="A538" r:id="rId1071" xr:uid="{00000000-0004-0000-0000-00002E040000}"/>
    <hyperlink ref="B538" r:id="rId1072" xr:uid="{00000000-0004-0000-0000-00002F040000}"/>
    <hyperlink ref="A539" r:id="rId1073" xr:uid="{00000000-0004-0000-0000-000030040000}"/>
    <hyperlink ref="B539" r:id="rId1074" xr:uid="{00000000-0004-0000-0000-000031040000}"/>
    <hyperlink ref="A540" r:id="rId1075" xr:uid="{00000000-0004-0000-0000-000032040000}"/>
    <hyperlink ref="B540" r:id="rId1076" xr:uid="{00000000-0004-0000-0000-000033040000}"/>
    <hyperlink ref="A541" r:id="rId1077" xr:uid="{00000000-0004-0000-0000-000034040000}"/>
    <hyperlink ref="B541" r:id="rId1078" xr:uid="{00000000-0004-0000-0000-000035040000}"/>
    <hyperlink ref="A542" r:id="rId1079" xr:uid="{00000000-0004-0000-0000-000036040000}"/>
    <hyperlink ref="B542" r:id="rId1080" xr:uid="{00000000-0004-0000-0000-000037040000}"/>
    <hyperlink ref="A543" r:id="rId1081" xr:uid="{00000000-0004-0000-0000-000038040000}"/>
    <hyperlink ref="B543" r:id="rId1082" xr:uid="{00000000-0004-0000-0000-000039040000}"/>
    <hyperlink ref="A544" r:id="rId1083" xr:uid="{00000000-0004-0000-0000-00003A040000}"/>
    <hyperlink ref="B544" r:id="rId1084" xr:uid="{00000000-0004-0000-0000-00003B040000}"/>
    <hyperlink ref="A545" r:id="rId1085" xr:uid="{00000000-0004-0000-0000-00003C040000}"/>
    <hyperlink ref="B545" r:id="rId1086" xr:uid="{00000000-0004-0000-0000-00003D040000}"/>
    <hyperlink ref="A546" r:id="rId1087" xr:uid="{00000000-0004-0000-0000-00003E040000}"/>
    <hyperlink ref="B546" r:id="rId1088" xr:uid="{00000000-0004-0000-0000-00003F040000}"/>
    <hyperlink ref="A547" r:id="rId1089" xr:uid="{00000000-0004-0000-0000-000040040000}"/>
    <hyperlink ref="B547" r:id="rId1090" xr:uid="{00000000-0004-0000-0000-000041040000}"/>
    <hyperlink ref="A548" r:id="rId1091" xr:uid="{00000000-0004-0000-0000-000042040000}"/>
    <hyperlink ref="B548" r:id="rId1092" xr:uid="{00000000-0004-0000-0000-000043040000}"/>
    <hyperlink ref="A549" r:id="rId1093" xr:uid="{00000000-0004-0000-0000-000044040000}"/>
    <hyperlink ref="B549" r:id="rId1094" xr:uid="{00000000-0004-0000-0000-000045040000}"/>
    <hyperlink ref="A550" r:id="rId1095" xr:uid="{00000000-0004-0000-0000-000046040000}"/>
    <hyperlink ref="B550" r:id="rId1096" xr:uid="{00000000-0004-0000-0000-000047040000}"/>
    <hyperlink ref="A551" r:id="rId1097" xr:uid="{00000000-0004-0000-0000-000048040000}"/>
    <hyperlink ref="B551" r:id="rId1098" xr:uid="{00000000-0004-0000-0000-000049040000}"/>
    <hyperlink ref="A552" r:id="rId1099" xr:uid="{00000000-0004-0000-0000-00004A040000}"/>
    <hyperlink ref="B552" r:id="rId1100" xr:uid="{00000000-0004-0000-0000-00004B040000}"/>
    <hyperlink ref="A553" r:id="rId1101" xr:uid="{00000000-0004-0000-0000-00004C040000}"/>
    <hyperlink ref="B553" r:id="rId1102" xr:uid="{00000000-0004-0000-0000-00004D040000}"/>
    <hyperlink ref="A554" r:id="rId1103" xr:uid="{00000000-0004-0000-0000-00004E040000}"/>
    <hyperlink ref="B554" r:id="rId1104" xr:uid="{00000000-0004-0000-0000-00004F040000}"/>
    <hyperlink ref="A555" r:id="rId1105" xr:uid="{00000000-0004-0000-0000-000050040000}"/>
    <hyperlink ref="B555" r:id="rId1106" xr:uid="{00000000-0004-0000-0000-000051040000}"/>
    <hyperlink ref="A556" r:id="rId1107" xr:uid="{00000000-0004-0000-0000-000052040000}"/>
    <hyperlink ref="B556" r:id="rId1108" xr:uid="{00000000-0004-0000-0000-000053040000}"/>
    <hyperlink ref="A557" r:id="rId1109" xr:uid="{00000000-0004-0000-0000-000054040000}"/>
    <hyperlink ref="B557" r:id="rId1110" xr:uid="{00000000-0004-0000-0000-000055040000}"/>
    <hyperlink ref="A558" r:id="rId1111" xr:uid="{00000000-0004-0000-0000-000056040000}"/>
    <hyperlink ref="B558" r:id="rId1112" xr:uid="{00000000-0004-0000-0000-000057040000}"/>
    <hyperlink ref="A559" r:id="rId1113" xr:uid="{00000000-0004-0000-0000-000058040000}"/>
    <hyperlink ref="B559" r:id="rId1114" xr:uid="{00000000-0004-0000-0000-000059040000}"/>
    <hyperlink ref="A560" r:id="rId1115" xr:uid="{00000000-0004-0000-0000-00005A040000}"/>
    <hyperlink ref="B560" r:id="rId1116" xr:uid="{00000000-0004-0000-0000-00005B040000}"/>
    <hyperlink ref="A561" r:id="rId1117" xr:uid="{00000000-0004-0000-0000-00005C040000}"/>
    <hyperlink ref="B561" r:id="rId1118" xr:uid="{00000000-0004-0000-0000-00005D040000}"/>
    <hyperlink ref="A562" r:id="rId1119" xr:uid="{00000000-0004-0000-0000-00005E040000}"/>
    <hyperlink ref="B562" r:id="rId1120" xr:uid="{00000000-0004-0000-0000-00005F040000}"/>
    <hyperlink ref="A563" r:id="rId1121" xr:uid="{00000000-0004-0000-0000-000060040000}"/>
    <hyperlink ref="B563" r:id="rId1122" xr:uid="{00000000-0004-0000-0000-000061040000}"/>
    <hyperlink ref="A564" r:id="rId1123" xr:uid="{00000000-0004-0000-0000-000062040000}"/>
    <hyperlink ref="B564" r:id="rId1124" xr:uid="{00000000-0004-0000-0000-000063040000}"/>
    <hyperlink ref="A565" r:id="rId1125" xr:uid="{00000000-0004-0000-0000-000064040000}"/>
    <hyperlink ref="B565" r:id="rId1126" xr:uid="{00000000-0004-0000-0000-000065040000}"/>
    <hyperlink ref="A566" r:id="rId1127" xr:uid="{00000000-0004-0000-0000-000066040000}"/>
    <hyperlink ref="B566" r:id="rId1128" xr:uid="{00000000-0004-0000-0000-000067040000}"/>
    <hyperlink ref="A567" r:id="rId1129" xr:uid="{00000000-0004-0000-0000-000068040000}"/>
    <hyperlink ref="B567" r:id="rId1130" xr:uid="{00000000-0004-0000-0000-000069040000}"/>
    <hyperlink ref="A568" r:id="rId1131" xr:uid="{00000000-0004-0000-0000-00006A040000}"/>
    <hyperlink ref="B568" r:id="rId1132" xr:uid="{00000000-0004-0000-0000-00006B040000}"/>
    <hyperlink ref="A569" r:id="rId1133" xr:uid="{00000000-0004-0000-0000-00006C040000}"/>
    <hyperlink ref="B569" r:id="rId1134" xr:uid="{00000000-0004-0000-0000-00006D040000}"/>
    <hyperlink ref="A570" r:id="rId1135" xr:uid="{00000000-0004-0000-0000-00006E040000}"/>
    <hyperlink ref="B570" r:id="rId1136" xr:uid="{00000000-0004-0000-0000-00006F040000}"/>
    <hyperlink ref="A571" r:id="rId1137" xr:uid="{00000000-0004-0000-0000-000070040000}"/>
    <hyperlink ref="B571" r:id="rId1138" xr:uid="{00000000-0004-0000-0000-00007104000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X132"/>
  <sheetViews>
    <sheetView showGridLines="0" topLeftCell="A49" workbookViewId="0">
      <selection activeCell="D52" sqref="D52"/>
    </sheetView>
  </sheetViews>
  <sheetFormatPr baseColWidth="10" defaultColWidth="12.6640625" defaultRowHeight="15.75" customHeight="1"/>
  <cols>
    <col min="1" max="1" width="20.1640625" customWidth="1"/>
    <col min="2" max="2" width="25" customWidth="1"/>
    <col min="3" max="3" width="24.1640625" customWidth="1"/>
    <col min="4" max="4" width="29.6640625" customWidth="1"/>
    <col min="5" max="5" width="20.83203125" customWidth="1"/>
    <col min="6" max="6" width="22.6640625" customWidth="1"/>
    <col min="7" max="7" width="15.5" customWidth="1"/>
    <col min="8" max="8" width="22.1640625" customWidth="1"/>
    <col min="10" max="24" width="12.6640625" hidden="1"/>
  </cols>
  <sheetData>
    <row r="1" spans="1:9" ht="13">
      <c r="A1" s="41" t="s">
        <v>1181</v>
      </c>
      <c r="B1" s="42"/>
      <c r="C1" s="42"/>
      <c r="D1" s="42"/>
      <c r="E1" s="42"/>
      <c r="F1" s="42"/>
      <c r="G1" s="42"/>
      <c r="H1" s="42"/>
      <c r="I1" s="42"/>
    </row>
    <row r="2" spans="1:9" ht="15.75" customHeight="1">
      <c r="A2" s="42"/>
      <c r="B2" s="42"/>
      <c r="C2" s="42"/>
      <c r="D2" s="42"/>
      <c r="E2" s="42"/>
      <c r="F2" s="42"/>
      <c r="G2" s="42"/>
      <c r="H2" s="42"/>
      <c r="I2" s="42"/>
    </row>
    <row r="6" spans="1:9" ht="13">
      <c r="A6" s="17" t="s">
        <v>1182</v>
      </c>
      <c r="B6" s="17" t="s">
        <v>1183</v>
      </c>
      <c r="C6" s="17" t="s">
        <v>1184</v>
      </c>
      <c r="D6" s="17" t="s">
        <v>1185</v>
      </c>
    </row>
    <row r="7" spans="1:9" ht="13">
      <c r="A7" s="18" t="s">
        <v>1186</v>
      </c>
      <c r="B7" s="18" t="str">
        <f>VLOOKUP(A7,Equipe!A:B,2,0)</f>
        <v>Miami Heat</v>
      </c>
      <c r="C7" s="18">
        <f>COUNTIF('Données NBA'!B:B,A7)</f>
        <v>19</v>
      </c>
      <c r="D7" s="18">
        <f>SUMIF('Données NBA'!B:B,A7,'Données NBA'!H:H)</f>
        <v>9828</v>
      </c>
    </row>
    <row r="8" spans="1:9" ht="13">
      <c r="A8" s="19" t="s">
        <v>1187</v>
      </c>
      <c r="B8" s="19" t="str">
        <f>VLOOKUP(A8,Equipe!A:B,2,0)</f>
        <v>Oklahoma City Thunder</v>
      </c>
      <c r="C8" s="19">
        <f>COUNTIF('Données NBA'!B:B,A8)</f>
        <v>18</v>
      </c>
      <c r="D8" s="19">
        <f>SUMIF('Données NBA'!B:B,A8,'Données NBA'!H:H)</f>
        <v>9880</v>
      </c>
    </row>
    <row r="9" spans="1:9" ht="13">
      <c r="A9" s="18" t="s">
        <v>1188</v>
      </c>
      <c r="B9" s="18" t="str">
        <f>VLOOKUP(A9,Equipe!A:B,2,0)</f>
        <v>Los Angeles Clippers</v>
      </c>
      <c r="C9" s="18">
        <f>COUNTIF('Données NBA'!B:B,A9)</f>
        <v>17</v>
      </c>
      <c r="D9" s="18">
        <f>SUMIF('Données NBA'!B:B,A9,'Données NBA'!H:H)</f>
        <v>9050</v>
      </c>
    </row>
    <row r="10" spans="1:9" ht="13">
      <c r="A10" s="19" t="s">
        <v>1189</v>
      </c>
      <c r="B10" s="19" t="str">
        <f>VLOOKUP(A10,Equipe!A:B,2,0)</f>
        <v>Brooklyn Nets</v>
      </c>
      <c r="C10" s="19">
        <f>COUNTIF('Données NBA'!B:B,A10)</f>
        <v>20</v>
      </c>
      <c r="D10" s="19">
        <f>SUMIF('Données NBA'!B:B,A10,'Données NBA'!H:H)</f>
        <v>7999</v>
      </c>
    </row>
    <row r="11" spans="1:9" ht="13">
      <c r="A11" s="18" t="s">
        <v>1190</v>
      </c>
      <c r="B11" s="18" t="str">
        <f>VLOOKUP(A11,Equipe!A:B,2,0)</f>
        <v>Atlanta Hawks</v>
      </c>
      <c r="C11" s="18">
        <f>COUNTIF('Données NBA'!B:B,A11)</f>
        <v>18</v>
      </c>
      <c r="D11" s="18">
        <f>SUMIF('Données NBA'!B:B,A11,'Données NBA'!H:H)</f>
        <v>9689</v>
      </c>
    </row>
    <row r="12" spans="1:9" ht="13">
      <c r="A12" s="19" t="s">
        <v>1191</v>
      </c>
      <c r="B12" s="19" t="str">
        <f>VLOOKUP(A12,Equipe!A:B,2,0)</f>
        <v>Orlando Magic</v>
      </c>
      <c r="C12" s="19">
        <f>COUNTIF('Données NBA'!B:B,A12)</f>
        <v>17</v>
      </c>
      <c r="D12" s="19">
        <f>SUMIF('Données NBA'!B:B,A12,'Données NBA'!H:H)</f>
        <v>8648</v>
      </c>
    </row>
    <row r="13" spans="1:9" ht="13">
      <c r="A13" s="18" t="s">
        <v>1192</v>
      </c>
      <c r="B13" s="18" t="str">
        <f>VLOOKUP(A13,Equipe!A:B,2,0)</f>
        <v>Boston Celtics</v>
      </c>
      <c r="C13" s="18">
        <f>COUNTIF('Données NBA'!B:B,A13)</f>
        <v>17</v>
      </c>
      <c r="D13" s="18">
        <f>SUMIF('Données NBA'!B:B,A13,'Données NBA'!H:H)</f>
        <v>9551</v>
      </c>
    </row>
    <row r="14" spans="1:9" ht="13">
      <c r="A14" s="19" t="s">
        <v>1193</v>
      </c>
      <c r="B14" s="19" t="str">
        <f>VLOOKUP(A14,Equipe!A:B,2,0)</f>
        <v>Cleveland Cavaliers</v>
      </c>
      <c r="C14" s="19">
        <f>COUNTIF('Données NBA'!B:B,A14)</f>
        <v>18</v>
      </c>
      <c r="D14" s="19">
        <f>SUMIF('Données NBA'!B:B,A14,'Données NBA'!H:H)</f>
        <v>10180</v>
      </c>
    </row>
    <row r="15" spans="1:9" ht="13">
      <c r="A15" s="18" t="s">
        <v>1194</v>
      </c>
      <c r="B15" s="18" t="str">
        <f>VLOOKUP(A15,Equipe!A:B,2,0)</f>
        <v>Detroit Pistons</v>
      </c>
      <c r="C15" s="18">
        <f>COUNTIF('Données NBA'!B:B,A15)</f>
        <v>19</v>
      </c>
      <c r="D15" s="18">
        <f>SUMIF('Données NBA'!B:B,A15,'Données NBA'!H:H)</f>
        <v>10292</v>
      </c>
    </row>
    <row r="16" spans="1:9" ht="13">
      <c r="A16" s="19" t="s">
        <v>1195</v>
      </c>
      <c r="B16" s="19" t="str">
        <f>VLOOKUP(A16,Equipe!A:B,2,0)</f>
        <v>Minnesota Timberwolves</v>
      </c>
      <c r="C16" s="19">
        <f>COUNTIF('Données NBA'!B:B,A16)</f>
        <v>20</v>
      </c>
      <c r="D16" s="19">
        <f>SUMIF('Données NBA'!B:B,A16,'Données NBA'!H:H)</f>
        <v>9523</v>
      </c>
    </row>
    <row r="17" spans="1:4" ht="13">
      <c r="A17" s="18" t="s">
        <v>1196</v>
      </c>
      <c r="B17" s="18" t="str">
        <f>VLOOKUP(A17,Equipe!A:B,2,0)</f>
        <v>Utah Jazz</v>
      </c>
      <c r="C17" s="18">
        <f>COUNTIF('Données NBA'!B:B,A17)</f>
        <v>18</v>
      </c>
      <c r="D17" s="18">
        <f>SUMIF('Données NBA'!B:B,A17,'Données NBA'!H:H)</f>
        <v>9096</v>
      </c>
    </row>
    <row r="18" spans="1:4" ht="13">
      <c r="A18" s="19" t="s">
        <v>1197</v>
      </c>
      <c r="B18" s="19" t="str">
        <f>VLOOKUP(A18,Equipe!A:B,2,0)</f>
        <v>Sacramento Kings</v>
      </c>
      <c r="C18" s="19">
        <f>COUNTIF('Données NBA'!B:B,A18)</f>
        <v>19</v>
      </c>
      <c r="D18" s="19">
        <f>SUMIF('Données NBA'!B:B,A18,'Données NBA'!H:H)</f>
        <v>9786</v>
      </c>
    </row>
    <row r="19" spans="1:4" ht="13">
      <c r="A19" s="18" t="s">
        <v>1198</v>
      </c>
      <c r="B19" s="18" t="str">
        <f>VLOOKUP(A19,Equipe!A:B,2,0)</f>
        <v>New York Knicks</v>
      </c>
      <c r="C19" s="18">
        <f>COUNTIF('Données NBA'!B:B,A19)</f>
        <v>19</v>
      </c>
      <c r="D19" s="18">
        <f>SUMIF('Données NBA'!B:B,A19,'Données NBA'!H:H)</f>
        <v>9540</v>
      </c>
    </row>
    <row r="20" spans="1:4" ht="13">
      <c r="A20" s="19" t="s">
        <v>1199</v>
      </c>
      <c r="B20" s="19" t="str">
        <f>VLOOKUP(A20,Equipe!A:B,2,0)</f>
        <v>Houston Rockets</v>
      </c>
      <c r="C20" s="19">
        <f>COUNTIF('Données NBA'!B:B,A20)</f>
        <v>18</v>
      </c>
      <c r="D20" s="19">
        <f>SUMIF('Données NBA'!B:B,A20,'Données NBA'!H:H)</f>
        <v>9515</v>
      </c>
    </row>
    <row r="21" spans="1:4" ht="13">
      <c r="A21" s="18" t="s">
        <v>1200</v>
      </c>
      <c r="B21" s="18" t="str">
        <f>VLOOKUP(A21,Equipe!A:B,2,0)</f>
        <v>Los Angeles Lakers</v>
      </c>
      <c r="C21" s="18">
        <f>COUNTIF('Données NBA'!B:B,A21)</f>
        <v>20</v>
      </c>
      <c r="D21" s="18">
        <f>SUMIF('Données NBA'!B:B,A21,'Données NBA'!H:H)</f>
        <v>8691</v>
      </c>
    </row>
    <row r="22" spans="1:4" ht="13">
      <c r="A22" s="19" t="s">
        <v>1201</v>
      </c>
      <c r="B22" s="19" t="str">
        <f>VLOOKUP(A22,Equipe!A:B,2,0)</f>
        <v>Chicago Bulls</v>
      </c>
      <c r="C22" s="19">
        <f>COUNTIF('Données NBA'!B:B,A22)</f>
        <v>20</v>
      </c>
      <c r="D22" s="19">
        <f>SUMIF('Données NBA'!B:B,A22,'Données NBA'!H:H)</f>
        <v>9230</v>
      </c>
    </row>
    <row r="23" spans="1:4" ht="13">
      <c r="A23" s="18" t="s">
        <v>1202</v>
      </c>
      <c r="B23" s="18" t="str">
        <f>VLOOKUP(A23,Equipe!A:B,2,0)</f>
        <v>Denver Nuggets</v>
      </c>
      <c r="C23" s="18">
        <f>COUNTIF('Données NBA'!B:B,A23)</f>
        <v>17</v>
      </c>
      <c r="D23" s="18">
        <f>SUMIF('Données NBA'!B:B,A23,'Données NBA'!H:H)</f>
        <v>9899</v>
      </c>
    </row>
    <row r="24" spans="1:4" ht="13">
      <c r="A24" s="19" t="s">
        <v>1203</v>
      </c>
      <c r="B24" s="19" t="str">
        <f>VLOOKUP(A24,Equipe!A:B,2,0)</f>
        <v>San Antonio Spurs</v>
      </c>
      <c r="C24" s="19">
        <f>COUNTIF('Données NBA'!B:B,A24)</f>
        <v>18</v>
      </c>
      <c r="D24" s="19">
        <f>SUMIF('Données NBA'!B:B,A24,'Données NBA'!H:H)</f>
        <v>10198</v>
      </c>
    </row>
    <row r="25" spans="1:4" ht="13">
      <c r="A25" s="18" t="s">
        <v>1204</v>
      </c>
      <c r="B25" s="18" t="str">
        <f>VLOOKUP(A25,Equipe!A:B,2,0)</f>
        <v>Portland Trail Blazers</v>
      </c>
      <c r="C25" s="18">
        <f>COUNTIF('Données NBA'!B:B,A25)</f>
        <v>19</v>
      </c>
      <c r="D25" s="18">
        <f>SUMIF('Données NBA'!B:B,A25,'Données NBA'!H:H)</f>
        <v>9113</v>
      </c>
    </row>
    <row r="26" spans="1:4" ht="13">
      <c r="A26" s="19" t="s">
        <v>1205</v>
      </c>
      <c r="B26" s="19" t="str">
        <f>VLOOKUP(A26,Equipe!A:B,2,0)</f>
        <v>Dallas Mavericks</v>
      </c>
      <c r="C26" s="19">
        <f>COUNTIF('Données NBA'!B:B,A26)</f>
        <v>19</v>
      </c>
      <c r="D26" s="19">
        <f>SUMIF('Données NBA'!B:B,A26,'Données NBA'!H:H)</f>
        <v>9970</v>
      </c>
    </row>
    <row r="27" spans="1:4" ht="13">
      <c r="A27" s="18" t="s">
        <v>1206</v>
      </c>
      <c r="B27" s="18" t="str">
        <f>VLOOKUP(A27,Equipe!A:B,2,0)</f>
        <v>Philadelphia 76ers</v>
      </c>
      <c r="C27" s="18">
        <f>COUNTIF('Données NBA'!B:B,A27)</f>
        <v>23</v>
      </c>
      <c r="D27" s="18">
        <f>SUMIF('Données NBA'!B:B,A27,'Données NBA'!H:H)</f>
        <v>9142</v>
      </c>
    </row>
    <row r="28" spans="1:4" ht="13">
      <c r="A28" s="19" t="s">
        <v>1207</v>
      </c>
      <c r="B28" s="19" t="str">
        <f>VLOOKUP(A28,Equipe!A:B,2,0)</f>
        <v>Washington Wizards</v>
      </c>
      <c r="C28" s="19">
        <f>COUNTIF('Données NBA'!B:B,A28)</f>
        <v>19</v>
      </c>
      <c r="D28" s="19">
        <f>SUMIF('Données NBA'!B:B,A28,'Données NBA'!H:H)</f>
        <v>7986</v>
      </c>
    </row>
    <row r="29" spans="1:4" ht="13">
      <c r="A29" s="18" t="s">
        <v>1208</v>
      </c>
      <c r="B29" s="18" t="str">
        <f>VLOOKUP(A29,Equipe!A:B,2,0)</f>
        <v>New Orleans Pelicans</v>
      </c>
      <c r="C29" s="18">
        <f>COUNTIF('Données NBA'!B:B,A29)</f>
        <v>22</v>
      </c>
      <c r="D29" s="18">
        <f>SUMIF('Données NBA'!B:B,A29,'Données NBA'!H:H)</f>
        <v>8763</v>
      </c>
    </row>
    <row r="30" spans="1:4" ht="13">
      <c r="A30" s="19" t="s">
        <v>1209</v>
      </c>
      <c r="B30" s="19" t="str">
        <f>VLOOKUP(A30,Equipe!A:B,2,0)</f>
        <v>Toronto Raptors</v>
      </c>
      <c r="C30" s="19">
        <f>COUNTIF('Données NBA'!B:B,A30)</f>
        <v>21</v>
      </c>
      <c r="D30" s="19">
        <f>SUMIF('Données NBA'!B:B,A30,'Données NBA'!H:H)</f>
        <v>8963</v>
      </c>
    </row>
    <row r="31" spans="1:4" ht="13">
      <c r="A31" s="18" t="s">
        <v>1210</v>
      </c>
      <c r="B31" s="18" t="str">
        <f>VLOOKUP(A31,Equipe!A:B,2,0)</f>
        <v>Charlotte Hornets</v>
      </c>
      <c r="C31" s="18">
        <f>COUNTIF('Données NBA'!B:B,A31)</f>
        <v>22</v>
      </c>
      <c r="D31" s="18">
        <f>SUMIF('Données NBA'!B:B,A31,'Données NBA'!H:H)</f>
        <v>8278</v>
      </c>
    </row>
    <row r="32" spans="1:4" ht="13">
      <c r="A32" s="19" t="s">
        <v>1211</v>
      </c>
      <c r="B32" s="19" t="str">
        <f>VLOOKUP(A32,Equipe!A:B,2,0)</f>
        <v>Indiana Pacers</v>
      </c>
      <c r="C32" s="19">
        <f>COUNTIF('Données NBA'!B:B,A32)</f>
        <v>20</v>
      </c>
      <c r="D32" s="19">
        <f>SUMIF('Données NBA'!B:B,A32,'Données NBA'!H:H)</f>
        <v>9630</v>
      </c>
    </row>
    <row r="33" spans="1:9" ht="13">
      <c r="A33" s="18" t="s">
        <v>1212</v>
      </c>
      <c r="B33" s="18" t="str">
        <f>VLOOKUP(A33,Equipe!A:B,2,0)</f>
        <v>Phoenix Suns</v>
      </c>
      <c r="C33" s="18">
        <f>COUNTIF('Données NBA'!B:B,A33)</f>
        <v>18</v>
      </c>
      <c r="D33" s="18">
        <f>SUMIF('Données NBA'!B:B,A33,'Données NBA'!H:H)</f>
        <v>9719</v>
      </c>
    </row>
    <row r="34" spans="1:9" ht="13">
      <c r="A34" s="19" t="s">
        <v>1213</v>
      </c>
      <c r="B34" s="19" t="str">
        <f>VLOOKUP(A34,Equipe!A:B,2,0)</f>
        <v>Golden State Warriors</v>
      </c>
      <c r="C34" s="19">
        <f>COUNTIF('Données NBA'!B:B,A34)</f>
        <v>17</v>
      </c>
      <c r="D34" s="19">
        <f>SUMIF('Données NBA'!B:B,A34,'Données NBA'!H:H)</f>
        <v>8288</v>
      </c>
    </row>
    <row r="35" spans="1:9" ht="13">
      <c r="A35" s="18" t="s">
        <v>1214</v>
      </c>
      <c r="B35" s="18" t="str">
        <f>VLOOKUP(A35,Equipe!A:B,2,0)</f>
        <v>Milwaukee Bucks</v>
      </c>
      <c r="C35" s="18">
        <f>COUNTIF('Données NBA'!B:B,A35)</f>
        <v>19</v>
      </c>
      <c r="D35" s="18">
        <f>SUMIF('Données NBA'!B:B,A35,'Données NBA'!H:H)</f>
        <v>10016</v>
      </c>
    </row>
    <row r="36" spans="1:9" ht="13">
      <c r="A36" s="19" t="s">
        <v>1215</v>
      </c>
      <c r="B36" s="19" t="str">
        <f>VLOOKUP(A36,Equipe!A:B,2,0)</f>
        <v>Memphis Grizzlies</v>
      </c>
      <c r="C36" s="19">
        <f>COUNTIF('Données NBA'!B:B,A36)</f>
        <v>18</v>
      </c>
      <c r="D36" s="19">
        <f>SUMIF('Données NBA'!B:B,A36,'Données NBA'!H:H)</f>
        <v>9552</v>
      </c>
    </row>
    <row r="39" spans="1:9" ht="13">
      <c r="A39" s="41" t="s">
        <v>1216</v>
      </c>
      <c r="B39" s="42"/>
      <c r="C39" s="42"/>
      <c r="D39" s="42"/>
      <c r="E39" s="42"/>
      <c r="F39" s="42"/>
      <c r="G39" s="42"/>
      <c r="H39" s="42"/>
      <c r="I39" s="42"/>
    </row>
    <row r="40" spans="1:9" ht="13">
      <c r="A40" s="33" t="s">
        <v>1</v>
      </c>
      <c r="B40" s="34" t="s">
        <v>1200</v>
      </c>
      <c r="C40" s="42"/>
      <c r="D40" s="42"/>
      <c r="E40" s="42"/>
      <c r="F40" s="42"/>
      <c r="G40" s="42"/>
      <c r="H40" s="42"/>
      <c r="I40" s="42"/>
    </row>
    <row r="42" spans="1:9" ht="13">
      <c r="A42" s="25"/>
      <c r="B42" s="26" t="s">
        <v>1334</v>
      </c>
      <c r="C42" s="27"/>
      <c r="D42" s="27"/>
      <c r="E42" s="27"/>
      <c r="F42" s="27"/>
      <c r="G42" s="28"/>
    </row>
    <row r="43" spans="1:9" ht="13">
      <c r="A43" s="26" t="s">
        <v>0</v>
      </c>
      <c r="B43" s="25" t="s">
        <v>1335</v>
      </c>
      <c r="C43" s="29" t="s">
        <v>1336</v>
      </c>
      <c r="D43" s="29" t="s">
        <v>1337</v>
      </c>
      <c r="E43" s="29" t="s">
        <v>1338</v>
      </c>
      <c r="F43" s="29" t="s">
        <v>1339</v>
      </c>
      <c r="G43" s="30" t="s">
        <v>1340</v>
      </c>
    </row>
    <row r="44" spans="1:9" ht="13">
      <c r="A44" s="25" t="s">
        <v>1217</v>
      </c>
      <c r="B44" s="45">
        <v>37</v>
      </c>
      <c r="C44" s="46">
        <v>55</v>
      </c>
      <c r="D44" s="46">
        <v>5.7</v>
      </c>
      <c r="E44" s="46">
        <v>37</v>
      </c>
      <c r="F44" s="46">
        <v>9</v>
      </c>
      <c r="G44" s="47">
        <v>23</v>
      </c>
    </row>
    <row r="45" spans="1:9" ht="13">
      <c r="A45" s="31" t="s">
        <v>1218</v>
      </c>
      <c r="B45" s="48">
        <v>2</v>
      </c>
      <c r="C45" s="49">
        <v>13</v>
      </c>
      <c r="D45" s="49">
        <v>2.7</v>
      </c>
      <c r="E45" s="49">
        <v>1</v>
      </c>
      <c r="F45" s="49">
        <v>4</v>
      </c>
      <c r="G45" s="50">
        <v>2</v>
      </c>
    </row>
    <row r="46" spans="1:9" ht="13">
      <c r="A46" s="31" t="s">
        <v>1219</v>
      </c>
      <c r="B46" s="48">
        <v>58</v>
      </c>
      <c r="C46" s="49">
        <v>270</v>
      </c>
      <c r="D46" s="49">
        <v>11.8</v>
      </c>
      <c r="E46" s="49">
        <v>423</v>
      </c>
      <c r="F46" s="49">
        <v>80</v>
      </c>
      <c r="G46" s="50">
        <v>22</v>
      </c>
    </row>
    <row r="47" spans="1:9" ht="13">
      <c r="A47" s="31" t="s">
        <v>1220</v>
      </c>
      <c r="B47" s="48">
        <v>3</v>
      </c>
      <c r="C47" s="49">
        <v>14</v>
      </c>
      <c r="D47" s="49">
        <v>5</v>
      </c>
      <c r="E47" s="49">
        <v>22</v>
      </c>
      <c r="F47" s="49">
        <v>8</v>
      </c>
      <c r="G47" s="50">
        <v>3</v>
      </c>
    </row>
    <row r="48" spans="1:9" ht="13">
      <c r="A48" s="31" t="s">
        <v>1221</v>
      </c>
      <c r="B48" s="48">
        <v>17</v>
      </c>
      <c r="C48" s="49">
        <v>50</v>
      </c>
      <c r="D48" s="49">
        <v>4</v>
      </c>
      <c r="E48" s="49">
        <v>23</v>
      </c>
      <c r="F48" s="49">
        <v>33</v>
      </c>
      <c r="G48" s="50">
        <v>10</v>
      </c>
    </row>
    <row r="49" spans="1:7" ht="13">
      <c r="A49" s="31" t="s">
        <v>1222</v>
      </c>
      <c r="B49" s="48">
        <v>33</v>
      </c>
      <c r="C49" s="49">
        <v>56</v>
      </c>
      <c r="D49" s="49">
        <v>8.1999999999999993</v>
      </c>
      <c r="E49" s="49">
        <v>15</v>
      </c>
      <c r="F49" s="49">
        <v>7</v>
      </c>
      <c r="G49" s="50">
        <v>15</v>
      </c>
    </row>
    <row r="50" spans="1:7" ht="13">
      <c r="A50" s="31" t="s">
        <v>1223</v>
      </c>
      <c r="B50" s="48">
        <v>39</v>
      </c>
      <c r="C50" s="49">
        <v>179</v>
      </c>
      <c r="D50" s="49">
        <v>8.6999999999999993</v>
      </c>
      <c r="E50" s="49">
        <v>62</v>
      </c>
      <c r="F50" s="49">
        <v>23</v>
      </c>
      <c r="G50" s="50">
        <v>8</v>
      </c>
    </row>
    <row r="51" spans="1:7" ht="13">
      <c r="A51" s="31" t="s">
        <v>1224</v>
      </c>
      <c r="B51" s="48">
        <v>82</v>
      </c>
      <c r="C51" s="49">
        <v>170</v>
      </c>
      <c r="D51" s="49">
        <v>6</v>
      </c>
      <c r="E51" s="49">
        <v>88</v>
      </c>
      <c r="F51" s="49">
        <v>57</v>
      </c>
      <c r="G51" s="50">
        <v>25</v>
      </c>
    </row>
    <row r="52" spans="1:7" ht="13">
      <c r="A52" s="31" t="s">
        <v>1225</v>
      </c>
      <c r="B52" s="48">
        <v>22</v>
      </c>
      <c r="C52" s="49">
        <v>72</v>
      </c>
      <c r="D52" s="49">
        <v>3.9</v>
      </c>
      <c r="E52" s="49">
        <v>101</v>
      </c>
      <c r="F52" s="49">
        <v>50</v>
      </c>
      <c r="G52" s="50">
        <v>14</v>
      </c>
    </row>
    <row r="53" spans="1:7" ht="13">
      <c r="A53" s="31" t="s">
        <v>1226</v>
      </c>
      <c r="B53" s="48">
        <v>68</v>
      </c>
      <c r="C53" s="49">
        <v>115</v>
      </c>
      <c r="D53" s="49">
        <v>8.1999999999999993</v>
      </c>
      <c r="E53" s="49">
        <v>40</v>
      </c>
      <c r="F53" s="49">
        <v>36</v>
      </c>
      <c r="G53" s="50">
        <v>11</v>
      </c>
    </row>
    <row r="54" spans="1:7" ht="13">
      <c r="A54" s="31" t="s">
        <v>1227</v>
      </c>
      <c r="B54" s="48">
        <v>78</v>
      </c>
      <c r="C54" s="49">
        <v>190</v>
      </c>
      <c r="D54" s="49">
        <v>9.6999999999999993</v>
      </c>
      <c r="E54" s="49">
        <v>56</v>
      </c>
      <c r="F54" s="49">
        <v>34</v>
      </c>
      <c r="G54" s="50">
        <v>50</v>
      </c>
    </row>
    <row r="55" spans="1:7" ht="13">
      <c r="A55" s="31" t="s">
        <v>1228</v>
      </c>
      <c r="B55" s="48">
        <v>38</v>
      </c>
      <c r="C55" s="49">
        <v>75</v>
      </c>
      <c r="D55" s="49">
        <v>8</v>
      </c>
      <c r="E55" s="49">
        <v>41</v>
      </c>
      <c r="F55" s="49">
        <v>29</v>
      </c>
      <c r="G55" s="50">
        <v>12</v>
      </c>
    </row>
    <row r="56" spans="1:7" ht="13">
      <c r="A56" s="31" t="s">
        <v>1229</v>
      </c>
      <c r="B56" s="48">
        <v>70</v>
      </c>
      <c r="C56" s="49">
        <v>476</v>
      </c>
      <c r="D56" s="49">
        <v>16.899999999999999</v>
      </c>
      <c r="E56" s="49">
        <v>574</v>
      </c>
      <c r="F56" s="49">
        <v>70</v>
      </c>
      <c r="G56" s="50">
        <v>42</v>
      </c>
    </row>
    <row r="57" spans="1:7" ht="13">
      <c r="A57" s="31" t="s">
        <v>1230</v>
      </c>
      <c r="B57" s="48">
        <v>40</v>
      </c>
      <c r="C57" s="49">
        <v>370</v>
      </c>
      <c r="D57" s="49">
        <v>17</v>
      </c>
      <c r="E57" s="49">
        <v>385</v>
      </c>
      <c r="F57" s="49">
        <v>90</v>
      </c>
      <c r="G57" s="50">
        <v>20</v>
      </c>
    </row>
    <row r="58" spans="1:7" ht="13">
      <c r="A58" s="31" t="s">
        <v>1231</v>
      </c>
      <c r="B58" s="48">
        <v>3</v>
      </c>
      <c r="C58" s="49">
        <v>20</v>
      </c>
      <c r="D58" s="49">
        <v>4.5</v>
      </c>
      <c r="E58" s="49">
        <v>21</v>
      </c>
      <c r="F58" s="49">
        <v>2</v>
      </c>
      <c r="G58" s="50">
        <v>3</v>
      </c>
    </row>
    <row r="59" spans="1:7" ht="13">
      <c r="A59" s="31" t="s">
        <v>1232</v>
      </c>
      <c r="B59" s="48">
        <v>24</v>
      </c>
      <c r="C59" s="49">
        <v>71</v>
      </c>
      <c r="D59" s="49">
        <v>3.5</v>
      </c>
      <c r="E59" s="49">
        <v>44</v>
      </c>
      <c r="F59" s="49">
        <v>10</v>
      </c>
      <c r="G59" s="50">
        <v>17</v>
      </c>
    </row>
    <row r="60" spans="1:7" ht="13">
      <c r="A60" s="31" t="s">
        <v>1233</v>
      </c>
      <c r="B60" s="48">
        <v>0</v>
      </c>
      <c r="C60" s="49">
        <v>0</v>
      </c>
      <c r="D60" s="49">
        <v>-2.2000000000000002</v>
      </c>
      <c r="E60" s="49">
        <v>1</v>
      </c>
      <c r="F60" s="49">
        <v>0</v>
      </c>
      <c r="G60" s="50">
        <v>0</v>
      </c>
    </row>
    <row r="61" spans="1:7" ht="13">
      <c r="A61" s="31" t="s">
        <v>1234</v>
      </c>
      <c r="B61" s="48">
        <v>77</v>
      </c>
      <c r="C61" s="49">
        <v>218</v>
      </c>
      <c r="D61" s="49">
        <v>8.6</v>
      </c>
      <c r="E61" s="49">
        <v>83</v>
      </c>
      <c r="F61" s="49">
        <v>47</v>
      </c>
      <c r="G61" s="50">
        <v>24</v>
      </c>
    </row>
    <row r="62" spans="1:7" ht="13">
      <c r="A62" s="31" t="s">
        <v>1235</v>
      </c>
      <c r="B62" s="48">
        <v>29</v>
      </c>
      <c r="C62" s="49">
        <v>74</v>
      </c>
      <c r="D62" s="49">
        <v>8.1</v>
      </c>
      <c r="E62" s="49">
        <v>103</v>
      </c>
      <c r="F62" s="49">
        <v>23</v>
      </c>
      <c r="G62" s="50">
        <v>6</v>
      </c>
    </row>
    <row r="63" spans="1:7" ht="15.75" customHeight="1">
      <c r="A63" s="32" t="s">
        <v>1236</v>
      </c>
      <c r="B63" s="51">
        <v>46</v>
      </c>
      <c r="C63" s="52">
        <v>61</v>
      </c>
      <c r="D63" s="52">
        <v>4.4000000000000004</v>
      </c>
      <c r="E63" s="52">
        <v>15</v>
      </c>
      <c r="F63" s="52">
        <v>8</v>
      </c>
      <c r="G63" s="53">
        <v>15</v>
      </c>
    </row>
    <row r="86" spans="1:9" ht="13">
      <c r="A86" s="41" t="s">
        <v>1237</v>
      </c>
      <c r="B86" s="42"/>
      <c r="C86" s="42"/>
      <c r="D86" s="42"/>
      <c r="E86" s="42"/>
      <c r="F86" s="42"/>
      <c r="G86" s="42"/>
      <c r="H86" s="42"/>
      <c r="I86" s="42"/>
    </row>
    <row r="87" spans="1:9" ht="15.75" customHeight="1">
      <c r="A87" s="42"/>
      <c r="B87" s="42"/>
      <c r="C87" s="42"/>
      <c r="D87" s="42"/>
      <c r="E87" s="42"/>
      <c r="F87" s="42"/>
      <c r="G87" s="42"/>
      <c r="H87" s="42"/>
      <c r="I87" s="42"/>
    </row>
    <row r="89" spans="1:9" ht="36" customHeight="1">
      <c r="A89" s="21" t="s">
        <v>1238</v>
      </c>
      <c r="B89" s="21" t="s">
        <v>1239</v>
      </c>
      <c r="C89" s="21" t="s">
        <v>8</v>
      </c>
      <c r="D89" s="21" t="s">
        <v>1240</v>
      </c>
      <c r="E89" s="21" t="s">
        <v>1241</v>
      </c>
      <c r="F89" s="21" t="s">
        <v>1242</v>
      </c>
      <c r="G89" s="21" t="s">
        <v>1243</v>
      </c>
      <c r="H89" s="21" t="s">
        <v>1244</v>
      </c>
    </row>
    <row r="90" spans="1:9" ht="13">
      <c r="A90" s="20" t="s">
        <v>1245</v>
      </c>
      <c r="B90" s="18">
        <f>VLOOKUP($A90,'Données NBA'!$A2:$AS1501,8,0)</f>
        <v>2485</v>
      </c>
      <c r="C90" s="18">
        <f>VLOOKUP($A90,'Données NBA'!$A2:$AS1501,9,0)</f>
        <v>859</v>
      </c>
      <c r="D90" s="18">
        <f>VLOOKUP($A90,'Données NBA'!$A2:$AS1501,11,0)</f>
        <v>51.9</v>
      </c>
      <c r="E90" s="18">
        <f>VLOOKUP($A90,'Données NBA'!$A2:$AS1501,14,0)</f>
        <v>37.5</v>
      </c>
      <c r="F90" s="18">
        <f>VLOOKUP($A90,'Données NBA'!$A2:$AS1501,17,0)</f>
        <v>89.8</v>
      </c>
      <c r="G90" s="18">
        <f>VLOOKUP($A90,'Données NBA'!$A2:$AS1501,18,0)</f>
        <v>68</v>
      </c>
      <c r="H90" s="18">
        <f>VLOOKUP($A90,'Données NBA'!$A2:$AS1501,44,0)</f>
        <v>19.899999999999999</v>
      </c>
    </row>
    <row r="91" spans="1:9" ht="13">
      <c r="A91" s="20" t="s">
        <v>1246</v>
      </c>
      <c r="B91" s="18">
        <f>VLOOKUP(A91,'Données NBA'!A3:AS1502,8,0)</f>
        <v>2180</v>
      </c>
      <c r="C91" s="18">
        <f>VLOOKUP($A91,'Données NBA'!$A3:$AS1502,9,0)</f>
        <v>719</v>
      </c>
      <c r="D91" s="18">
        <f>VLOOKUP($A91,'Données NBA'!$A3:$AS1502,11,0)</f>
        <v>44.7</v>
      </c>
      <c r="E91" s="18">
        <f>VLOOKUP($A91,'Données NBA'!$A3:$AS1502,14,0)</f>
        <v>39.5</v>
      </c>
      <c r="F91" s="18">
        <f>VLOOKUP($A91,'Données NBA'!$A3:$AS1502,17,0)</f>
        <v>83.7</v>
      </c>
      <c r="G91" s="18">
        <f>VLOOKUP($A91,'Données NBA'!$A3:$AS1502,18,0)</f>
        <v>63</v>
      </c>
      <c r="H91" s="18">
        <f>VLOOKUP($A91,'Données NBA'!$A3:$AS1502,44,0)</f>
        <v>14</v>
      </c>
    </row>
    <row r="92" spans="1:9" ht="13">
      <c r="A92" s="20" t="s">
        <v>1247</v>
      </c>
      <c r="B92" s="18">
        <f>VLOOKUP(A92,'Données NBA'!A4:AS1503,8,0)</f>
        <v>2072</v>
      </c>
      <c r="C92" s="18">
        <f>VLOOKUP($A92,'Données NBA'!$A4:$AS1503,9,0)</f>
        <v>784</v>
      </c>
      <c r="D92" s="18">
        <f>VLOOKUP($A92,'Données NBA'!$A4:$AS1503,11,0)</f>
        <v>57.6</v>
      </c>
      <c r="E92" s="18">
        <f>VLOOKUP($A92,'Données NBA'!$A4:$AS1503,14,0)</f>
        <v>41.7</v>
      </c>
      <c r="F92" s="18">
        <f>VLOOKUP($A92,'Données NBA'!$A4:$AS1503,17,0)</f>
        <v>80</v>
      </c>
      <c r="G92" s="18">
        <f>VLOOKUP($A92,'Données NBA'!$A4:$AS1503,18,0)</f>
        <v>203</v>
      </c>
      <c r="H92" s="18">
        <f>VLOOKUP($A92,'Données NBA'!$A4:$AS1503,44,0)</f>
        <v>20.6</v>
      </c>
    </row>
    <row r="93" spans="1:9" ht="13">
      <c r="A93" s="20" t="s">
        <v>1248</v>
      </c>
      <c r="B93" s="18">
        <f>VLOOKUP(A93,'Données NBA'!A5:AS1504,8,0)</f>
        <v>2037</v>
      </c>
      <c r="C93" s="18">
        <f>VLOOKUP($A93,'Données NBA'!$A5:$AS1504,9,0)</f>
        <v>791</v>
      </c>
      <c r="D93" s="18">
        <f>VLOOKUP($A93,'Données NBA'!$A5:$AS1504,11,0)</f>
        <v>60.1</v>
      </c>
      <c r="E93" s="18">
        <f>VLOOKUP($A93,'Données NBA'!$A5:$AS1504,14,0)</f>
        <v>22.2</v>
      </c>
      <c r="F93" s="18">
        <f>VLOOKUP($A93,'Données NBA'!$A5:$AS1504,17,0)</f>
        <v>61.7</v>
      </c>
      <c r="G93" s="18">
        <f>VLOOKUP($A93,'Données NBA'!$A5:$AS1504,18,0)</f>
        <v>147</v>
      </c>
      <c r="H93" s="18">
        <f>VLOOKUP($A93,'Données NBA'!$A5:$AS1504,44,0)</f>
        <v>21</v>
      </c>
    </row>
    <row r="94" spans="1:9" ht="13">
      <c r="A94" s="20" t="s">
        <v>1249</v>
      </c>
      <c r="B94" s="18">
        <f>VLOOKUP(A94,'Données NBA'!A6:AS1505,8,0)</f>
        <v>1930</v>
      </c>
      <c r="C94" s="18">
        <f>VLOOKUP($A94,'Données NBA'!$A6:$AS1505,9,0)</f>
        <v>662</v>
      </c>
      <c r="D94" s="18">
        <f>VLOOKUP($A94,'Données NBA'!$A6:$AS1505,11,0)</f>
        <v>45.2</v>
      </c>
      <c r="E94" s="18">
        <f>VLOOKUP($A94,'Données NBA'!$A6:$AS1505,14,0)</f>
        <v>34.299999999999997</v>
      </c>
      <c r="F94" s="18">
        <f>VLOOKUP($A94,'Données NBA'!$A6:$AS1505,17,0)</f>
        <v>81.400000000000006</v>
      </c>
      <c r="G94" s="18">
        <f>VLOOKUP($A94,'Données NBA'!$A6:$AS1505,18,0)</f>
        <v>50</v>
      </c>
      <c r="H94" s="18">
        <f>VLOOKUP($A94,'Données NBA'!$A6:$AS1505,44,0)</f>
        <v>15.8</v>
      </c>
    </row>
    <row r="95" spans="1:9" ht="13">
      <c r="A95" s="20" t="s">
        <v>53</v>
      </c>
      <c r="B95" s="18">
        <f>VLOOKUP(A95,'Données NBA'!A7:AS1506,8,0)</f>
        <v>1920</v>
      </c>
      <c r="C95" s="18">
        <f>VLOOKUP($A95,'Données NBA'!$A7:$AS1506,9,0)</f>
        <v>653</v>
      </c>
      <c r="D95" s="18">
        <f>VLOOKUP($A95,'Données NBA'!$A7:$AS1506,11,0)</f>
        <v>46.1</v>
      </c>
      <c r="E95" s="18">
        <f>VLOOKUP($A95,'Données NBA'!$A7:$AS1506,14,0)</f>
        <v>33.200000000000003</v>
      </c>
      <c r="F95" s="18">
        <f>VLOOKUP($A95,'Données NBA'!$A7:$AS1506,17,0)</f>
        <v>89.4</v>
      </c>
      <c r="G95" s="18">
        <f>VLOOKUP($A95,'Données NBA'!$A7:$AS1506,18,0)</f>
        <v>75</v>
      </c>
      <c r="H95" s="18">
        <f>VLOOKUP($A95,'Données NBA'!$A7:$AS1506,44,0)</f>
        <v>12.2</v>
      </c>
    </row>
    <row r="96" spans="1:9" ht="13">
      <c r="A96" s="20" t="s">
        <v>1250</v>
      </c>
      <c r="B96" s="18">
        <f>VLOOKUP(A96,'Données NBA'!A8:AS1507,8,0)</f>
        <v>1840</v>
      </c>
      <c r="C96" s="18">
        <f>VLOOKUP($A96,'Données NBA'!$A8:$AS1507,9,0)</f>
        <v>655</v>
      </c>
      <c r="D96" s="18">
        <f>VLOOKUP($A96,'Données NBA'!$A8:$AS1507,11,0)</f>
        <v>47.2</v>
      </c>
      <c r="E96" s="18">
        <f>VLOOKUP($A96,'Données NBA'!$A8:$AS1507,14,0)</f>
        <v>37.5</v>
      </c>
      <c r="F96" s="18">
        <f>VLOOKUP($A96,'Données NBA'!$A8:$AS1507,17,0)</f>
        <v>87.8</v>
      </c>
      <c r="G96" s="18">
        <f>VLOOKUP($A96,'Données NBA'!$A8:$AS1507,18,0)</f>
        <v>39</v>
      </c>
      <c r="H96" s="18">
        <f>VLOOKUP($A96,'Données NBA'!$A8:$AS1507,44,0)</f>
        <v>13.9</v>
      </c>
    </row>
    <row r="97" spans="1:9" ht="13">
      <c r="A97" s="20" t="s">
        <v>1251</v>
      </c>
      <c r="B97" s="18">
        <f>VLOOKUP(A97,'Données NBA'!A9:AS1508,8,0)</f>
        <v>1839</v>
      </c>
      <c r="C97" s="18">
        <f>VLOOKUP($A97,'Données NBA'!$A9:$AS1508,9,0)</f>
        <v>562</v>
      </c>
      <c r="D97" s="18">
        <f>VLOOKUP($A97,'Données NBA'!$A9:$AS1508,11,0)</f>
        <v>41.1</v>
      </c>
      <c r="E97" s="18">
        <f>VLOOKUP($A97,'Données NBA'!$A9:$AS1508,14,0)</f>
        <v>34</v>
      </c>
      <c r="F97" s="18">
        <f>VLOOKUP($A97,'Données NBA'!$A9:$AS1508,17,0)</f>
        <v>87.5</v>
      </c>
      <c r="G97" s="18">
        <f>VLOOKUP($A97,'Données NBA'!$A9:$AS1508,18,0)</f>
        <v>38</v>
      </c>
      <c r="H97" s="18">
        <f>VLOOKUP($A97,'Données NBA'!$A9:$AS1508,44,0)</f>
        <v>12.9</v>
      </c>
    </row>
    <row r="98" spans="1:9" ht="13">
      <c r="A98" s="20" t="s">
        <v>1252</v>
      </c>
      <c r="B98" s="18">
        <f>VLOOKUP(A98,'Données NBA'!A10:AS1509,8,0)</f>
        <v>1827</v>
      </c>
      <c r="C98" s="18">
        <f>VLOOKUP($A98,'Données NBA'!$A10:$AS1509,9,0)</f>
        <v>686</v>
      </c>
      <c r="D98" s="18">
        <f>VLOOKUP($A98,'Données NBA'!$A10:$AS1509,11,0)</f>
        <v>46.9</v>
      </c>
      <c r="E98" s="18">
        <f>VLOOKUP($A98,'Données NBA'!$A10:$AS1509,14,0)</f>
        <v>35.6</v>
      </c>
      <c r="F98" s="18">
        <f>VLOOKUP($A98,'Données NBA'!$A10:$AS1509,17,0)</f>
        <v>84.6</v>
      </c>
      <c r="G98" s="18">
        <f>VLOOKUP($A98,'Données NBA'!$A10:$AS1509,18,0)</f>
        <v>56</v>
      </c>
      <c r="H98" s="18">
        <f>VLOOKUP($A98,'Données NBA'!$A10:$AS1509,44,0)</f>
        <v>15.2</v>
      </c>
    </row>
    <row r="99" spans="1:9" ht="13">
      <c r="A99" s="20" t="s">
        <v>1253</v>
      </c>
      <c r="B99" s="18">
        <f>VLOOKUP(A99,'Données NBA'!A11:AS1510,8,0)</f>
        <v>1801</v>
      </c>
      <c r="C99" s="18">
        <f>VLOOKUP($A99,'Données NBA'!$A11:$AS1510,9,0)</f>
        <v>529</v>
      </c>
      <c r="D99" s="18">
        <f>VLOOKUP($A99,'Données NBA'!$A11:$AS1510,11,0)</f>
        <v>41</v>
      </c>
      <c r="E99" s="18">
        <f>VLOOKUP($A99,'Données NBA'!$A11:$AS1510,14,0)</f>
        <v>35.200000000000003</v>
      </c>
      <c r="F99" s="18">
        <f>VLOOKUP($A99,'Données NBA'!$A11:$AS1510,17,0)</f>
        <v>87.4</v>
      </c>
      <c r="G99" s="18">
        <f>VLOOKUP($A99,'Données NBA'!$A11:$AS1510,18,0)</f>
        <v>55</v>
      </c>
      <c r="H99" s="18">
        <f>VLOOKUP($A99,'Données NBA'!$A11:$AS1510,44,0)</f>
        <v>14.5</v>
      </c>
    </row>
    <row r="100" spans="1:9" ht="13">
      <c r="A100" s="20" t="s">
        <v>1254</v>
      </c>
      <c r="B100" s="18">
        <f>VLOOKUP(A100,'Données NBA'!A12:AS1511,8,0)</f>
        <v>1757</v>
      </c>
      <c r="C100" s="18">
        <f>VLOOKUP($A100,'Données NBA'!$A12:$AS1511,9,0)</f>
        <v>641</v>
      </c>
      <c r="D100" s="18">
        <f>VLOOKUP($A100,'Données NBA'!$A12:$AS1511,11,0)</f>
        <v>52.6</v>
      </c>
      <c r="E100" s="18">
        <f>VLOOKUP($A100,'Données NBA'!$A12:$AS1511,14,0)</f>
        <v>42</v>
      </c>
      <c r="F100" s="18">
        <f>VLOOKUP($A100,'Données NBA'!$A12:$AS1511,17,0)</f>
        <v>82.9</v>
      </c>
      <c r="G100" s="18">
        <f>VLOOKUP($A100,'Données NBA'!$A12:$AS1511,18,0)</f>
        <v>209</v>
      </c>
      <c r="H100" s="18">
        <f>VLOOKUP($A100,'Données NBA'!$A12:$AS1511,44,0)</f>
        <v>16.100000000000001</v>
      </c>
    </row>
    <row r="101" spans="1:9" ht="13">
      <c r="A101" s="20" t="s">
        <v>1255</v>
      </c>
      <c r="B101" s="18">
        <f>VLOOKUP(A101,'Données NBA'!A13:AS1512,8,0)</f>
        <v>1724</v>
      </c>
      <c r="C101" s="18">
        <f>VLOOKUP($A101,'Données NBA'!$A13:$AS1512,9,0)</f>
        <v>622</v>
      </c>
      <c r="D101" s="18">
        <f>VLOOKUP($A101,'Données NBA'!$A13:$AS1512,11,0)</f>
        <v>51.1</v>
      </c>
      <c r="E101" s="18">
        <f>VLOOKUP($A101,'Données NBA'!$A13:$AS1512,14,0)</f>
        <v>44.6</v>
      </c>
      <c r="F101" s="18">
        <f>VLOOKUP($A101,'Données NBA'!$A13:$AS1512,17,0)</f>
        <v>82.5</v>
      </c>
      <c r="G101" s="18">
        <f>VLOOKUP($A101,'Données NBA'!$A13:$AS1512,18,0)</f>
        <v>22</v>
      </c>
      <c r="H101" s="18">
        <f>VLOOKUP($A101,'Données NBA'!$A13:$AS1512,44,0)</f>
        <v>11.5</v>
      </c>
    </row>
    <row r="102" spans="1:9" ht="13">
      <c r="A102" s="20" t="s">
        <v>1256</v>
      </c>
      <c r="B102" s="18">
        <f>VLOOKUP(A102,'Données NBA'!A14:AS1513,8,0)</f>
        <v>1722</v>
      </c>
      <c r="C102" s="18">
        <f>VLOOKUP($A102,'Données NBA'!$A14:$AS1513,9,0)</f>
        <v>607</v>
      </c>
      <c r="D102" s="18">
        <f>VLOOKUP($A102,'Données NBA'!$A14:$AS1513,11,0)</f>
        <v>42.3</v>
      </c>
      <c r="E102" s="18">
        <f>VLOOKUP($A102,'Données NBA'!$A14:$AS1513,14,0)</f>
        <v>35.4</v>
      </c>
      <c r="F102" s="18">
        <f>VLOOKUP($A102,'Données NBA'!$A14:$AS1513,17,0)</f>
        <v>81.3</v>
      </c>
      <c r="G102" s="18">
        <f>VLOOKUP($A102,'Données NBA'!$A14:$AS1513,18,0)</f>
        <v>41</v>
      </c>
      <c r="H102" s="18">
        <f>VLOOKUP($A102,'Données NBA'!$A14:$AS1513,44,0)</f>
        <v>11.1</v>
      </c>
    </row>
    <row r="103" spans="1:9" ht="13">
      <c r="A103" s="20" t="s">
        <v>1257</v>
      </c>
      <c r="B103" s="18">
        <f>VLOOKUP(A103,'Données NBA'!A15:AS1514,8,0)</f>
        <v>1715</v>
      </c>
      <c r="C103" s="18">
        <f>VLOOKUP($A103,'Données NBA'!$A15:$AS1514,9,0)</f>
        <v>567</v>
      </c>
      <c r="D103" s="18">
        <f>VLOOKUP($A103,'Données NBA'!$A15:$AS1514,11,0)</f>
        <v>44.8</v>
      </c>
      <c r="E103" s="18">
        <f>VLOOKUP($A103,'Données NBA'!$A15:$AS1514,14,0)</f>
        <v>39.700000000000003</v>
      </c>
      <c r="F103" s="18">
        <f>VLOOKUP($A103,'Données NBA'!$A15:$AS1514,17,0)</f>
        <v>93.3</v>
      </c>
      <c r="G103" s="18">
        <f>VLOOKUP($A103,'Données NBA'!$A15:$AS1514,18,0)</f>
        <v>42</v>
      </c>
      <c r="H103" s="18">
        <f>VLOOKUP($A103,'Données NBA'!$A15:$AS1514,44,0)</f>
        <v>14.5</v>
      </c>
    </row>
    <row r="104" spans="1:9" ht="13">
      <c r="A104" s="20" t="s">
        <v>1258</v>
      </c>
      <c r="B104" s="18">
        <f>VLOOKUP(A104,'Données NBA'!A16:AS1515,8,0)</f>
        <v>1709</v>
      </c>
      <c r="C104" s="18">
        <f>VLOOKUP($A104,'Données NBA'!$A16:$AS1515,9,0)</f>
        <v>624</v>
      </c>
      <c r="D104" s="18">
        <f>VLOOKUP($A104,'Données NBA'!$A16:$AS1515,11,0)</f>
        <v>47.7</v>
      </c>
      <c r="E104" s="18">
        <f>VLOOKUP($A104,'Données NBA'!$A16:$AS1515,14,0)</f>
        <v>32.799999999999997</v>
      </c>
      <c r="F104" s="18">
        <f>VLOOKUP($A104,'Données NBA'!$A16:$AS1515,17,0)</f>
        <v>85.7</v>
      </c>
      <c r="G104" s="18">
        <f>VLOOKUP($A104,'Données NBA'!$A16:$AS1515,18,0)</f>
        <v>46</v>
      </c>
      <c r="H104" s="18">
        <f>VLOOKUP($A104,'Données NBA'!$A16:$AS1515,44,0)</f>
        <v>11.2</v>
      </c>
    </row>
    <row r="109" spans="1:9" ht="15.75" customHeight="1">
      <c r="A109" s="42"/>
      <c r="B109" s="42"/>
      <c r="C109" s="42"/>
      <c r="D109" s="42"/>
      <c r="E109" s="42"/>
      <c r="F109" s="42"/>
      <c r="G109" s="42"/>
      <c r="H109" s="42"/>
      <c r="I109" s="42"/>
    </row>
    <row r="110" spans="1:9" ht="15.75" customHeight="1">
      <c r="A110" s="42"/>
      <c r="B110" s="42"/>
      <c r="C110" s="42"/>
      <c r="D110" s="42"/>
      <c r="E110" s="42"/>
      <c r="F110" s="42"/>
      <c r="G110" s="42"/>
      <c r="H110" s="42"/>
      <c r="I110" s="42"/>
    </row>
    <row r="131" spans="1:9" ht="13">
      <c r="A131" s="41" t="s">
        <v>1259</v>
      </c>
      <c r="B131" s="42"/>
      <c r="C131" s="42"/>
      <c r="D131" s="42"/>
      <c r="E131" s="42"/>
      <c r="F131" s="42"/>
      <c r="G131" s="42"/>
      <c r="H131" s="42"/>
      <c r="I131" s="42"/>
    </row>
    <row r="132" spans="1:9" ht="15.75" customHeight="1">
      <c r="A132" s="42"/>
      <c r="B132" s="42"/>
      <c r="C132" s="42"/>
      <c r="D132" s="42"/>
      <c r="E132" s="42"/>
      <c r="F132" s="42"/>
      <c r="G132" s="42"/>
      <c r="H132" s="42"/>
      <c r="I132" s="42"/>
    </row>
  </sheetData>
  <autoFilter ref="A6:D36" xr:uid="{00000000-0009-0000-0000-000001000000}"/>
  <mergeCells count="5">
    <mergeCell ref="A1:I2"/>
    <mergeCell ref="A39:I40"/>
    <mergeCell ref="A86:I87"/>
    <mergeCell ref="A109:I110"/>
    <mergeCell ref="A131:I132"/>
  </mergeCells>
  <conditionalFormatting sqref="D90:D104">
    <cfRule type="colorScale" priority="1">
      <colorScale>
        <cfvo type="min"/>
        <cfvo type="max"/>
        <color rgb="FFFFFFFF"/>
        <color rgb="FF57BB8A"/>
      </colorScale>
    </cfRule>
  </conditionalFormatting>
  <conditionalFormatting sqref="E90:E104">
    <cfRule type="colorScale" priority="2">
      <colorScale>
        <cfvo type="min"/>
        <cfvo type="max"/>
        <color rgb="FFFFFFFF"/>
        <color rgb="FF57BB8A"/>
      </colorScale>
    </cfRule>
  </conditionalFormatting>
  <conditionalFormatting sqref="F90:F104">
    <cfRule type="colorScale" priority="3">
      <colorScale>
        <cfvo type="min"/>
        <cfvo type="max"/>
        <color rgb="FFFFFFFF"/>
        <color rgb="FF57BB8A"/>
      </colorScale>
    </cfRule>
  </conditionalFormatting>
  <conditionalFormatting sqref="G90:G104">
    <cfRule type="colorScale" priority="4">
      <colorScale>
        <cfvo type="min"/>
        <cfvo type="max"/>
        <color rgb="FFFFFFFF"/>
        <color rgb="FF57BB8A"/>
      </colorScale>
    </cfRule>
  </conditionalFormatting>
  <conditionalFormatting sqref="H90:H104">
    <cfRule type="colorScale" priority="5">
      <colorScale>
        <cfvo type="min"/>
        <cfvo type="percentile" val="50"/>
        <cfvo type="max"/>
        <color rgb="FFE67C73"/>
        <color rgb="FFFFFFFF"/>
        <color rgb="FF57BB8A"/>
      </colorScale>
    </cfRule>
  </conditionalFormatting>
  <hyperlinks>
    <hyperlink ref="A43" r:id="rId2" display="https://www.nba.com/stats/player/203458/" xr:uid="{00000000-0004-0000-0100-000000000000}"/>
    <hyperlink ref="A44" r:id="rId3" display="https://www.nba.com/stats/player/1642422/" xr:uid="{00000000-0004-0000-0100-000001000000}"/>
    <hyperlink ref="A45" r:id="rId4" display="https://www.nba.com/stats/player/1630559/" xr:uid="{00000000-0004-0000-0100-000002000000}"/>
    <hyperlink ref="A46" r:id="rId5" display="https://www.nba.com/stats/player/1642355/" xr:uid="{00000000-0004-0000-0100-000003000000}"/>
    <hyperlink ref="A47" r:id="rId6" display="https://www.nba.com/stats/player/1629629/" xr:uid="{00000000-0004-0000-0100-000004000000}"/>
    <hyperlink ref="A48" r:id="rId7" display="https://www.nba.com/stats/player/1631132/" xr:uid="{00000000-0004-0000-0100-000005000000}"/>
    <hyperlink ref="A49" r:id="rId8" display="https://www.nba.com/stats/player/1642261/" xr:uid="{00000000-0004-0000-0100-000006000000}"/>
    <hyperlink ref="A50" r:id="rId9" display="https://www.nba.com/stats/player/1627827/" xr:uid="{00000000-0004-0000-0100-000007000000}"/>
    <hyperlink ref="A51" r:id="rId10" display="https://www.nba.com/stats/player/1629216/" xr:uid="{00000000-0004-0000-0100-000008000000}"/>
    <hyperlink ref="A52" r:id="rId11" display="https://www.nba.com/stats/player/1629020/" xr:uid="{00000000-0004-0000-0100-000009000000}"/>
    <hyperlink ref="A53" r:id="rId12" display="https://www.nba.com/stats/player/1629637/" xr:uid="{00000000-0004-0000-0100-00000A000000}"/>
    <hyperlink ref="A54" r:id="rId13" display="https://www.nba.com/stats/player/1630692/" xr:uid="{00000000-0004-0000-0100-00000B000000}"/>
    <hyperlink ref="A55" r:id="rId14" display="https://www.nba.com/stats/player/2544/" xr:uid="{00000000-0004-0000-0100-00000C000000}"/>
    <hyperlink ref="A56" r:id="rId15" display="https://www.nba.com/stats/player/1629029/" xr:uid="{00000000-0004-0000-0100-00000D000000}"/>
    <hyperlink ref="A57" r:id="rId16" display="https://www.nba.com/stats/player/202693/" xr:uid="{00000000-0004-0000-0100-00000E000000}"/>
    <hyperlink ref="A58" r:id="rId17" display="https://www.nba.com/stats/player/1628467/" xr:uid="{00000000-0004-0000-0100-00000F000000}"/>
    <hyperlink ref="A59" r:id="rId18" display="https://www.nba.com/stats/player/1642439/" xr:uid="{00000000-0004-0000-0100-000010000000}"/>
    <hyperlink ref="A60" r:id="rId19" display="https://www.nba.com/stats/player/1629060/" xr:uid="{00000000-0004-0000-0100-000011000000}"/>
    <hyperlink ref="A61" r:id="rId20" display="https://www.nba.com/stats/player/1629003/" xr:uid="{00000000-0004-0000-0100-000012000000}"/>
    <hyperlink ref="A62" r:id="rId21" display="https://www.nba.com/stats/player/1641998/" xr:uid="{00000000-0004-0000-0100-00001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32"/>
  <sheetViews>
    <sheetView showGridLines="0" topLeftCell="A15" workbookViewId="0">
      <selection sqref="A1:I2"/>
    </sheetView>
  </sheetViews>
  <sheetFormatPr baseColWidth="10" defaultColWidth="12.6640625" defaultRowHeight="15.75" customHeight="1"/>
  <cols>
    <col min="1" max="1" width="20.1640625" customWidth="1"/>
    <col min="2" max="2" width="25" customWidth="1"/>
    <col min="3" max="3" width="24.1640625" customWidth="1"/>
    <col min="4" max="4" width="29.6640625" customWidth="1"/>
    <col min="5" max="5" width="20.83203125" customWidth="1"/>
    <col min="6" max="6" width="22.6640625" customWidth="1"/>
    <col min="7" max="7" width="15.5" customWidth="1"/>
    <col min="8" max="8" width="22.1640625" customWidth="1"/>
    <col min="10" max="24" width="12.6640625" hidden="1"/>
  </cols>
  <sheetData>
    <row r="1" spans="1:9" ht="13">
      <c r="A1" s="41" t="s">
        <v>1181</v>
      </c>
      <c r="B1" s="42"/>
      <c r="C1" s="42"/>
      <c r="D1" s="42"/>
      <c r="E1" s="42"/>
      <c r="F1" s="42"/>
      <c r="G1" s="42"/>
      <c r="H1" s="42"/>
      <c r="I1" s="42"/>
    </row>
    <row r="2" spans="1:9" ht="15.75" customHeight="1">
      <c r="A2" s="42"/>
      <c r="B2" s="42"/>
      <c r="C2" s="42"/>
      <c r="D2" s="42"/>
      <c r="E2" s="42"/>
      <c r="F2" s="42"/>
      <c r="G2" s="42"/>
      <c r="H2" s="42"/>
      <c r="I2" s="42"/>
    </row>
    <row r="6" spans="1:9" ht="13">
      <c r="A6" s="17" t="s">
        <v>1182</v>
      </c>
      <c r="B6" s="17" t="s">
        <v>1183</v>
      </c>
      <c r="C6" s="17" t="s">
        <v>1184</v>
      </c>
      <c r="D6" s="17" t="s">
        <v>1185</v>
      </c>
    </row>
    <row r="7" spans="1:9" ht="13">
      <c r="A7" s="18" t="s">
        <v>1186</v>
      </c>
      <c r="B7" s="18"/>
      <c r="C7" s="18"/>
      <c r="D7" s="18"/>
    </row>
    <row r="8" spans="1:9" ht="13">
      <c r="A8" s="19" t="s">
        <v>1187</v>
      </c>
      <c r="B8" s="19"/>
      <c r="C8" s="19"/>
      <c r="D8" s="19"/>
    </row>
    <row r="9" spans="1:9" ht="13">
      <c r="A9" s="18" t="s">
        <v>1188</v>
      </c>
      <c r="B9" s="18"/>
      <c r="C9" s="18"/>
      <c r="D9" s="18"/>
    </row>
    <row r="10" spans="1:9" ht="13">
      <c r="A10" s="19" t="s">
        <v>1189</v>
      </c>
      <c r="B10" s="19"/>
      <c r="C10" s="19"/>
      <c r="D10" s="19"/>
    </row>
    <row r="11" spans="1:9" ht="13">
      <c r="A11" s="18" t="s">
        <v>1190</v>
      </c>
      <c r="B11" s="18"/>
      <c r="C11" s="18"/>
      <c r="D11" s="18"/>
    </row>
    <row r="12" spans="1:9" ht="13">
      <c r="A12" s="19" t="s">
        <v>1191</v>
      </c>
      <c r="B12" s="19"/>
      <c r="C12" s="19"/>
      <c r="D12" s="19"/>
    </row>
    <row r="13" spans="1:9" ht="13">
      <c r="A13" s="18" t="s">
        <v>1192</v>
      </c>
      <c r="B13" s="18"/>
      <c r="C13" s="18"/>
      <c r="D13" s="18"/>
    </row>
    <row r="14" spans="1:9" ht="13">
      <c r="A14" s="19" t="s">
        <v>1193</v>
      </c>
      <c r="B14" s="19"/>
      <c r="C14" s="19"/>
      <c r="D14" s="19"/>
    </row>
    <row r="15" spans="1:9" ht="13">
      <c r="A15" s="18" t="s">
        <v>1194</v>
      </c>
      <c r="B15" s="18"/>
      <c r="C15" s="18"/>
      <c r="D15" s="18"/>
    </row>
    <row r="16" spans="1:9" ht="13">
      <c r="A16" s="19" t="s">
        <v>1195</v>
      </c>
      <c r="B16" s="19"/>
      <c r="C16" s="19"/>
      <c r="D16" s="19"/>
    </row>
    <row r="17" spans="1:4" ht="13">
      <c r="A17" s="18" t="s">
        <v>1196</v>
      </c>
      <c r="B17" s="18"/>
      <c r="C17" s="18"/>
      <c r="D17" s="18"/>
    </row>
    <row r="18" spans="1:4" ht="13">
      <c r="A18" s="19" t="s">
        <v>1197</v>
      </c>
      <c r="B18" s="19"/>
      <c r="C18" s="19"/>
      <c r="D18" s="19"/>
    </row>
    <row r="19" spans="1:4" ht="13">
      <c r="A19" s="18" t="s">
        <v>1198</v>
      </c>
      <c r="B19" s="18"/>
      <c r="C19" s="18"/>
      <c r="D19" s="18"/>
    </row>
    <row r="20" spans="1:4" ht="13">
      <c r="A20" s="19" t="s">
        <v>1199</v>
      </c>
      <c r="B20" s="19"/>
      <c r="C20" s="19"/>
      <c r="D20" s="19"/>
    </row>
    <row r="21" spans="1:4" ht="13">
      <c r="A21" s="18" t="s">
        <v>1200</v>
      </c>
      <c r="B21" s="18"/>
      <c r="C21" s="18"/>
      <c r="D21" s="18"/>
    </row>
    <row r="22" spans="1:4" ht="13">
      <c r="A22" s="19" t="s">
        <v>1201</v>
      </c>
      <c r="B22" s="19"/>
      <c r="C22" s="19"/>
      <c r="D22" s="19"/>
    </row>
    <row r="23" spans="1:4" ht="13">
      <c r="A23" s="18" t="s">
        <v>1202</v>
      </c>
      <c r="B23" s="18"/>
      <c r="C23" s="18"/>
      <c r="D23" s="18"/>
    </row>
    <row r="24" spans="1:4" ht="13">
      <c r="A24" s="19" t="s">
        <v>1203</v>
      </c>
      <c r="B24" s="19"/>
      <c r="C24" s="19"/>
      <c r="D24" s="19"/>
    </row>
    <row r="25" spans="1:4" ht="13">
      <c r="A25" s="18" t="s">
        <v>1204</v>
      </c>
      <c r="B25" s="18"/>
      <c r="C25" s="18"/>
      <c r="D25" s="18"/>
    </row>
    <row r="26" spans="1:4" ht="13">
      <c r="A26" s="19" t="s">
        <v>1205</v>
      </c>
      <c r="B26" s="19"/>
      <c r="C26" s="19"/>
      <c r="D26" s="19"/>
    </row>
    <row r="27" spans="1:4" ht="13">
      <c r="A27" s="18" t="s">
        <v>1206</v>
      </c>
      <c r="B27" s="18"/>
      <c r="C27" s="18"/>
      <c r="D27" s="18"/>
    </row>
    <row r="28" spans="1:4" ht="13">
      <c r="A28" s="19" t="s">
        <v>1207</v>
      </c>
      <c r="B28" s="19"/>
      <c r="C28" s="19"/>
      <c r="D28" s="19"/>
    </row>
    <row r="29" spans="1:4" ht="13">
      <c r="A29" s="18" t="s">
        <v>1208</v>
      </c>
      <c r="B29" s="18"/>
      <c r="C29" s="18"/>
      <c r="D29" s="18"/>
    </row>
    <row r="30" spans="1:4" ht="13">
      <c r="A30" s="19" t="s">
        <v>1209</v>
      </c>
      <c r="B30" s="19"/>
      <c r="C30" s="19"/>
      <c r="D30" s="19"/>
    </row>
    <row r="31" spans="1:4" ht="13">
      <c r="A31" s="18" t="s">
        <v>1210</v>
      </c>
      <c r="B31" s="18"/>
      <c r="C31" s="18"/>
      <c r="D31" s="18"/>
    </row>
    <row r="32" spans="1:4" ht="13">
      <c r="A32" s="19" t="s">
        <v>1211</v>
      </c>
      <c r="B32" s="19"/>
      <c r="C32" s="19"/>
      <c r="D32" s="19"/>
    </row>
    <row r="33" spans="1:9" ht="13">
      <c r="A33" s="18" t="s">
        <v>1212</v>
      </c>
      <c r="B33" s="18"/>
      <c r="C33" s="18"/>
      <c r="D33" s="18"/>
    </row>
    <row r="34" spans="1:9" ht="13">
      <c r="A34" s="19" t="s">
        <v>1213</v>
      </c>
      <c r="B34" s="19"/>
      <c r="C34" s="19"/>
      <c r="D34" s="19"/>
    </row>
    <row r="35" spans="1:9" ht="13">
      <c r="A35" s="18" t="s">
        <v>1214</v>
      </c>
      <c r="B35" s="18"/>
      <c r="C35" s="18"/>
      <c r="D35" s="18"/>
    </row>
    <row r="36" spans="1:9" ht="13">
      <c r="A36" s="19" t="s">
        <v>1215</v>
      </c>
      <c r="B36" s="19"/>
      <c r="C36" s="19"/>
      <c r="D36" s="19"/>
    </row>
    <row r="39" spans="1:9" ht="13">
      <c r="A39" s="41" t="s">
        <v>1216</v>
      </c>
      <c r="B39" s="42"/>
      <c r="C39" s="42"/>
      <c r="D39" s="42"/>
      <c r="E39" s="42"/>
      <c r="F39" s="42"/>
      <c r="G39" s="42"/>
      <c r="H39" s="42"/>
      <c r="I39" s="42"/>
    </row>
    <row r="40" spans="1:9" ht="15.75" customHeight="1">
      <c r="A40" s="42"/>
      <c r="B40" s="42"/>
      <c r="C40" s="42"/>
      <c r="D40" s="42"/>
      <c r="E40" s="42"/>
      <c r="F40" s="42"/>
      <c r="G40" s="42"/>
      <c r="H40" s="42"/>
      <c r="I40" s="42"/>
    </row>
    <row r="42" spans="1:9" ht="13">
      <c r="A42" s="25"/>
      <c r="B42" s="27"/>
      <c r="C42" s="28"/>
    </row>
    <row r="43" spans="1:9" ht="13">
      <c r="A43" s="35"/>
      <c r="B43" s="36"/>
      <c r="C43" s="37"/>
    </row>
    <row r="44" spans="1:9" ht="13">
      <c r="A44" s="35"/>
      <c r="B44" s="36"/>
      <c r="C44" s="37"/>
    </row>
    <row r="45" spans="1:9" ht="13">
      <c r="A45" s="35"/>
      <c r="B45" s="36"/>
      <c r="C45" s="37"/>
    </row>
    <row r="46" spans="1:9" ht="13">
      <c r="A46" s="35"/>
      <c r="B46" s="36"/>
      <c r="C46" s="37"/>
    </row>
    <row r="47" spans="1:9" ht="13">
      <c r="A47" s="35"/>
      <c r="B47" s="36"/>
      <c r="C47" s="37"/>
    </row>
    <row r="48" spans="1:9" ht="13">
      <c r="A48" s="35"/>
      <c r="B48" s="36"/>
      <c r="C48" s="37"/>
    </row>
    <row r="49" spans="1:3" ht="13">
      <c r="A49" s="35"/>
      <c r="B49" s="36"/>
      <c r="C49" s="37"/>
    </row>
    <row r="50" spans="1:3" ht="13">
      <c r="A50" s="35"/>
      <c r="B50" s="36"/>
      <c r="C50" s="37"/>
    </row>
    <row r="51" spans="1:3" ht="13">
      <c r="A51" s="35"/>
      <c r="B51" s="36"/>
      <c r="C51" s="37"/>
    </row>
    <row r="52" spans="1:3" ht="15.75" customHeight="1">
      <c r="A52" s="35"/>
      <c r="B52" s="36"/>
      <c r="C52" s="37"/>
    </row>
    <row r="53" spans="1:3" ht="15.75" customHeight="1">
      <c r="A53" s="35"/>
      <c r="B53" s="36"/>
      <c r="C53" s="37"/>
    </row>
    <row r="54" spans="1:3" ht="15.75" customHeight="1">
      <c r="A54" s="35"/>
      <c r="B54" s="36"/>
      <c r="C54" s="37"/>
    </row>
    <row r="55" spans="1:3" ht="15.75" customHeight="1">
      <c r="A55" s="35"/>
      <c r="B55" s="36"/>
      <c r="C55" s="37"/>
    </row>
    <row r="56" spans="1:3" ht="15.75" customHeight="1">
      <c r="A56" s="35"/>
      <c r="B56" s="36"/>
      <c r="C56" s="37"/>
    </row>
    <row r="57" spans="1:3" ht="15.75" customHeight="1">
      <c r="A57" s="35"/>
      <c r="B57" s="36"/>
      <c r="C57" s="37"/>
    </row>
    <row r="58" spans="1:3" ht="15.75" customHeight="1">
      <c r="A58" s="35"/>
      <c r="B58" s="36"/>
      <c r="C58" s="37"/>
    </row>
    <row r="59" spans="1:3" ht="15.75" customHeight="1">
      <c r="A59" s="38"/>
      <c r="B59" s="39"/>
      <c r="C59" s="40"/>
    </row>
    <row r="86" spans="1:9" ht="13">
      <c r="A86" s="41" t="s">
        <v>1237</v>
      </c>
      <c r="B86" s="42"/>
      <c r="C86" s="42"/>
      <c r="D86" s="42"/>
      <c r="E86" s="42"/>
      <c r="F86" s="42"/>
      <c r="G86" s="42"/>
      <c r="H86" s="42"/>
      <c r="I86" s="42"/>
    </row>
    <row r="87" spans="1:9" ht="15.75" customHeight="1">
      <c r="A87" s="42"/>
      <c r="B87" s="42"/>
      <c r="C87" s="42"/>
      <c r="D87" s="42"/>
      <c r="E87" s="42"/>
      <c r="F87" s="42"/>
      <c r="G87" s="42"/>
      <c r="H87" s="42"/>
      <c r="I87" s="42"/>
    </row>
    <row r="89" spans="1:9" ht="36" customHeight="1">
      <c r="A89" s="21" t="s">
        <v>1238</v>
      </c>
      <c r="B89" s="21" t="s">
        <v>1239</v>
      </c>
      <c r="C89" s="21" t="s">
        <v>8</v>
      </c>
      <c r="D89" s="21" t="s">
        <v>1240</v>
      </c>
      <c r="E89" s="21" t="s">
        <v>1241</v>
      </c>
      <c r="F89" s="21" t="s">
        <v>1242</v>
      </c>
      <c r="G89" s="21" t="s">
        <v>1243</v>
      </c>
      <c r="H89" s="21" t="s">
        <v>1244</v>
      </c>
    </row>
    <row r="90" spans="1:9" ht="13">
      <c r="B90" s="18"/>
      <c r="C90" s="18"/>
      <c r="D90" s="18"/>
      <c r="E90" s="18"/>
      <c r="F90" s="18"/>
      <c r="G90" s="18"/>
      <c r="H90" s="18"/>
    </row>
    <row r="91" spans="1:9" ht="13">
      <c r="B91" s="18"/>
      <c r="C91" s="18"/>
      <c r="D91" s="18"/>
      <c r="E91" s="18"/>
      <c r="F91" s="18"/>
      <c r="G91" s="18"/>
      <c r="H91" s="18"/>
    </row>
    <row r="92" spans="1:9" ht="13">
      <c r="B92" s="18"/>
      <c r="C92" s="18"/>
      <c r="D92" s="18"/>
      <c r="E92" s="18"/>
      <c r="F92" s="18"/>
      <c r="G92" s="18"/>
      <c r="H92" s="18"/>
    </row>
    <row r="93" spans="1:9" ht="13">
      <c r="B93" s="18"/>
      <c r="C93" s="18"/>
      <c r="D93" s="18"/>
      <c r="E93" s="18"/>
      <c r="F93" s="18"/>
      <c r="G93" s="18"/>
      <c r="H93" s="18"/>
    </row>
    <row r="94" spans="1:9" ht="13">
      <c r="B94" s="18"/>
      <c r="C94" s="18"/>
      <c r="D94" s="18"/>
      <c r="E94" s="18"/>
      <c r="F94" s="18"/>
      <c r="G94" s="18"/>
      <c r="H94" s="18"/>
    </row>
    <row r="95" spans="1:9" ht="13">
      <c r="B95" s="18"/>
      <c r="C95" s="18"/>
      <c r="D95" s="18"/>
      <c r="E95" s="18"/>
      <c r="F95" s="18"/>
      <c r="G95" s="18"/>
      <c r="H95" s="18"/>
    </row>
    <row r="96" spans="1:9" ht="13">
      <c r="B96" s="18"/>
      <c r="C96" s="18"/>
      <c r="D96" s="18"/>
      <c r="E96" s="18"/>
      <c r="F96" s="18"/>
      <c r="G96" s="18"/>
      <c r="H96" s="18"/>
    </row>
    <row r="97" spans="1:9" ht="13">
      <c r="B97" s="18"/>
      <c r="C97" s="18"/>
      <c r="D97" s="18"/>
      <c r="E97" s="18"/>
      <c r="F97" s="18"/>
      <c r="G97" s="18"/>
      <c r="H97" s="18"/>
    </row>
    <row r="98" spans="1:9" ht="13">
      <c r="B98" s="18"/>
      <c r="C98" s="18"/>
      <c r="D98" s="18"/>
      <c r="E98" s="18"/>
      <c r="F98" s="18"/>
      <c r="G98" s="18"/>
      <c r="H98" s="18"/>
    </row>
    <row r="99" spans="1:9" ht="13">
      <c r="B99" s="18"/>
      <c r="C99" s="18"/>
      <c r="D99" s="18"/>
      <c r="E99" s="18"/>
      <c r="F99" s="18"/>
      <c r="G99" s="18"/>
      <c r="H99" s="18"/>
    </row>
    <row r="100" spans="1:9" ht="13">
      <c r="B100" s="18"/>
      <c r="C100" s="18"/>
      <c r="D100" s="18"/>
      <c r="E100" s="18"/>
      <c r="F100" s="18"/>
      <c r="G100" s="18"/>
      <c r="H100" s="18"/>
    </row>
    <row r="101" spans="1:9" ht="13">
      <c r="B101" s="18"/>
      <c r="C101" s="18"/>
      <c r="D101" s="18"/>
      <c r="E101" s="18"/>
      <c r="F101" s="18"/>
      <c r="G101" s="18"/>
      <c r="H101" s="18"/>
    </row>
    <row r="102" spans="1:9" ht="13">
      <c r="B102" s="18"/>
      <c r="C102" s="18"/>
      <c r="D102" s="18"/>
      <c r="E102" s="18"/>
      <c r="F102" s="18"/>
      <c r="G102" s="18"/>
      <c r="H102" s="18"/>
    </row>
    <row r="103" spans="1:9" ht="13">
      <c r="B103" s="18"/>
      <c r="C103" s="18"/>
      <c r="D103" s="18"/>
      <c r="E103" s="18"/>
      <c r="F103" s="18"/>
      <c r="G103" s="18"/>
      <c r="H103" s="18"/>
    </row>
    <row r="104" spans="1:9" ht="13">
      <c r="B104" s="18"/>
      <c r="C104" s="18"/>
      <c r="D104" s="18"/>
      <c r="E104" s="18"/>
      <c r="F104" s="18"/>
      <c r="G104" s="18"/>
      <c r="H104" s="18"/>
    </row>
    <row r="109" spans="1:9" ht="15.75" customHeight="1">
      <c r="A109" s="42"/>
      <c r="B109" s="42"/>
      <c r="C109" s="42"/>
      <c r="D109" s="42"/>
      <c r="E109" s="42"/>
      <c r="F109" s="42"/>
      <c r="G109" s="42"/>
      <c r="H109" s="42"/>
      <c r="I109" s="42"/>
    </row>
    <row r="110" spans="1:9" ht="15.75" customHeight="1">
      <c r="A110" s="42"/>
      <c r="B110" s="42"/>
      <c r="C110" s="42"/>
      <c r="D110" s="42"/>
      <c r="E110" s="42"/>
      <c r="F110" s="42"/>
      <c r="G110" s="42"/>
      <c r="H110" s="42"/>
      <c r="I110" s="42"/>
    </row>
    <row r="131" spans="1:9" ht="13">
      <c r="A131" s="41" t="s">
        <v>1259</v>
      </c>
      <c r="B131" s="42"/>
      <c r="C131" s="42"/>
      <c r="D131" s="42"/>
      <c r="E131" s="42"/>
      <c r="F131" s="42"/>
      <c r="G131" s="42"/>
      <c r="H131" s="42"/>
      <c r="I131" s="42"/>
    </row>
    <row r="132" spans="1:9" ht="15.75" customHeight="1">
      <c r="A132" s="42"/>
      <c r="B132" s="42"/>
      <c r="C132" s="42"/>
      <c r="D132" s="42"/>
      <c r="E132" s="42"/>
      <c r="F132" s="42"/>
      <c r="G132" s="42"/>
      <c r="H132" s="42"/>
      <c r="I132" s="42"/>
    </row>
  </sheetData>
  <autoFilter ref="A6:D36" xr:uid="{00000000-0009-0000-0000-000002000000}"/>
  <mergeCells count="5">
    <mergeCell ref="A1:I2"/>
    <mergeCell ref="A39:I40"/>
    <mergeCell ref="A86:I87"/>
    <mergeCell ref="A109:I110"/>
    <mergeCell ref="A131:I132"/>
  </mergeCells>
  <conditionalFormatting sqref="D90:D104">
    <cfRule type="colorScale" priority="1">
      <colorScale>
        <cfvo type="min"/>
        <cfvo type="max"/>
        <color rgb="FFFFFFFF"/>
        <color rgb="FF57BB8A"/>
      </colorScale>
    </cfRule>
  </conditionalFormatting>
  <conditionalFormatting sqref="E90:E104">
    <cfRule type="colorScale" priority="2">
      <colorScale>
        <cfvo type="min"/>
        <cfvo type="max"/>
        <color rgb="FFFFFFFF"/>
        <color rgb="FF57BB8A"/>
      </colorScale>
    </cfRule>
  </conditionalFormatting>
  <conditionalFormatting sqref="F90:F104">
    <cfRule type="colorScale" priority="3">
      <colorScale>
        <cfvo type="min"/>
        <cfvo type="max"/>
        <color rgb="FFFFFFFF"/>
        <color rgb="FF57BB8A"/>
      </colorScale>
    </cfRule>
  </conditionalFormatting>
  <conditionalFormatting sqref="G90:G104">
    <cfRule type="colorScale" priority="4">
      <colorScale>
        <cfvo type="min"/>
        <cfvo type="max"/>
        <color rgb="FFFFFFFF"/>
        <color rgb="FF57BB8A"/>
      </colorScale>
    </cfRule>
  </conditionalFormatting>
  <conditionalFormatting sqref="H90:H104">
    <cfRule type="colorScale" priority="5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31"/>
  <sheetViews>
    <sheetView workbookViewId="0"/>
  </sheetViews>
  <sheetFormatPr baseColWidth="10" defaultColWidth="12.6640625" defaultRowHeight="15.75" customHeight="1"/>
  <cols>
    <col min="1" max="1" width="5.1640625" customWidth="1"/>
    <col min="2" max="2" width="20.6640625" customWidth="1"/>
  </cols>
  <sheetData>
    <row r="1" spans="1:2" ht="15.75" customHeight="1">
      <c r="A1" s="22" t="s">
        <v>1182</v>
      </c>
      <c r="B1" s="22" t="s">
        <v>1183</v>
      </c>
    </row>
    <row r="2" spans="1:2" ht="15.75" customHeight="1">
      <c r="A2" s="23" t="s">
        <v>1190</v>
      </c>
      <c r="B2" s="23" t="s">
        <v>1260</v>
      </c>
    </row>
    <row r="3" spans="1:2" ht="15.75" customHeight="1">
      <c r="A3" s="23" t="s">
        <v>1189</v>
      </c>
      <c r="B3" s="23" t="s">
        <v>1261</v>
      </c>
    </row>
    <row r="4" spans="1:2" ht="15.75" customHeight="1">
      <c r="A4" s="23" t="s">
        <v>1192</v>
      </c>
      <c r="B4" s="23" t="s">
        <v>1262</v>
      </c>
    </row>
    <row r="5" spans="1:2" ht="15.75" customHeight="1">
      <c r="A5" s="23" t="s">
        <v>1210</v>
      </c>
      <c r="B5" s="23" t="s">
        <v>1263</v>
      </c>
    </row>
    <row r="6" spans="1:2" ht="15.75" customHeight="1">
      <c r="A6" s="23" t="s">
        <v>1201</v>
      </c>
      <c r="B6" s="23" t="s">
        <v>1264</v>
      </c>
    </row>
    <row r="7" spans="1:2" ht="15.75" customHeight="1">
      <c r="A7" s="23" t="s">
        <v>1193</v>
      </c>
      <c r="B7" s="23" t="s">
        <v>1265</v>
      </c>
    </row>
    <row r="8" spans="1:2" ht="15.75" customHeight="1">
      <c r="A8" s="23" t="s">
        <v>1205</v>
      </c>
      <c r="B8" s="23" t="s">
        <v>1266</v>
      </c>
    </row>
    <row r="9" spans="1:2" ht="15.75" customHeight="1">
      <c r="A9" s="23" t="s">
        <v>1202</v>
      </c>
      <c r="B9" s="23" t="s">
        <v>1267</v>
      </c>
    </row>
    <row r="10" spans="1:2" ht="15.75" customHeight="1">
      <c r="A10" s="23" t="s">
        <v>1194</v>
      </c>
      <c r="B10" s="23" t="s">
        <v>1268</v>
      </c>
    </row>
    <row r="11" spans="1:2" ht="15.75" customHeight="1">
      <c r="A11" s="23" t="s">
        <v>1213</v>
      </c>
      <c r="B11" s="23" t="s">
        <v>1269</v>
      </c>
    </row>
    <row r="12" spans="1:2" ht="15.75" customHeight="1">
      <c r="A12" s="23" t="s">
        <v>1199</v>
      </c>
      <c r="B12" s="23" t="s">
        <v>1270</v>
      </c>
    </row>
    <row r="13" spans="1:2" ht="15.75" customHeight="1">
      <c r="A13" s="23" t="s">
        <v>1211</v>
      </c>
      <c r="B13" s="23" t="s">
        <v>1271</v>
      </c>
    </row>
    <row r="14" spans="1:2" ht="15.75" customHeight="1">
      <c r="A14" s="23" t="s">
        <v>1188</v>
      </c>
      <c r="B14" s="23" t="s">
        <v>1272</v>
      </c>
    </row>
    <row r="15" spans="1:2" ht="15.75" customHeight="1">
      <c r="A15" s="23" t="s">
        <v>1200</v>
      </c>
      <c r="B15" s="23" t="s">
        <v>1273</v>
      </c>
    </row>
    <row r="16" spans="1:2" ht="15.75" customHeight="1">
      <c r="A16" s="23" t="s">
        <v>1215</v>
      </c>
      <c r="B16" s="23" t="s">
        <v>1274</v>
      </c>
    </row>
    <row r="17" spans="1:2" ht="15.75" customHeight="1">
      <c r="A17" s="23" t="s">
        <v>1186</v>
      </c>
      <c r="B17" s="23" t="s">
        <v>1275</v>
      </c>
    </row>
    <row r="18" spans="1:2" ht="15.75" customHeight="1">
      <c r="A18" s="23" t="s">
        <v>1214</v>
      </c>
      <c r="B18" s="23" t="s">
        <v>1276</v>
      </c>
    </row>
    <row r="19" spans="1:2" ht="15.75" customHeight="1">
      <c r="A19" s="23" t="s">
        <v>1195</v>
      </c>
      <c r="B19" s="23" t="s">
        <v>1277</v>
      </c>
    </row>
    <row r="20" spans="1:2" ht="15.75" customHeight="1">
      <c r="A20" s="23" t="s">
        <v>1208</v>
      </c>
      <c r="B20" s="23" t="s">
        <v>1278</v>
      </c>
    </row>
    <row r="21" spans="1:2" ht="15.75" customHeight="1">
      <c r="A21" s="23" t="s">
        <v>1198</v>
      </c>
      <c r="B21" s="23" t="s">
        <v>1279</v>
      </c>
    </row>
    <row r="22" spans="1:2" ht="15.75" customHeight="1">
      <c r="A22" s="23" t="s">
        <v>1187</v>
      </c>
      <c r="B22" s="23" t="s">
        <v>1280</v>
      </c>
    </row>
    <row r="23" spans="1:2" ht="15.75" customHeight="1">
      <c r="A23" s="23" t="s">
        <v>1191</v>
      </c>
      <c r="B23" s="23" t="s">
        <v>1281</v>
      </c>
    </row>
    <row r="24" spans="1:2" ht="15.75" customHeight="1">
      <c r="A24" s="23" t="s">
        <v>1206</v>
      </c>
      <c r="B24" s="23" t="s">
        <v>1282</v>
      </c>
    </row>
    <row r="25" spans="1:2" ht="15.75" customHeight="1">
      <c r="A25" s="23" t="s">
        <v>1212</v>
      </c>
      <c r="B25" s="23" t="s">
        <v>1283</v>
      </c>
    </row>
    <row r="26" spans="1:2" ht="15.75" customHeight="1">
      <c r="A26" s="23" t="s">
        <v>1204</v>
      </c>
      <c r="B26" s="23" t="s">
        <v>1284</v>
      </c>
    </row>
    <row r="27" spans="1:2" ht="15.75" customHeight="1">
      <c r="A27" s="23" t="s">
        <v>1197</v>
      </c>
      <c r="B27" s="23" t="s">
        <v>1285</v>
      </c>
    </row>
    <row r="28" spans="1:2" ht="15.75" customHeight="1">
      <c r="A28" s="23" t="s">
        <v>1203</v>
      </c>
      <c r="B28" s="23" t="s">
        <v>1286</v>
      </c>
    </row>
    <row r="29" spans="1:2" ht="15.75" customHeight="1">
      <c r="A29" s="23" t="s">
        <v>1209</v>
      </c>
      <c r="B29" s="23" t="s">
        <v>1287</v>
      </c>
    </row>
    <row r="30" spans="1:2" ht="15.75" customHeight="1">
      <c r="A30" s="23" t="s">
        <v>1196</v>
      </c>
      <c r="B30" s="23" t="s">
        <v>1288</v>
      </c>
    </row>
    <row r="31" spans="1:2" ht="15.75" customHeight="1">
      <c r="A31" s="23" t="s">
        <v>1207</v>
      </c>
      <c r="B31" s="23" t="s">
        <v>1289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46"/>
  <sheetViews>
    <sheetView workbookViewId="0">
      <selection sqref="A1:B1"/>
    </sheetView>
  </sheetViews>
  <sheetFormatPr baseColWidth="10" defaultColWidth="12.6640625" defaultRowHeight="15.75" customHeight="1"/>
  <cols>
    <col min="2" max="2" width="46.6640625" customWidth="1"/>
  </cols>
  <sheetData>
    <row r="1" spans="1:2" ht="15.75" customHeight="1">
      <c r="A1" s="43" t="s">
        <v>1290</v>
      </c>
      <c r="B1" s="44"/>
    </row>
    <row r="2" spans="1:2" ht="15.75" customHeight="1">
      <c r="A2" s="23" t="s">
        <v>0</v>
      </c>
      <c r="B2" s="23" t="s">
        <v>1291</v>
      </c>
    </row>
    <row r="3" spans="1:2" ht="15.75" customHeight="1">
      <c r="A3" s="23" t="s">
        <v>1</v>
      </c>
      <c r="B3" s="23" t="s">
        <v>1292</v>
      </c>
    </row>
    <row r="4" spans="1:2" ht="15.75" customHeight="1">
      <c r="A4" s="23" t="s">
        <v>2</v>
      </c>
      <c r="B4" s="23" t="s">
        <v>1293</v>
      </c>
    </row>
    <row r="5" spans="1:2" ht="15.75" customHeight="1">
      <c r="A5" s="23" t="s">
        <v>3</v>
      </c>
      <c r="B5" s="23" t="s">
        <v>1294</v>
      </c>
    </row>
    <row r="6" spans="1:2" ht="15.75" customHeight="1">
      <c r="A6" s="23" t="s">
        <v>4</v>
      </c>
      <c r="B6" s="23" t="s">
        <v>1295</v>
      </c>
    </row>
    <row r="7" spans="1:2" ht="15.75" customHeight="1">
      <c r="A7" s="23" t="s">
        <v>5</v>
      </c>
      <c r="B7" s="23" t="s">
        <v>1296</v>
      </c>
    </row>
    <row r="8" spans="1:2" ht="15.75" customHeight="1">
      <c r="A8" s="23" t="s">
        <v>6</v>
      </c>
      <c r="B8" s="23" t="s">
        <v>1297</v>
      </c>
    </row>
    <row r="9" spans="1:2" ht="15.75" customHeight="1">
      <c r="A9" s="23" t="s">
        <v>7</v>
      </c>
      <c r="B9" s="23" t="s">
        <v>1298</v>
      </c>
    </row>
    <row r="10" spans="1:2" ht="15.75" customHeight="1">
      <c r="A10" s="23" t="s">
        <v>8</v>
      </c>
      <c r="B10" s="23" t="s">
        <v>1299</v>
      </c>
    </row>
    <row r="11" spans="1:2" ht="15.75" customHeight="1">
      <c r="A11" s="23" t="s">
        <v>9</v>
      </c>
      <c r="B11" s="23" t="s">
        <v>1300</v>
      </c>
    </row>
    <row r="12" spans="1:2" ht="15.75" customHeight="1">
      <c r="A12" s="23" t="s">
        <v>10</v>
      </c>
      <c r="B12" s="23" t="s">
        <v>1301</v>
      </c>
    </row>
    <row r="13" spans="1:2" ht="15.75" customHeight="1">
      <c r="A13" s="24">
        <v>0.625</v>
      </c>
      <c r="B13" s="23" t="s">
        <v>1302</v>
      </c>
    </row>
    <row r="14" spans="1:2" ht="15.75" customHeight="1">
      <c r="A14" s="23" t="s">
        <v>11</v>
      </c>
      <c r="B14" s="23" t="s">
        <v>1303</v>
      </c>
    </row>
    <row r="15" spans="1:2" ht="15.75" customHeight="1">
      <c r="A15" s="23" t="s">
        <v>12</v>
      </c>
      <c r="B15" s="23" t="s">
        <v>1304</v>
      </c>
    </row>
    <row r="16" spans="1:2" ht="15.75" customHeight="1">
      <c r="A16" s="23" t="s">
        <v>13</v>
      </c>
      <c r="B16" s="23" t="s">
        <v>1305</v>
      </c>
    </row>
    <row r="17" spans="1:2" ht="15.75" customHeight="1">
      <c r="A17" s="23" t="s">
        <v>14</v>
      </c>
      <c r="B17" s="23" t="s">
        <v>1306</v>
      </c>
    </row>
    <row r="18" spans="1:2" ht="15.75" customHeight="1">
      <c r="A18" s="23" t="s">
        <v>15</v>
      </c>
      <c r="B18" s="23" t="s">
        <v>1242</v>
      </c>
    </row>
    <row r="19" spans="1:2" ht="15.75" customHeight="1">
      <c r="A19" s="23" t="s">
        <v>16</v>
      </c>
      <c r="B19" s="23" t="s">
        <v>1243</v>
      </c>
    </row>
    <row r="20" spans="1:2" ht="15.75" customHeight="1">
      <c r="A20" s="23" t="s">
        <v>17</v>
      </c>
      <c r="B20" s="23" t="s">
        <v>1307</v>
      </c>
    </row>
    <row r="21" spans="1:2" ht="15.75" customHeight="1">
      <c r="A21" s="23" t="s">
        <v>18</v>
      </c>
      <c r="B21" s="23" t="s">
        <v>1308</v>
      </c>
    </row>
    <row r="22" spans="1:2" ht="15.75" customHeight="1">
      <c r="A22" s="23" t="s">
        <v>19</v>
      </c>
      <c r="B22" s="23" t="s">
        <v>1309</v>
      </c>
    </row>
    <row r="23" spans="1:2" ht="15.75" customHeight="1">
      <c r="A23" s="23" t="s">
        <v>20</v>
      </c>
      <c r="B23" s="23" t="s">
        <v>1310</v>
      </c>
    </row>
    <row r="24" spans="1:2" ht="15.75" customHeight="1">
      <c r="A24" s="23" t="s">
        <v>21</v>
      </c>
      <c r="B24" s="23" t="s">
        <v>1311</v>
      </c>
    </row>
    <row r="25" spans="1:2" ht="15.75" customHeight="1">
      <c r="A25" s="23" t="s">
        <v>22</v>
      </c>
      <c r="B25" s="23" t="s">
        <v>1312</v>
      </c>
    </row>
    <row r="26" spans="1:2" ht="15.75" customHeight="1">
      <c r="A26" s="23" t="s">
        <v>23</v>
      </c>
      <c r="B26" s="23" t="s">
        <v>1313</v>
      </c>
    </row>
    <row r="27" spans="1:2" ht="15.75" customHeight="1">
      <c r="A27" s="23" t="s">
        <v>24</v>
      </c>
      <c r="B27" s="23" t="s">
        <v>1314</v>
      </c>
    </row>
    <row r="28" spans="1:2" ht="15.75" customHeight="1">
      <c r="A28" s="23" t="s">
        <v>25</v>
      </c>
      <c r="B28" s="23" t="s">
        <v>1315</v>
      </c>
    </row>
    <row r="29" spans="1:2" ht="15.75" customHeight="1">
      <c r="A29" s="23" t="s">
        <v>26</v>
      </c>
      <c r="B29" s="23" t="s">
        <v>1316</v>
      </c>
    </row>
    <row r="30" spans="1:2" ht="15.75" customHeight="1">
      <c r="A30" s="23" t="str">
        <f>"+ / -"</f>
        <v>+ / -</v>
      </c>
      <c r="B30" s="23" t="s">
        <v>1317</v>
      </c>
    </row>
    <row r="31" spans="1:2" ht="15.75" customHeight="1">
      <c r="A31" s="23" t="s">
        <v>27</v>
      </c>
      <c r="B31" s="23" t="s">
        <v>1318</v>
      </c>
    </row>
    <row r="32" spans="1:2" ht="15.75" customHeight="1">
      <c r="A32" s="23" t="s">
        <v>28</v>
      </c>
      <c r="B32" s="23" t="s">
        <v>1319</v>
      </c>
    </row>
    <row r="33" spans="1:2" ht="15.75" customHeight="1">
      <c r="A33" s="23" t="s">
        <v>29</v>
      </c>
      <c r="B33" s="23" t="s">
        <v>1320</v>
      </c>
    </row>
    <row r="34" spans="1:2" ht="15.75" customHeight="1">
      <c r="A34" s="23" t="s">
        <v>30</v>
      </c>
      <c r="B34" s="23" t="s">
        <v>1321</v>
      </c>
    </row>
    <row r="35" spans="1:2" ht="15.75" customHeight="1">
      <c r="A35" s="23" t="s">
        <v>31</v>
      </c>
      <c r="B35" s="23" t="s">
        <v>1322</v>
      </c>
    </row>
    <row r="36" spans="1:2" ht="15.75" customHeight="1">
      <c r="A36" s="23" t="s">
        <v>32</v>
      </c>
      <c r="B36" s="23" t="s">
        <v>1323</v>
      </c>
    </row>
    <row r="37" spans="1:2" ht="15.75" customHeight="1">
      <c r="A37" s="23" t="s">
        <v>33</v>
      </c>
      <c r="B37" s="23" t="s">
        <v>1324</v>
      </c>
    </row>
    <row r="38" spans="1:2" ht="15.75" customHeight="1">
      <c r="A38" s="23" t="s">
        <v>34</v>
      </c>
      <c r="B38" s="23" t="s">
        <v>1325</v>
      </c>
    </row>
    <row r="39" spans="1:2" ht="15.75" customHeight="1">
      <c r="A39" s="23" t="s">
        <v>35</v>
      </c>
      <c r="B39" s="23" t="s">
        <v>1326</v>
      </c>
    </row>
    <row r="40" spans="1:2" ht="15.75" customHeight="1">
      <c r="A40" s="23" t="s">
        <v>36</v>
      </c>
      <c r="B40" s="23" t="s">
        <v>1327</v>
      </c>
    </row>
    <row r="41" spans="1:2" ht="15.75" customHeight="1">
      <c r="A41" s="23" t="s">
        <v>37</v>
      </c>
      <c r="B41" s="23" t="s">
        <v>1328</v>
      </c>
    </row>
    <row r="42" spans="1:2" ht="15.75" customHeight="1">
      <c r="A42" s="23" t="s">
        <v>38</v>
      </c>
      <c r="B42" s="23" t="s">
        <v>1329</v>
      </c>
    </row>
    <row r="43" spans="1:2" ht="15.75" customHeight="1">
      <c r="A43" s="23" t="s">
        <v>39</v>
      </c>
      <c r="B43" s="23" t="s">
        <v>1330</v>
      </c>
    </row>
    <row r="44" spans="1:2" ht="15.75" customHeight="1">
      <c r="A44" s="23" t="s">
        <v>40</v>
      </c>
      <c r="B44" s="23" t="s">
        <v>1331</v>
      </c>
    </row>
    <row r="45" spans="1:2" ht="15.75" customHeight="1">
      <c r="A45" s="23" t="s">
        <v>41</v>
      </c>
      <c r="B45" s="23" t="s">
        <v>1332</v>
      </c>
    </row>
    <row r="46" spans="1:2" ht="15.75" customHeight="1">
      <c r="A46" s="23" t="s">
        <v>42</v>
      </c>
      <c r="B46" s="23" t="s">
        <v>1333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Données NBA</vt:lpstr>
      <vt:lpstr>Analyse</vt:lpstr>
      <vt:lpstr>Analyse Vide</vt:lpstr>
      <vt:lpstr>Equipe</vt:lpstr>
      <vt:lpstr>Dictionnaire des données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Suzanne Endtz</cp:lastModifiedBy>
  <dcterms:modified xsi:type="dcterms:W3CDTF">2026-09-04T12:53:45Z</dcterms:modified>
</cp:coreProperties>
</file>